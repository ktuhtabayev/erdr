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worksheets/sheet11.xml" ContentType="application/vnd.openxmlformats-officedocument.spreadsheetml.worksheet+xml"/>
  <Override PartName="/xl/drawings/drawing4.xml" ContentType="application/vnd.openxmlformats-officedocument.drawing+xml"/>
  <Override PartName="/xl/worksheets/sheet12.xml" ContentType="application/vnd.openxmlformats-officedocument.spreadsheetml.worksheet+xml"/>
  <Override PartName="/xl/drawings/drawing5.xml" ContentType="application/vnd.openxmlformats-officedocument.drawing+xml"/>
  <Override PartName="/xl/worksheets/sheet13.xml" ContentType="application/vnd.openxmlformats-officedocument.spreadsheetml.worksheet+xml"/>
  <Override PartName="/xl/drawings/drawing6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7.xml" ContentType="application/vnd.openxmlformats-officedocument.drawing+xml"/>
  <Override PartName="/xl/worksheets/sheet17.xml" ContentType="application/vnd.openxmlformats-officedocument.spreadsheetml.worksheet+xml"/>
  <Override PartName="/xl/drawings/drawing8.xml" ContentType="application/vnd.openxmlformats-officedocument.drawing+xml"/>
  <Override PartName="/xl/worksheets/sheet18.xml" ContentType="application/vnd.openxmlformats-officedocument.spreadsheetml.worksheet+xml"/>
  <Override PartName="/xl/drawings/drawing9.xml" ContentType="application/vnd.openxmlformats-officedocument.drawing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-108" yWindow="-108" windowWidth="23256" windowHeight="13176" tabRatio="920"/>
  </bookViews>
  <sheets>
    <sheet name="Overview" sheetId="1" r:id="rId1"/>
    <sheet name="Parameters" sheetId="2" r:id="rId2"/>
    <sheet name="Object Selection" sheetId="3" r:id="rId3"/>
    <sheet name="Source Dataset (270)" sheetId="4" r:id="rId4"/>
    <sheet name="Dataset" sheetId="5" r:id="rId5"/>
    <sheet name="Normalized Dataset" sheetId="6" r:id="rId6"/>
    <sheet name="Zhuravlev Distances" sheetId="7" r:id="rId7"/>
    <sheet name="Sorted Neighbors" sheetId="8" r:id="rId8"/>
    <sheet name="ERDR Characteristics" sheetId="9" r:id="rId9"/>
    <sheet name="Hyperspheres (Step 1)" sheetId="10" r:id="rId10"/>
    <sheet name="Priority Queue" sheetId="11" r:id="rId11"/>
    <sheet name="ERDR Iterations" sheetId="12" r:id="rId12"/>
    <sheet name="Hyperspheres (Iterations)" sheetId="13" r:id="rId13"/>
    <sheet name="ERDR Trace" sheetId="14" r:id="rId14"/>
    <sheet name="Case Checklist" sheetId="15" r:id="rId15"/>
    <sheet name="Training &amp; Validation" sheetId="16" r:id="rId16"/>
    <sheet name="Charts" sheetId="17" r:id="rId17"/>
    <sheet name="Readings (Switches)" sheetId="18" r:id="rId18"/>
    <sheet name="Article Table 1 Check" sheetId="19" r:id="rId19"/>
    <sheet name="Article Notes" sheetId="20" r:id="rId20"/>
    <sheet name="Validation" sheetId="21" r:id="rId21"/>
    <sheet name="Hypersphere Data" sheetId="22" r:id="rId22"/>
  </sheets>
  <calcPr calcId="191029" fullCalcOn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%"/>
    <numFmt numFmtId="166" formatCode="&quot;✓&quot;;&quot;✓&quot;;&quot;✗&quot;"/>
    <numFmt numFmtId="167" formatCode="0.000000"/>
    <numFmt numFmtId="168" formatCode="0.000"/>
    <numFmt numFmtId="169" formatCode="+0.0000;-0.0000;0.0000"/>
  </numFmts>
  <fonts count="38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rgb="FF1F386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rgb="FF9C0006"/>
      <name val="Calibri"/>
      <family val="2"/>
      <scheme val="minor"/>
    </font>
    <font>
      <b/>
      <i/>
      <sz val="12"/>
      <color rgb="FF3F315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3"/>
      <color rgb="FF1F3864"/>
      <name val="Calibri"/>
      <family val="2"/>
      <scheme val="minor"/>
    </font>
    <font>
      <b/>
      <u/>
      <sz val="11"/>
      <color rgb="FF0563C1"/>
      <name val="Calibri"/>
      <family val="2"/>
      <scheme val="minor"/>
    </font>
    <font>
      <sz val="10"/>
      <color rgb="FF404040"/>
      <name val="Calibri"/>
      <family val="2"/>
      <scheme val="minor"/>
    </font>
    <font>
      <b/>
      <sz val="12"/>
      <color rgb="FF1F3864"/>
      <name val="Calibri"/>
      <family val="2"/>
      <scheme val="minor"/>
    </font>
    <font>
      <i/>
      <sz val="10"/>
      <color rgb="FF595959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7F7F7F"/>
      <name val="Calibri"/>
      <family val="2"/>
      <scheme val="minor"/>
    </font>
    <font>
      <sz val="12"/>
      <color rgb="FF595959"/>
      <name val="Calibri"/>
      <family val="2"/>
      <scheme val="minor"/>
    </font>
    <font>
      <b/>
      <sz val="12"/>
      <color rgb="FF0000CC"/>
      <name val="Calibri"/>
      <family val="2"/>
      <scheme val="minor"/>
    </font>
    <font>
      <b/>
      <sz val="12"/>
      <color rgb="FF00610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rgb="FF833C0B"/>
      <name val="Calibri"/>
      <family val="2"/>
      <scheme val="minor"/>
    </font>
    <font>
      <sz val="10"/>
      <color rgb="FF595959"/>
      <name val="Calibri"/>
      <family val="2"/>
      <scheme val="minor"/>
    </font>
    <font>
      <sz val="11"/>
      <color rgb="FF404040"/>
      <name val="Calibri"/>
      <family val="2"/>
      <scheme val="minor"/>
    </font>
    <font>
      <sz val="11"/>
      <color rgb="FF595959"/>
      <name val="Calibri"/>
      <family val="2"/>
      <scheme val="minor"/>
    </font>
    <font>
      <sz val="10"/>
      <color rgb="FF1F3864"/>
      <name val="Calibri"/>
      <family val="2"/>
      <scheme val="minor"/>
    </font>
    <font>
      <b/>
      <sz val="11"/>
      <color rgb="FF833C0B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1F3864"/>
      <name val="Calibri"/>
      <family val="2"/>
      <scheme val="minor"/>
    </font>
    <font>
      <b/>
      <sz val="11"/>
      <color rgb="FF3F3151"/>
      <name val="Calibri"/>
      <family val="2"/>
      <scheme val="minor"/>
    </font>
    <font>
      <b/>
      <sz val="11"/>
      <color rgb="FF0000CC"/>
      <name val="Calibri"/>
      <family val="2"/>
      <scheme val="minor"/>
    </font>
    <font>
      <b/>
      <sz val="11"/>
      <color rgb="FF595959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FF3EA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B7DEA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DE9E7"/>
        <bgColor indexed="64"/>
      </patternFill>
    </fill>
  </fills>
  <borders count="1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595959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1F3864"/>
      </bottom>
      <diagonal/>
    </border>
    <border>
      <left/>
      <right/>
      <top style="medium">
        <color rgb="FF1F3864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medium">
        <color rgb="FF1F3864"/>
      </top>
      <bottom style="thin">
        <color rgb="FFBFBFBF"/>
      </bottom>
      <diagonal/>
    </border>
    <border>
      <left/>
      <right/>
      <top style="medium">
        <color rgb="FF1F3864"/>
      </top>
      <bottom style="thin">
        <color rgb="FFBFBFBF"/>
      </bottom>
      <diagonal/>
    </border>
    <border>
      <left/>
      <right style="thin">
        <color rgb="FFBFBFBF"/>
      </right>
      <top style="medium">
        <color rgb="FF1F3864"/>
      </top>
      <bottom style="thin">
        <color rgb="FFBFBFBF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4" fillId="0" borderId="0" xfId="0" applyFont="1" applyFill="1" applyBorder="1"/>
    <xf numFmtId="0" fontId="5" fillId="0" borderId="0" xfId="0" applyFont="1" applyFill="1" applyBorder="1"/>
    <xf numFmtId="0" fontId="6" fillId="0" borderId="0" xfId="0" applyFont="1" applyFill="1" applyBorder="1"/>
    <xf numFmtId="0" fontId="2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5" fillId="12" borderId="3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left" vertical="center"/>
    </xf>
    <xf numFmtId="0" fontId="9" fillId="10" borderId="4" xfId="0" applyFont="1" applyFill="1" applyBorder="1" applyAlignment="1">
      <alignment horizontal="left" vertical="center" indent="1"/>
    </xf>
    <xf numFmtId="0" fontId="9" fillId="10" borderId="4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left" vertical="center" wrapText="1" indent="1"/>
    </xf>
    <xf numFmtId="0" fontId="6" fillId="0" borderId="4" xfId="0" applyFont="1" applyFill="1" applyBorder="1" applyAlignment="1">
      <alignment horizontal="left" vertical="center" wrapText="1" indent="1"/>
    </xf>
    <xf numFmtId="0" fontId="14" fillId="0" borderId="4" xfId="0" applyFont="1" applyFill="1" applyBorder="1" applyAlignment="1">
      <alignment horizontal="left" vertical="center" indent="1"/>
    </xf>
    <xf numFmtId="0" fontId="16" fillId="15" borderId="4" xfId="0" applyFont="1" applyFill="1" applyBorder="1" applyAlignment="1">
      <alignment horizontal="center" vertical="center"/>
    </xf>
    <xf numFmtId="0" fontId="17" fillId="0" borderId="4" xfId="0" applyFont="1" applyFill="1" applyBorder="1" applyAlignment="1">
      <alignment horizontal="left" vertical="center" indent="1"/>
    </xf>
    <xf numFmtId="0" fontId="9" fillId="2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/>
    </xf>
    <xf numFmtId="0" fontId="10" fillId="12" borderId="4" xfId="0" applyFont="1" applyFill="1" applyBorder="1" applyAlignment="1">
      <alignment horizontal="center" vertical="center"/>
    </xf>
    <xf numFmtId="0" fontId="10" fillId="14" borderId="4" xfId="0" applyFont="1" applyFill="1" applyBorder="1" applyAlignment="1">
      <alignment horizontal="center" vertical="center"/>
    </xf>
    <xf numFmtId="0" fontId="10" fillId="11" borderId="4" xfId="0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left" vertical="center" wrapText="1" indent="1"/>
    </xf>
    <xf numFmtId="0" fontId="10" fillId="0" borderId="7" xfId="0" applyFont="1" applyFill="1" applyBorder="1" applyAlignment="1">
      <alignment horizontal="left" vertical="center" wrapText="1" indent="1"/>
    </xf>
    <xf numFmtId="0" fontId="10" fillId="0" borderId="8" xfId="0" applyFont="1" applyFill="1" applyBorder="1" applyAlignment="1">
      <alignment horizontal="left" vertical="center" wrapText="1" indent="1"/>
    </xf>
    <xf numFmtId="0" fontId="10" fillId="0" borderId="9" xfId="0" applyFont="1" applyFill="1" applyBorder="1" applyAlignment="1">
      <alignment horizontal="left" vertical="center" wrapText="1" indent="1"/>
    </xf>
    <xf numFmtId="0" fontId="10" fillId="0" borderId="10" xfId="0" applyFont="1" applyFill="1" applyBorder="1" applyAlignment="1">
      <alignment horizontal="left" vertical="center" wrapText="1" indent="1"/>
    </xf>
    <xf numFmtId="0" fontId="10" fillId="0" borderId="11" xfId="0" applyFont="1" applyFill="1" applyBorder="1" applyAlignment="1">
      <alignment horizontal="left" vertical="center" wrapText="1" indent="1"/>
    </xf>
    <xf numFmtId="0" fontId="10" fillId="0" borderId="12" xfId="0" applyFont="1" applyFill="1" applyBorder="1" applyAlignment="1">
      <alignment horizontal="left" vertical="center" wrapText="1" indent="1"/>
    </xf>
    <xf numFmtId="0" fontId="15" fillId="0" borderId="6" xfId="0" applyFont="1" applyFill="1" applyBorder="1" applyAlignment="1">
      <alignment horizontal="left" vertical="center" wrapText="1" indent="1"/>
    </xf>
    <xf numFmtId="0" fontId="11" fillId="2" borderId="0" xfId="0" applyFont="1" applyFill="1" applyBorder="1" applyAlignment="1">
      <alignment horizontal="left" vertical="center" indent="1"/>
    </xf>
    <xf numFmtId="0" fontId="12" fillId="0" borderId="0" xfId="0" applyFont="1" applyFill="1" applyBorder="1" applyAlignment="1">
      <alignment horizontal="left" vertical="center" indent="1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10" borderId="1" xfId="0" applyNumberFormat="1" applyFont="1" applyFill="1" applyBorder="1" applyAlignment="1">
      <alignment horizontal="center" vertical="center"/>
    </xf>
    <xf numFmtId="0" fontId="1" fillId="10" borderId="1" xfId="0" applyNumberFormat="1" applyFont="1" applyFill="1" applyBorder="1" applyAlignment="1">
      <alignment horizontal="left" vertical="center" indent="1"/>
    </xf>
    <xf numFmtId="0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left" vertical="center" indent="1"/>
    </xf>
    <xf numFmtId="0" fontId="2" fillId="5" borderId="1" xfId="0" applyNumberFormat="1" applyFont="1" applyFill="1" applyBorder="1" applyAlignment="1">
      <alignment horizontal="center" vertical="center"/>
    </xf>
    <xf numFmtId="0" fontId="2" fillId="5" borderId="1" xfId="0" applyNumberFormat="1" applyFont="1" applyFill="1" applyBorder="1" applyAlignment="1">
      <alignment horizontal="left" vertical="center" indent="1"/>
    </xf>
    <xf numFmtId="0" fontId="18" fillId="5" borderId="1" xfId="0" applyNumberFormat="1" applyFont="1" applyFill="1" applyBorder="1" applyAlignment="1">
      <alignment horizontal="left" vertical="center" wrapText="1" indent="1"/>
    </xf>
    <xf numFmtId="164" fontId="5" fillId="6" borderId="1" xfId="0" applyNumberFormat="1" applyFont="1" applyFill="1" applyBorder="1" applyAlignment="1">
      <alignment horizontal="center" vertical="center"/>
    </xf>
    <xf numFmtId="0" fontId="5" fillId="6" borderId="1" xfId="0" applyNumberFormat="1" applyFont="1" applyFill="1" applyBorder="1" applyAlignment="1">
      <alignment horizontal="center" vertical="center"/>
    </xf>
    <xf numFmtId="0" fontId="5" fillId="7" borderId="1" xfId="0" applyNumberFormat="1" applyFont="1" applyFill="1" applyBorder="1" applyAlignment="1">
      <alignment horizontal="center" vertical="center"/>
    </xf>
    <xf numFmtId="0" fontId="7" fillId="8" borderId="1" xfId="0" applyNumberFormat="1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 vertical="center"/>
    </xf>
    <xf numFmtId="164" fontId="19" fillId="15" borderId="1" xfId="0" applyNumberFormat="1" applyFont="1" applyFill="1" applyBorder="1" applyAlignment="1">
      <alignment horizontal="center" vertical="center"/>
    </xf>
    <xf numFmtId="0" fontId="19" fillId="15" borderId="1" xfId="0" applyNumberFormat="1" applyFont="1" applyFill="1" applyBorder="1" applyAlignment="1">
      <alignment horizontal="center" vertical="center"/>
    </xf>
    <xf numFmtId="0" fontId="2" fillId="15" borderId="1" xfId="0" applyNumberFormat="1" applyFont="1" applyFill="1" applyBorder="1" applyAlignment="1">
      <alignment horizontal="center" vertical="center"/>
    </xf>
    <xf numFmtId="164" fontId="5" fillId="16" borderId="1" xfId="0" applyNumberFormat="1" applyFont="1" applyFill="1" applyBorder="1" applyAlignment="1">
      <alignment horizontal="center" vertical="center"/>
    </xf>
    <xf numFmtId="164" fontId="20" fillId="15" borderId="1" xfId="0" applyNumberFormat="1" applyFont="1" applyFill="1" applyBorder="1" applyAlignment="1">
      <alignment horizontal="center" vertical="center"/>
    </xf>
    <xf numFmtId="0" fontId="20" fillId="15" borderId="1" xfId="0" applyNumberFormat="1" applyFont="1" applyFill="1" applyBorder="1" applyAlignment="1">
      <alignment horizontal="center" vertical="center"/>
    </xf>
    <xf numFmtId="0" fontId="5" fillId="16" borderId="1" xfId="0" applyNumberFormat="1" applyFont="1" applyFill="1" applyBorder="1" applyAlignment="1">
      <alignment horizontal="center" vertical="center"/>
    </xf>
    <xf numFmtId="0" fontId="4" fillId="16" borderId="1" xfId="0" applyNumberFormat="1" applyFont="1" applyFill="1" applyBorder="1" applyAlignment="1">
      <alignment horizontal="center" vertical="center"/>
    </xf>
    <xf numFmtId="0" fontId="21" fillId="16" borderId="1" xfId="0" applyNumberFormat="1" applyFont="1" applyFill="1" applyBorder="1" applyAlignment="1">
      <alignment horizontal="center" vertical="center"/>
    </xf>
    <xf numFmtId="0" fontId="16" fillId="16" borderId="1" xfId="0" applyNumberFormat="1" applyFont="1" applyFill="1" applyBorder="1" applyAlignment="1">
      <alignment horizontal="center" vertical="center"/>
    </xf>
    <xf numFmtId="0" fontId="4" fillId="17" borderId="1" xfId="0" applyNumberFormat="1" applyFont="1" applyFill="1" applyBorder="1" applyAlignment="1">
      <alignment horizontal="center" vertical="center"/>
    </xf>
    <xf numFmtId="164" fontId="4" fillId="17" borderId="1" xfId="0" applyNumberFormat="1" applyFont="1" applyFill="1" applyBorder="1" applyAlignment="1">
      <alignment horizontal="center" vertical="center"/>
    </xf>
    <xf numFmtId="0" fontId="8" fillId="9" borderId="1" xfId="0" applyNumberFormat="1" applyFont="1" applyFill="1" applyBorder="1" applyAlignment="1">
      <alignment horizontal="left" vertical="center" indent="1"/>
    </xf>
    <xf numFmtId="0" fontId="8" fillId="9" borderId="1" xfId="0" applyNumberFormat="1" applyFont="1" applyFill="1" applyBorder="1" applyAlignment="1">
      <alignment horizontal="left" vertical="center" wrapText="1" indent="1"/>
    </xf>
    <xf numFmtId="0" fontId="4" fillId="9" borderId="1" xfId="0" applyNumberFormat="1" applyFont="1" applyFill="1" applyBorder="1" applyAlignment="1">
      <alignment horizontal="center" vertical="center"/>
    </xf>
    <xf numFmtId="0" fontId="4" fillId="9" borderId="1" xfId="0" applyNumberFormat="1" applyFont="1" applyFill="1" applyBorder="1" applyAlignment="1">
      <alignment horizontal="left" vertical="center" indent="1"/>
    </xf>
    <xf numFmtId="0" fontId="6" fillId="9" borderId="1" xfId="0" applyNumberFormat="1" applyFont="1" applyFill="1" applyBorder="1" applyAlignment="1">
      <alignment horizontal="left" vertical="center" wrapText="1" indent="1"/>
    </xf>
    <xf numFmtId="164" fontId="4" fillId="9" borderId="1" xfId="0" applyNumberFormat="1" applyFont="1" applyFill="1" applyBorder="1" applyAlignment="1">
      <alignment horizontal="center" vertical="center"/>
    </xf>
    <xf numFmtId="0" fontId="22" fillId="16" borderId="1" xfId="0" applyNumberFormat="1" applyFont="1" applyFill="1" applyBorder="1" applyAlignment="1">
      <alignment horizontal="center" vertical="center"/>
    </xf>
    <xf numFmtId="168" fontId="22" fillId="16" borderId="1" xfId="0" applyNumberFormat="1" applyFont="1" applyFill="1" applyBorder="1" applyAlignment="1">
      <alignment horizontal="center" vertical="center"/>
    </xf>
    <xf numFmtId="0" fontId="23" fillId="13" borderId="1" xfId="0" applyNumberFormat="1" applyFont="1" applyFill="1" applyBorder="1" applyAlignment="1">
      <alignment horizontal="center" vertical="center"/>
    </xf>
    <xf numFmtId="164" fontId="23" fillId="13" borderId="1" xfId="0" applyNumberFormat="1" applyFont="1" applyFill="1" applyBorder="1" applyAlignment="1">
      <alignment horizontal="center" vertical="center"/>
    </xf>
    <xf numFmtId="0" fontId="23" fillId="13" borderId="1" xfId="0" applyNumberFormat="1" applyFont="1" applyFill="1" applyBorder="1" applyAlignment="1">
      <alignment horizontal="left" vertical="center" indent="1"/>
    </xf>
    <xf numFmtId="0" fontId="23" fillId="16" borderId="1" xfId="0" applyNumberFormat="1" applyFont="1" applyFill="1" applyBorder="1" applyAlignment="1">
      <alignment horizontal="center" vertical="center"/>
    </xf>
    <xf numFmtId="166" fontId="24" fillId="16" borderId="1" xfId="0" applyNumberFormat="1" applyFont="1" applyFill="1" applyBorder="1" applyAlignment="1">
      <alignment horizontal="center" vertical="center"/>
    </xf>
    <xf numFmtId="166" fontId="4" fillId="16" borderId="1" xfId="0" applyNumberFormat="1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left" vertical="center" indent="1"/>
    </xf>
    <xf numFmtId="0" fontId="4" fillId="15" borderId="1" xfId="0" applyNumberFormat="1" applyFont="1" applyFill="1" applyBorder="1" applyAlignment="1">
      <alignment horizontal="left" vertical="center" indent="1"/>
    </xf>
    <xf numFmtId="0" fontId="6" fillId="15" borderId="1" xfId="0" applyNumberFormat="1" applyFont="1" applyFill="1" applyBorder="1" applyAlignment="1">
      <alignment horizontal="left" vertical="center" wrapText="1" indent="1"/>
    </xf>
    <xf numFmtId="0" fontId="25" fillId="18" borderId="1" xfId="0" applyNumberFormat="1" applyFont="1" applyFill="1" applyBorder="1" applyAlignment="1">
      <alignment horizontal="left" vertical="center" wrapText="1" indent="1"/>
    </xf>
    <xf numFmtId="0" fontId="26" fillId="0" borderId="0" xfId="0" applyNumberFormat="1" applyFont="1" applyFill="1" applyBorder="1" applyAlignment="1">
      <alignment horizontal="left" vertical="center"/>
    </xf>
    <xf numFmtId="0" fontId="27" fillId="16" borderId="1" xfId="0" applyNumberFormat="1" applyFont="1" applyFill="1" applyBorder="1" applyAlignment="1">
      <alignment horizontal="left" vertical="center" indent="1"/>
    </xf>
    <xf numFmtId="0" fontId="27" fillId="16" borderId="1" xfId="0" applyNumberFormat="1" applyFont="1" applyFill="1" applyBorder="1" applyAlignment="1">
      <alignment horizontal="left" vertical="center" wrapText="1" indent="1"/>
    </xf>
    <xf numFmtId="0" fontId="27" fillId="16" borderId="1" xfId="0" applyNumberFormat="1" applyFont="1" applyFill="1" applyBorder="1" applyAlignment="1">
      <alignment horizontal="left" vertical="top" wrapText="1" indent="1"/>
    </xf>
    <xf numFmtId="0" fontId="21" fillId="19" borderId="1" xfId="0" applyNumberFormat="1" applyFont="1" applyFill="1" applyBorder="1" applyAlignment="1">
      <alignment horizontal="center" vertical="center"/>
    </xf>
    <xf numFmtId="164" fontId="21" fillId="19" borderId="1" xfId="0" applyNumberFormat="1" applyFont="1" applyFill="1" applyBorder="1" applyAlignment="1">
      <alignment horizontal="center" vertical="center"/>
    </xf>
    <xf numFmtId="0" fontId="21" fillId="19" borderId="1" xfId="0" applyNumberFormat="1" applyFont="1" applyFill="1" applyBorder="1" applyAlignment="1">
      <alignment horizontal="left" vertical="center" indent="1"/>
    </xf>
    <xf numFmtId="0" fontId="28" fillId="19" borderId="1" xfId="0" applyNumberFormat="1" applyFont="1" applyFill="1" applyBorder="1" applyAlignment="1">
      <alignment horizontal="left" vertical="center" wrapText="1" indent="1"/>
    </xf>
    <xf numFmtId="165" fontId="4" fillId="9" borderId="1" xfId="0" applyNumberFormat="1" applyFont="1" applyFill="1" applyBorder="1" applyAlignment="1">
      <alignment horizontal="center" vertical="center"/>
    </xf>
    <xf numFmtId="165" fontId="21" fillId="19" borderId="1" xfId="0" applyNumberFormat="1" applyFont="1" applyFill="1" applyBorder="1" applyAlignment="1">
      <alignment horizontal="center" vertical="center"/>
    </xf>
    <xf numFmtId="168" fontId="21" fillId="19" borderId="1" xfId="0" applyNumberFormat="1" applyFont="1" applyFill="1" applyBorder="1" applyAlignment="1">
      <alignment horizontal="center" vertical="center"/>
    </xf>
    <xf numFmtId="0" fontId="14" fillId="16" borderId="1" xfId="0" applyNumberFormat="1" applyFont="1" applyFill="1" applyBorder="1" applyAlignment="1">
      <alignment horizontal="left" vertical="center" indent="1"/>
    </xf>
    <xf numFmtId="0" fontId="11" fillId="2" borderId="0" xfId="0" applyNumberFormat="1" applyFont="1" applyFill="1" applyBorder="1" applyAlignment="1">
      <alignment horizontal="left" vertical="center" indent="1"/>
    </xf>
    <xf numFmtId="0" fontId="12" fillId="0" borderId="0" xfId="0" applyNumberFormat="1" applyFont="1" applyFill="1" applyBorder="1" applyAlignment="1">
      <alignment horizontal="left" vertical="center" indent="1"/>
    </xf>
    <xf numFmtId="0" fontId="13" fillId="0" borderId="5" xfId="0" applyNumberFormat="1" applyFont="1" applyFill="1" applyBorder="1" applyAlignment="1">
      <alignment horizontal="left" vertical="center"/>
    </xf>
    <xf numFmtId="0" fontId="9" fillId="10" borderId="4" xfId="0" applyNumberFormat="1" applyFont="1" applyFill="1" applyBorder="1" applyAlignment="1">
      <alignment horizontal="left" vertical="center" indent="1"/>
    </xf>
    <xf numFmtId="0" fontId="9" fillId="10" borderId="4" xfId="0" applyNumberFormat="1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left" vertical="center" wrapText="1" indent="1"/>
    </xf>
    <xf numFmtId="0" fontId="6" fillId="0" borderId="4" xfId="0" applyNumberFormat="1" applyFont="1" applyFill="1" applyBorder="1" applyAlignment="1">
      <alignment horizontal="left" vertical="center" wrapText="1" indent="1"/>
    </xf>
    <xf numFmtId="0" fontId="14" fillId="0" borderId="4" xfId="0" applyNumberFormat="1" applyFont="1" applyFill="1" applyBorder="1" applyAlignment="1">
      <alignment horizontal="left" vertical="center" indent="1"/>
    </xf>
    <xf numFmtId="0" fontId="16" fillId="15" borderId="4" xfId="0" applyNumberFormat="1" applyFont="1" applyFill="1" applyBorder="1" applyAlignment="1">
      <alignment horizontal="center" vertical="center"/>
    </xf>
    <xf numFmtId="165" fontId="16" fillId="15" borderId="4" xfId="0" applyNumberFormat="1" applyFont="1" applyFill="1" applyBorder="1" applyAlignment="1">
      <alignment horizontal="center" vertical="center"/>
    </xf>
    <xf numFmtId="0" fontId="16" fillId="15" borderId="4" xfId="0" applyNumberFormat="1" applyFont="1" applyFill="1" applyBorder="1" applyAlignment="1">
      <alignment horizontal="left" vertical="center" indent="1"/>
    </xf>
    <xf numFmtId="0" fontId="17" fillId="0" borderId="4" xfId="0" applyNumberFormat="1" applyFont="1" applyFill="1" applyBorder="1" applyAlignment="1">
      <alignment horizontal="left" vertical="center" indent="1"/>
    </xf>
    <xf numFmtId="0" fontId="29" fillId="20" borderId="4" xfId="0" applyNumberFormat="1" applyFont="1" applyFill="1" applyBorder="1" applyAlignment="1">
      <alignment horizontal="left" vertical="center" wrapText="1" indent="1"/>
    </xf>
    <xf numFmtId="0" fontId="15" fillId="0" borderId="0" xfId="0" applyNumberFormat="1" applyFont="1" applyFill="1" applyBorder="1" applyAlignment="1">
      <alignment horizontal="left" vertical="center" wrapText="1" indent="1"/>
    </xf>
    <xf numFmtId="0" fontId="30" fillId="18" borderId="4" xfId="0" applyNumberFormat="1" applyFont="1" applyFill="1" applyBorder="1" applyAlignment="1">
      <alignment horizontal="left" vertical="center" wrapText="1" indent="1"/>
    </xf>
    <xf numFmtId="0" fontId="9" fillId="2" borderId="4" xfId="0" applyNumberFormat="1" applyFont="1" applyFill="1" applyBorder="1" applyAlignment="1">
      <alignment horizontal="center" vertical="center"/>
    </xf>
    <xf numFmtId="0" fontId="6" fillId="3" borderId="4" xfId="0" applyNumberFormat="1" applyFont="1" applyFill="1" applyBorder="1" applyAlignment="1">
      <alignment horizontal="center" vertical="center"/>
    </xf>
    <xf numFmtId="0" fontId="6" fillId="5" borderId="4" xfId="0" applyNumberFormat="1" applyFont="1" applyFill="1" applyBorder="1" applyAlignment="1">
      <alignment horizontal="center" vertical="center"/>
    </xf>
    <xf numFmtId="0" fontId="6" fillId="6" borderId="4" xfId="0" applyNumberFormat="1" applyFont="1" applyFill="1" applyBorder="1" applyAlignment="1">
      <alignment horizontal="center" vertical="center"/>
    </xf>
    <xf numFmtId="0" fontId="6" fillId="7" borderId="4" xfId="0" applyNumberFormat="1" applyFont="1" applyFill="1" applyBorder="1" applyAlignment="1">
      <alignment horizontal="center" vertical="center"/>
    </xf>
    <xf numFmtId="0" fontId="31" fillId="8" borderId="4" xfId="0" applyNumberFormat="1" applyFont="1" applyFill="1" applyBorder="1" applyAlignment="1">
      <alignment horizontal="center" vertical="center"/>
    </xf>
    <xf numFmtId="0" fontId="6" fillId="17" borderId="4" xfId="0" applyNumberFormat="1" applyFont="1" applyFill="1" applyBorder="1" applyAlignment="1">
      <alignment horizontal="center" vertical="center"/>
    </xf>
    <xf numFmtId="0" fontId="32" fillId="13" borderId="4" xfId="0" applyNumberFormat="1" applyFont="1" applyFill="1" applyBorder="1" applyAlignment="1">
      <alignment horizontal="center" vertical="center"/>
    </xf>
    <xf numFmtId="0" fontId="33" fillId="11" borderId="4" xfId="0" applyNumberFormat="1" applyFont="1" applyFill="1" applyBorder="1" applyAlignment="1">
      <alignment horizontal="center" vertical="center"/>
    </xf>
    <xf numFmtId="0" fontId="33" fillId="21" borderId="4" xfId="0" applyNumberFormat="1" applyFont="1" applyFill="1" applyBorder="1" applyAlignment="1">
      <alignment horizontal="center" vertical="center"/>
    </xf>
    <xf numFmtId="0" fontId="31" fillId="22" borderId="4" xfId="0" applyNumberFormat="1" applyFont="1" applyFill="1" applyBorder="1" applyAlignment="1">
      <alignment horizontal="center" vertical="center"/>
    </xf>
    <xf numFmtId="0" fontId="34" fillId="9" borderId="4" xfId="0" applyNumberFormat="1" applyFont="1" applyFill="1" applyBorder="1" applyAlignment="1">
      <alignment horizontal="center" vertical="center"/>
    </xf>
    <xf numFmtId="0" fontId="35" fillId="16" borderId="4" xfId="0" applyNumberFormat="1" applyFont="1" applyFill="1" applyBorder="1" applyAlignment="1">
      <alignment horizontal="center" vertical="center"/>
    </xf>
    <xf numFmtId="0" fontId="36" fillId="19" borderId="4" xfId="0" applyNumberFormat="1" applyFont="1" applyFill="1" applyBorder="1" applyAlignment="1">
      <alignment horizontal="center" vertical="center"/>
    </xf>
    <xf numFmtId="0" fontId="30" fillId="18" borderId="4" xfId="0" applyNumberFormat="1" applyFont="1" applyFill="1" applyBorder="1" applyAlignment="1">
      <alignment horizontal="center" vertical="center"/>
    </xf>
    <xf numFmtId="169" fontId="5" fillId="16" borderId="1" xfId="0" applyNumberFormat="1" applyFont="1" applyFill="1" applyBorder="1" applyAlignment="1">
      <alignment horizontal="center" vertical="center"/>
    </xf>
    <xf numFmtId="164" fontId="15" fillId="16" borderId="1" xfId="0" applyNumberFormat="1" applyFont="1" applyFill="1" applyBorder="1" applyAlignment="1">
      <alignment horizontal="center" vertical="center"/>
    </xf>
    <xf numFmtId="0" fontId="15" fillId="16" borderId="1" xfId="0" applyNumberFormat="1" applyFont="1" applyFill="1" applyBorder="1" applyAlignment="1">
      <alignment horizontal="left" vertical="center" indent="1"/>
    </xf>
    <xf numFmtId="0" fontId="15" fillId="16" borderId="1" xfId="0" applyNumberFormat="1" applyFont="1" applyFill="1" applyBorder="1" applyAlignment="1">
      <alignment horizontal="center" vertical="center"/>
    </xf>
    <xf numFmtId="0" fontId="37" fillId="3" borderId="1" xfId="0" applyNumberFormat="1" applyFont="1" applyFill="1" applyBorder="1" applyAlignment="1">
      <alignment horizontal="center" vertical="center" wrapText="1"/>
    </xf>
    <xf numFmtId="168" fontId="5" fillId="16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color rgb="FF006100"/>
      </font>
      <fill>
        <patternFill>
          <bgColor rgb="FFC6EFCE"/>
        </patternFill>
      </fill>
    </dxf>
    <dxf>
      <font>
        <b/>
        <color rgb="FF1F3864"/>
      </font>
      <fill>
        <patternFill>
          <bgColor rgb="FFFFE699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7F7F7F"/>
      </font>
      <fill>
        <patternFill>
          <bgColor rgb="FFF2F2F2"/>
        </patternFill>
      </fill>
    </dxf>
    <dxf>
      <font>
        <b/>
        <color rgb="FF1F3864"/>
      </font>
      <fill>
        <patternFill>
          <bgColor rgb="FFBDD7EE"/>
        </patternFill>
      </fill>
    </dxf>
    <dxf>
      <fill>
        <patternFill>
          <bgColor rgb="FFEAF6EC"/>
        </patternFill>
      </fill>
    </dxf>
    <dxf>
      <font>
        <color rgb="FF9C0006"/>
      </font>
      <fill>
        <patternFill>
          <bgColor rgb="FFFDE9E7"/>
        </patternFill>
      </fill>
    </dxf>
    <dxf>
      <font>
        <color rgb="FFBFBFBF"/>
      </font>
    </dxf>
  </dxfs>
  <tableStyles count="0" defaultTableStyle="TableStyleMedium2" defaultPivotStyle="PivotStyleLight16"/>
  <colors>
    <mruColors>
      <color rgb="FF8EF4B7"/>
      <color rgb="FFE010D6"/>
      <color rgb="FF00CC00"/>
      <color rgb="FFFF6600"/>
      <color rgb="FFFF4F4F"/>
      <color rgb="FF856EF8"/>
      <color rgb="FF09F720"/>
      <color rgb="FF9F16BA"/>
      <color rgb="FFFFFF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styles" Target="styles.xml"/><Relationship Id="rId2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/>
          <a:lstStyle/>
          <a:p>
            <a:pPr>
              <a:defRPr sz="1200" b="1">
                <a:solidFill>
                  <a:srgbClr val="1F3864"/>
                </a:solidFill>
                <a:latin typeface="Calibri"/>
              </a:defRPr>
            </a:pPr>
            <a:r>
              <a:rPr lang="en-US" sz="1200" b="1">
                <a:solidFill>
                  <a:srgbClr val="1F3864"/>
                </a:solidFill>
                <a:latin typeface="Calibri"/>
              </a:rPr>
              <a:t>r(Sᵢ) and z(Sᵢ, k) of every object — where the two lines meet, d(Sᵢ) = 0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v>r(Sᵢ) — nearest-enemy distance</c:v>
          </c:tx>
          <c:spPr>
            <a:ln w="28575" cap="rnd">
              <a:solidFill>
                <a:srgbClr val="2F5597"/>
              </a:solidFill>
              <a:round/>
            </a:ln>
          </c:spPr>
          <c:marker>
            <c:symbol val="circle"/>
            <c:size val="8"/>
            <c:spPr>
              <a:solidFill>
                <a:srgbClr val="2F5597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Characteristics'!$A$5:$A$11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Characteristics'!$D$5:$D$11</c:f>
              <c:numCache>
                <c:formatCode>General</c:formatCode>
                <c:ptCount val="7"/>
                <c:pt idx="0">
                  <c:v>5.60708061</c:v>
                </c:pt>
                <c:pt idx="1">
                  <c:v>7.4699698919</c:v>
                </c:pt>
                <c:pt idx="2">
                  <c:v>5.60708061</c:v>
                </c:pt>
                <c:pt idx="3">
                  <c:v>3.7071187508</c:v>
                </c:pt>
                <c:pt idx="4">
                  <c:v>7.1117040273</c:v>
                </c:pt>
                <c:pt idx="5">
                  <c:v>3.7071187508</c:v>
                </c:pt>
                <c:pt idx="6">
                  <c:v>3.9109813746</c:v>
                </c:pt>
              </c:numCache>
            </c:numRef>
          </c:val>
        </c:ser>
        <c:ser>
          <c:idx val="1"/>
          <c:order val="1"/>
          <c:tx>
            <c:v>z(Sᵢ, k) — distance to the k-th neighbour</c:v>
          </c:tx>
          <c:spPr>
            <a:ln w="28575" cap="rnd">
              <a:solidFill>
                <a:srgbClr val="ED7D31"/>
              </a:solidFill>
              <a:prstDash val="dash"/>
              <a:round/>
            </a:ln>
          </c:spPr>
          <c:marker>
            <c:symbol val="square"/>
            <c:size val="8"/>
            <c:spPr>
              <a:solidFill>
                <a:srgbClr val="ED7D31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Characteristics'!$A$5:$A$11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Characteristics'!$H$5:$H$11</c:f>
              <c:numCache>
                <c:formatCode>General</c:formatCode>
                <c:ptCount val="7"/>
                <c:pt idx="0">
                  <c:v>5.60708061</c:v>
                </c:pt>
                <c:pt idx="1">
                  <c:v>6.3691657565</c:v>
                </c:pt>
                <c:pt idx="2">
                  <c:v>5.60708061</c:v>
                </c:pt>
                <c:pt idx="3">
                  <c:v>6.2175670209</c:v>
                </c:pt>
                <c:pt idx="4">
                  <c:v>7.1117040273</c:v>
                </c:pt>
                <c:pt idx="5">
                  <c:v>5.2172783643</c:v>
                </c:pt>
                <c:pt idx="6">
                  <c:v>5.0314314939</c:v>
                </c:pt>
              </c:numCache>
            </c:numRef>
          </c:val>
        </c:ser>
        <c:axId val="8001"/>
        <c:axId val="8002"/>
      </c:radarChart>
      <c:catAx>
        <c:axId val="8001"/>
        <c:scaling>
          <c:orientation val="minMax"/>
        </c:scaling>
        <c:delete val="0"/>
        <c:axPos val="b"/>
        <c:majorGridlines>
          <c:spPr>
            <a:ln w="6350">
              <a:solidFill>
                <a:srgbClr val="D9D9D9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50" b="1">
                <a:solidFill>
                  <a:srgbClr val="262626"/>
                </a:solidFill>
                <a:latin typeface="Calibri"/>
              </a:defRPr>
            </a:pPr>
            <a:endParaRPr lang="en-US"/>
          </a:p>
        </c:txPr>
        <c:crossAx val="8002"/>
        <c:crosses val="autoZero"/>
        <c:auto val="1"/>
        <c:lblAlgn val="ctr"/>
        <c:lblOffset val="100"/>
        <c:noMultiLvlLbl val="0"/>
      </c:catAx>
      <c:valAx>
        <c:axId val="8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numFmt formatCode="0" sourceLinked="0"/>
        <c:majorTickMark val="cross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900" b="0">
                <a:solidFill>
                  <a:srgbClr val="7F7F7F"/>
                </a:solidFill>
                <a:latin typeface="Calibri"/>
              </a:defRPr>
            </a:pPr>
            <a:endParaRPr lang="en-US"/>
          </a:p>
        </c:txPr>
        <c:crossAx val="8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000" b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/>
          <a:lstStyle/>
          <a:p>
            <a:pPr>
              <a:defRPr sz="1200" b="1">
                <a:solidFill>
                  <a:srgbClr val="1F3864"/>
                </a:solidFill>
                <a:latin typeface="Calibri"/>
              </a:defRPr>
            </a:pPr>
            <a:r>
              <a:rPr lang="en-US" sz="1200" b="1">
                <a:solidFill>
                  <a:srgbClr val="1F3864"/>
                </a:solidFill>
                <a:latin typeface="Calibri"/>
              </a:rPr>
              <a:t>g(Sᵢ) and the enemy spheres that contain Sᵢ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v>g(Sᵢ) — own-class objects inside the sphere of Sᵢ (row sum)</c:v>
          </c:tx>
          <c:spPr>
            <a:ln w="28575" cap="rnd">
              <a:solidFill>
                <a:srgbClr val="548235"/>
              </a:solidFill>
              <a:round/>
            </a:ln>
          </c:spPr>
          <c:marker>
            <c:symbol val="circle"/>
            <c:size val="8"/>
            <c:spPr>
              <a:solidFill>
                <a:srgbClr val="548235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Characteristics'!$A$5:$A$11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Characteristics'!$I$16:$I$22</c:f>
              <c:numCache>
                <c:formatCode>General</c:formatCode>
                <c:ptCount val="7"/>
                <c:pt idx="0">
                  <c:v>3.0</c:v>
                </c:pt>
                <c:pt idx="1">
                  <c:v>4.0</c:v>
                </c:pt>
                <c:pt idx="2">
                  <c:v>3.0</c:v>
                </c:pt>
                <c:pt idx="3">
                  <c:v>1.0</c:v>
                </c:pt>
                <c:pt idx="4">
                  <c:v>3.0</c:v>
                </c:pt>
                <c:pt idx="5">
                  <c:v>1.0</c:v>
                </c:pt>
                <c:pt idx="6">
                  <c:v>2.0</c:v>
                </c:pt>
              </c:numCache>
            </c:numRef>
          </c:val>
        </c:ser>
        <c:ser>
          <c:idx val="1"/>
          <c:order val="1"/>
          <c:tx>
            <c:v>spheres that contain Sᵢ (column sum) — who can put Sᵢ in L</c:v>
          </c:tx>
          <c:spPr>
            <a:ln w="28575" cap="rnd">
              <a:solidFill>
                <a:srgbClr val="7030A0"/>
              </a:solidFill>
              <a:prstDash val="dash"/>
              <a:round/>
            </a:ln>
          </c:spPr>
          <c:marker>
            <c:symbol val="diamond"/>
            <c:size val="8"/>
            <c:spPr>
              <a:solidFill>
                <a:srgbClr val="7030A0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Characteristics'!$A$5:$A$11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Characteristics'!$B$23:$H$23</c:f>
              <c:numCache>
                <c:formatCode>General</c:formatCode>
                <c:ptCount val="7"/>
                <c:pt idx="0">
                  <c:v>3.0</c:v>
                </c:pt>
                <c:pt idx="1">
                  <c:v>3.0</c:v>
                </c:pt>
                <c:pt idx="2">
                  <c:v>2.0</c:v>
                </c:pt>
                <c:pt idx="3">
                  <c:v>2.0</c:v>
                </c:pt>
                <c:pt idx="4">
                  <c:v>3.0</c:v>
                </c:pt>
                <c:pt idx="5">
                  <c:v>2.0</c:v>
                </c:pt>
                <c:pt idx="6">
                  <c:v>2.0</c:v>
                </c:pt>
              </c:numCache>
            </c:numRef>
          </c:val>
        </c:ser>
        <c:axId val="8001"/>
        <c:axId val="8002"/>
      </c:radarChart>
      <c:catAx>
        <c:axId val="8001"/>
        <c:scaling>
          <c:orientation val="minMax"/>
        </c:scaling>
        <c:delete val="0"/>
        <c:axPos val="b"/>
        <c:majorGridlines>
          <c:spPr>
            <a:ln w="6350">
              <a:solidFill>
                <a:srgbClr val="D9D9D9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50" b="1">
                <a:solidFill>
                  <a:srgbClr val="262626"/>
                </a:solidFill>
                <a:latin typeface="Calibri"/>
              </a:defRPr>
            </a:pPr>
            <a:endParaRPr lang="en-US"/>
          </a:p>
        </c:txPr>
        <c:crossAx val="8002"/>
        <c:crosses val="autoZero"/>
        <c:auto val="1"/>
        <c:lblAlgn val="ctr"/>
        <c:lblOffset val="100"/>
        <c:noMultiLvlLbl val="0"/>
      </c:catAx>
      <c:valAx>
        <c:axId val="8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numFmt formatCode="0" sourceLinked="0"/>
        <c:majorTickMark val="cross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900" b="0">
                <a:solidFill>
                  <a:srgbClr val="7F7F7F"/>
                </a:solidFill>
                <a:latin typeface="Calibri"/>
              </a:defRPr>
            </a:pPr>
            <a:endParaRPr lang="en-US"/>
          </a:p>
        </c:txPr>
        <c:crossAx val="8001"/>
        <c:crosses val="autoZero"/>
        <c:crossBetween val="between"/>
        <c:majorUnit val="1"/>
      </c:valAx>
    </c:plotArea>
    <c:legend>
      <c:legendPos val="b"/>
      <c:overlay val="0"/>
      <c:txPr>
        <a:bodyPr/>
        <a:lstStyle/>
        <a:p>
          <a:pPr>
            <a:defRPr sz="1000" b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/>
          <a:lstStyle/>
          <a:p>
            <a:pPr>
              <a:defRPr sz="1100" b="1">
                <a:solidFill>
                  <a:srgbClr val="1F3864"/>
                </a:solidFill>
                <a:latin typeface="Calibri"/>
              </a:defRPr>
            </a:pPr>
            <a:r>
              <a:rPr lang="en-US" sz="1100" b="1">
                <a:solidFill>
                  <a:srgbClr val="1F3864"/>
                </a:solidFill>
                <a:latin typeface="Calibri"/>
              </a:rPr>
              <a:t>Neighbourhood strips in Step 2 queue order (top = first in the queue) — every neighbour at its distance, r line above, z line below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enemy sphere: 0 … r(Sᵢ)</c:v>
          </c:tx>
          <c:spPr>
            <a:ln w="28575" cap="flat">
              <a:solidFill>
                <a:srgbClr val="595959"/>
              </a:solidFill>
              <a:round/>
            </a:ln>
          </c:spPr>
          <c:marker>
            <c:symbol val="none"/>
          </c:marker>
          <c:xVal>
            <c:numRef>
              <c:f>'Hypersphere Data'!$U$237:$U$238</c:f>
              <c:numCache>
                <c:formatCode>General</c:formatCode>
                <c:ptCount val="2"/>
                <c:pt idx="0">
                  <c:v>0.0</c:v>
                </c:pt>
                <c:pt idx="1">
                  <c:v>5.60708061</c:v>
                </c:pt>
              </c:numCache>
            </c:numRef>
          </c:xVal>
          <c:yVal>
            <c:numRef>
              <c:f>'Hypersphere Data'!$V$237:$V$238</c:f>
              <c:numCache>
                <c:formatCode>General</c:formatCode>
                <c:ptCount val="2"/>
                <c:pt idx="0">
                  <c:v>7.22</c:v>
                </c:pt>
                <c:pt idx="1">
                  <c:v>7.22</c:v>
                </c:pt>
              </c:numCache>
            </c:numRef>
          </c:yVal>
          <c:smooth val="0"/>
        </c:ser>
        <c:ser>
          <c:idx val="1"/>
          <c:order val="1"/>
          <c:tx>
            <c:v>enemy sphere: 0 … r(Sᵢ)</c:v>
          </c:tx>
          <c:spPr>
            <a:ln w="28575" cap="flat">
              <a:solidFill>
                <a:srgbClr val="595959"/>
              </a:solidFill>
              <a:round/>
            </a:ln>
          </c:spPr>
          <c:marker>
            <c:symbol val="none"/>
          </c:marker>
          <c:xVal>
            <c:numRef>
              <c:f>'Hypersphere Data'!$U$239:$U$240</c:f>
              <c:numCache>
                <c:formatCode>General</c:formatCode>
                <c:ptCount val="2"/>
                <c:pt idx="0">
                  <c:v>0.0</c:v>
                </c:pt>
                <c:pt idx="1">
                  <c:v>7.4699698919</c:v>
                </c:pt>
              </c:numCache>
            </c:numRef>
          </c:xVal>
          <c:yVal>
            <c:numRef>
              <c:f>'Hypersphere Data'!$V$239:$V$240</c:f>
              <c:numCache>
                <c:formatCode>General</c:formatCode>
                <c:ptCount val="2"/>
                <c:pt idx="0">
                  <c:v>4.22</c:v>
                </c:pt>
                <c:pt idx="1">
                  <c:v>4.22</c:v>
                </c:pt>
              </c:numCache>
            </c:numRef>
          </c:yVal>
          <c:smooth val="0"/>
        </c:ser>
        <c:ser>
          <c:idx val="2"/>
          <c:order val="2"/>
          <c:tx>
            <c:v>enemy sphere: 0 … r(Sᵢ)</c:v>
          </c:tx>
          <c:spPr>
            <a:ln w="28575" cap="flat">
              <a:solidFill>
                <a:srgbClr val="595959"/>
              </a:solidFill>
              <a:round/>
            </a:ln>
          </c:spPr>
          <c:marker>
            <c:symbol val="none"/>
          </c:marker>
          <c:xVal>
            <c:numRef>
              <c:f>'Hypersphere Data'!$U$241:$U$242</c:f>
              <c:numCache>
                <c:formatCode>General</c:formatCode>
                <c:ptCount val="2"/>
                <c:pt idx="0">
                  <c:v>0.0</c:v>
                </c:pt>
                <c:pt idx="1">
                  <c:v>5.60708061</c:v>
                </c:pt>
              </c:numCache>
            </c:numRef>
          </c:xVal>
          <c:yVal>
            <c:numRef>
              <c:f>'Hypersphere Data'!$V$241:$V$242</c:f>
              <c:numCache>
                <c:formatCode>General</c:formatCode>
                <c:ptCount val="2"/>
                <c:pt idx="0">
                  <c:v>6.22</c:v>
                </c:pt>
                <c:pt idx="1">
                  <c:v>6.22</c:v>
                </c:pt>
              </c:numCache>
            </c:numRef>
          </c:yVal>
          <c:smooth val="0"/>
        </c:ser>
        <c:ser>
          <c:idx val="3"/>
          <c:order val="3"/>
          <c:tx>
            <c:v>enemy sphere: 0 … r(Sᵢ)</c:v>
          </c:tx>
          <c:spPr>
            <a:ln w="28575" cap="flat">
              <a:solidFill>
                <a:srgbClr val="595959"/>
              </a:solidFill>
              <a:round/>
            </a:ln>
          </c:spPr>
          <c:marker>
            <c:symbol val="none"/>
          </c:marker>
          <c:xVal>
            <c:numRef>
              <c:f>'Hypersphere Data'!$U$243:$U$244</c:f>
              <c:numCache>
                <c:formatCode>General</c:formatCode>
                <c:ptCount val="2"/>
                <c:pt idx="0">
                  <c:v>0.0</c:v>
                </c:pt>
                <c:pt idx="1">
                  <c:v>3.7071187508</c:v>
                </c:pt>
              </c:numCache>
            </c:numRef>
          </c:xVal>
          <c:yVal>
            <c:numRef>
              <c:f>'Hypersphere Data'!$V$243:$V$244</c:f>
              <c:numCache>
                <c:formatCode>General</c:formatCode>
                <c:ptCount val="2"/>
                <c:pt idx="0">
                  <c:v>1.22</c:v>
                </c:pt>
                <c:pt idx="1">
                  <c:v>1.22</c:v>
                </c:pt>
              </c:numCache>
            </c:numRef>
          </c:yVal>
          <c:smooth val="0"/>
        </c:ser>
        <c:ser>
          <c:idx val="4"/>
          <c:order val="4"/>
          <c:tx>
            <c:v>enemy sphere: 0 … r(Sᵢ)</c:v>
          </c:tx>
          <c:spPr>
            <a:ln w="28575" cap="flat">
              <a:solidFill>
                <a:srgbClr val="595959"/>
              </a:solidFill>
              <a:round/>
            </a:ln>
          </c:spPr>
          <c:marker>
            <c:symbol val="none"/>
          </c:marker>
          <c:xVal>
            <c:numRef>
              <c:f>'Hypersphere Data'!$U$245:$U$246</c:f>
              <c:numCache>
                <c:formatCode>General</c:formatCode>
                <c:ptCount val="2"/>
                <c:pt idx="0">
                  <c:v>0.0</c:v>
                </c:pt>
                <c:pt idx="1">
                  <c:v>7.1117040273</c:v>
                </c:pt>
              </c:numCache>
            </c:numRef>
          </c:xVal>
          <c:yVal>
            <c:numRef>
              <c:f>'Hypersphere Data'!$V$245:$V$246</c:f>
              <c:numCache>
                <c:formatCode>General</c:formatCode>
                <c:ptCount val="2"/>
                <c:pt idx="0">
                  <c:v>5.22</c:v>
                </c:pt>
                <c:pt idx="1">
                  <c:v>5.22</c:v>
                </c:pt>
              </c:numCache>
            </c:numRef>
          </c:yVal>
          <c:smooth val="0"/>
        </c:ser>
        <c:ser>
          <c:idx val="5"/>
          <c:order val="5"/>
          <c:tx>
            <c:v>enemy sphere: 0 … r(Sᵢ)</c:v>
          </c:tx>
          <c:spPr>
            <a:ln w="28575" cap="flat">
              <a:solidFill>
                <a:srgbClr val="595959"/>
              </a:solidFill>
              <a:round/>
            </a:ln>
          </c:spPr>
          <c:marker>
            <c:symbol val="none"/>
          </c:marker>
          <c:xVal>
            <c:numRef>
              <c:f>'Hypersphere Data'!$U$247:$U$248</c:f>
              <c:numCache>
                <c:formatCode>General</c:formatCode>
                <c:ptCount val="2"/>
                <c:pt idx="0">
                  <c:v>0.0</c:v>
                </c:pt>
                <c:pt idx="1">
                  <c:v>3.7071187508</c:v>
                </c:pt>
              </c:numCache>
            </c:numRef>
          </c:xVal>
          <c:yVal>
            <c:numRef>
              <c:f>'Hypersphere Data'!$V$247:$V$248</c:f>
              <c:numCache>
                <c:formatCode>General</c:formatCode>
                <c:ptCount val="2"/>
                <c:pt idx="0">
                  <c:v>2.22</c:v>
                </c:pt>
                <c:pt idx="1">
                  <c:v>2.22</c:v>
                </c:pt>
              </c:numCache>
            </c:numRef>
          </c:yVal>
          <c:smooth val="0"/>
        </c:ser>
        <c:ser>
          <c:idx val="6"/>
          <c:order val="6"/>
          <c:tx>
            <c:v>enemy sphere: 0 … r(Sᵢ)</c:v>
          </c:tx>
          <c:spPr>
            <a:ln w="28575" cap="flat">
              <a:solidFill>
                <a:srgbClr val="595959"/>
              </a:solidFill>
              <a:round/>
            </a:ln>
          </c:spPr>
          <c:marker>
            <c:symbol val="none"/>
          </c:marker>
          <c:xVal>
            <c:numRef>
              <c:f>'Hypersphere Data'!$U$249:$U$250</c:f>
              <c:numCache>
                <c:formatCode>General</c:formatCode>
                <c:ptCount val="2"/>
                <c:pt idx="0">
                  <c:v>0.0</c:v>
                </c:pt>
                <c:pt idx="1">
                  <c:v>3.9109813746</c:v>
                </c:pt>
              </c:numCache>
            </c:numRef>
          </c:xVal>
          <c:yVal>
            <c:numRef>
              <c:f>'Hypersphere Data'!$V$249:$V$250</c:f>
              <c:numCache>
                <c:formatCode>General</c:formatCode>
                <c:ptCount val="2"/>
                <c:pt idx="0">
                  <c:v>3.22</c:v>
                </c:pt>
                <c:pt idx="1">
                  <c:v>3.22</c:v>
                </c:pt>
              </c:numCache>
            </c:numRef>
          </c:yVal>
          <c:smooth val="0"/>
        </c:ser>
        <c:ser>
          <c:idx val="7"/>
          <c:order val="7"/>
          <c:tx>
            <c:v>k-sphere: 0 … z(Sᵢ, k)</c:v>
          </c:tx>
          <c:spPr>
            <a:ln w="2857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Data'!$W$237:$W$238</c:f>
              <c:numCache>
                <c:formatCode>General</c:formatCode>
                <c:ptCount val="2"/>
                <c:pt idx="0">
                  <c:v>0.0</c:v>
                </c:pt>
                <c:pt idx="1">
                  <c:v>5.60708061</c:v>
                </c:pt>
              </c:numCache>
            </c:numRef>
          </c:xVal>
          <c:yVal>
            <c:numRef>
              <c:f>'Hypersphere Data'!$X$237:$X$238</c:f>
              <c:numCache>
                <c:formatCode>General</c:formatCode>
                <c:ptCount val="2"/>
                <c:pt idx="0">
                  <c:v>6.78</c:v>
                </c:pt>
                <c:pt idx="1">
                  <c:v>6.78</c:v>
                </c:pt>
              </c:numCache>
            </c:numRef>
          </c:yVal>
          <c:smooth val="0"/>
        </c:ser>
        <c:ser>
          <c:idx val="8"/>
          <c:order val="8"/>
          <c:tx>
            <c:v>k-sphere: 0 … z(Sᵢ, k)</c:v>
          </c:tx>
          <c:spPr>
            <a:ln w="2857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Data'!$W$239:$W$240</c:f>
              <c:numCache>
                <c:formatCode>General</c:formatCode>
                <c:ptCount val="2"/>
                <c:pt idx="0">
                  <c:v>0.0</c:v>
                </c:pt>
                <c:pt idx="1">
                  <c:v>6.3691657565</c:v>
                </c:pt>
              </c:numCache>
            </c:numRef>
          </c:xVal>
          <c:yVal>
            <c:numRef>
              <c:f>'Hypersphere Data'!$X$239:$X$240</c:f>
              <c:numCache>
                <c:formatCode>General</c:formatCode>
                <c:ptCount val="2"/>
                <c:pt idx="0">
                  <c:v>3.78</c:v>
                </c:pt>
                <c:pt idx="1">
                  <c:v>3.78</c:v>
                </c:pt>
              </c:numCache>
            </c:numRef>
          </c:yVal>
          <c:smooth val="0"/>
        </c:ser>
        <c:ser>
          <c:idx val="9"/>
          <c:order val="9"/>
          <c:tx>
            <c:v>k-sphere: 0 … z(Sᵢ, k)</c:v>
          </c:tx>
          <c:spPr>
            <a:ln w="2857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Data'!$W$241:$W$242</c:f>
              <c:numCache>
                <c:formatCode>General</c:formatCode>
                <c:ptCount val="2"/>
                <c:pt idx="0">
                  <c:v>0.0</c:v>
                </c:pt>
                <c:pt idx="1">
                  <c:v>5.60708061</c:v>
                </c:pt>
              </c:numCache>
            </c:numRef>
          </c:xVal>
          <c:yVal>
            <c:numRef>
              <c:f>'Hypersphere Data'!$X$241:$X$242</c:f>
              <c:numCache>
                <c:formatCode>General</c:formatCode>
                <c:ptCount val="2"/>
                <c:pt idx="0">
                  <c:v>5.78</c:v>
                </c:pt>
                <c:pt idx="1">
                  <c:v>5.78</c:v>
                </c:pt>
              </c:numCache>
            </c:numRef>
          </c:yVal>
          <c:smooth val="0"/>
        </c:ser>
        <c:ser>
          <c:idx val="10"/>
          <c:order val="10"/>
          <c:tx>
            <c:v>k-sphere: 0 … z(Sᵢ, k)</c:v>
          </c:tx>
          <c:spPr>
            <a:ln w="2857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Data'!$W$243:$W$244</c:f>
              <c:numCache>
                <c:formatCode>General</c:formatCode>
                <c:ptCount val="2"/>
                <c:pt idx="0">
                  <c:v>0.0</c:v>
                </c:pt>
                <c:pt idx="1">
                  <c:v>6.2175670209</c:v>
                </c:pt>
              </c:numCache>
            </c:numRef>
          </c:xVal>
          <c:yVal>
            <c:numRef>
              <c:f>'Hypersphere Data'!$X$243:$X$244</c:f>
              <c:numCache>
                <c:formatCode>General</c:formatCode>
                <c:ptCount val="2"/>
                <c:pt idx="0">
                  <c:v>0.78</c:v>
                </c:pt>
                <c:pt idx="1">
                  <c:v>0.78</c:v>
                </c:pt>
              </c:numCache>
            </c:numRef>
          </c:yVal>
          <c:smooth val="0"/>
        </c:ser>
        <c:ser>
          <c:idx val="11"/>
          <c:order val="11"/>
          <c:tx>
            <c:v>k-sphere: 0 … z(Sᵢ, k)</c:v>
          </c:tx>
          <c:spPr>
            <a:ln w="2857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Data'!$W$245:$W$246</c:f>
              <c:numCache>
                <c:formatCode>General</c:formatCode>
                <c:ptCount val="2"/>
                <c:pt idx="0">
                  <c:v>0.0</c:v>
                </c:pt>
                <c:pt idx="1">
                  <c:v>7.1117040273</c:v>
                </c:pt>
              </c:numCache>
            </c:numRef>
          </c:xVal>
          <c:yVal>
            <c:numRef>
              <c:f>'Hypersphere Data'!$X$245:$X$246</c:f>
              <c:numCache>
                <c:formatCode>General</c:formatCode>
                <c:ptCount val="2"/>
                <c:pt idx="0">
                  <c:v>4.78</c:v>
                </c:pt>
                <c:pt idx="1">
                  <c:v>4.78</c:v>
                </c:pt>
              </c:numCache>
            </c:numRef>
          </c:yVal>
          <c:smooth val="0"/>
        </c:ser>
        <c:ser>
          <c:idx val="12"/>
          <c:order val="12"/>
          <c:tx>
            <c:v>k-sphere: 0 … z(Sᵢ, k)</c:v>
          </c:tx>
          <c:spPr>
            <a:ln w="2857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Data'!$W$247:$W$248</c:f>
              <c:numCache>
                <c:formatCode>General</c:formatCode>
                <c:ptCount val="2"/>
                <c:pt idx="0">
                  <c:v>0.0</c:v>
                </c:pt>
                <c:pt idx="1">
                  <c:v>5.2172783643</c:v>
                </c:pt>
              </c:numCache>
            </c:numRef>
          </c:xVal>
          <c:yVal>
            <c:numRef>
              <c:f>'Hypersphere Data'!$X$247:$X$248</c:f>
              <c:numCache>
                <c:formatCode>General</c:formatCode>
                <c:ptCount val="2"/>
                <c:pt idx="0">
                  <c:v>1.78</c:v>
                </c:pt>
                <c:pt idx="1">
                  <c:v>1.78</c:v>
                </c:pt>
              </c:numCache>
            </c:numRef>
          </c:yVal>
          <c:smooth val="0"/>
        </c:ser>
        <c:ser>
          <c:idx val="13"/>
          <c:order val="13"/>
          <c:tx>
            <c:v>k-sphere: 0 … z(Sᵢ, k)</c:v>
          </c:tx>
          <c:spPr>
            <a:ln w="2857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Data'!$W$249:$W$250</c:f>
              <c:numCache>
                <c:formatCode>General</c:formatCode>
                <c:ptCount val="2"/>
                <c:pt idx="0">
                  <c:v>0.0</c:v>
                </c:pt>
                <c:pt idx="1">
                  <c:v>5.0314314939</c:v>
                </c:pt>
              </c:numCache>
            </c:numRef>
          </c:xVal>
          <c:yVal>
            <c:numRef>
              <c:f>'Hypersphere Data'!$X$249:$X$250</c:f>
              <c:numCache>
                <c:formatCode>General</c:formatCode>
                <c:ptCount val="2"/>
                <c:pt idx="0">
                  <c:v>2.78</c:v>
                </c:pt>
                <c:pt idx="1">
                  <c:v>2.78</c:v>
                </c:pt>
              </c:numCache>
            </c:numRef>
          </c:yVal>
          <c:smooth val="0"/>
        </c:ser>
        <c:ser>
          <c:idx val="14"/>
          <c:order val="14"/>
          <c:tx>
            <c:v>K1 · not counted in g</c:v>
          </c:tx>
          <c:spPr>
            <a:ln w="19050">
              <a:noFill/>
            </a:ln>
          </c:spPr>
          <c:marker>
            <c:symbol val="circle"/>
            <c:size val="8"/>
            <c:spPr>
              <a:solidFill>
                <a:srgbClr val="A9C4EB"/>
              </a:solidFill>
              <a:ln w="12700">
                <a:solidFill>
                  <a:srgbClr val="2F5597"/>
                </a:solidFill>
              </a:ln>
            </c:spPr>
          </c:marker>
          <c:xVal>
            <c:numRef>
              <c:f>'Hypersphere Data'!$I$237:$I$285</c:f>
              <c:numCache>
                <c:formatCode>General</c:formatCode>
                <c:ptCount val="49"/>
                <c:pt idx="2">
                  <c:v>5.60708061</c:v>
                </c:pt>
                <c:pt idx="5">
                  <c:v>6.8015669516</c:v>
                </c:pt>
                <c:pt idx="6">
                  <c:v>5.8897935773</c:v>
                </c:pt>
                <c:pt idx="9">
                  <c:v>7.4699698919</c:v>
                </c:pt>
                <c:pt idx="12">
                  <c:v>8.742951174</c:v>
                </c:pt>
                <c:pt idx="13">
                  <c:v>7.7855937542</c:v>
                </c:pt>
                <c:pt idx="23">
                  <c:v>6.2175670209</c:v>
                </c:pt>
                <c:pt idx="26">
                  <c:v>3.7071187508</c:v>
                </c:pt>
                <c:pt idx="27">
                  <c:v>3.9109813746</c:v>
                </c:pt>
                <c:pt idx="30">
                  <c:v>7.3117496807</c:v>
                </c:pt>
                <c:pt idx="33">
                  <c:v>9.0234774016</c:v>
                </c:pt>
                <c:pt idx="34">
                  <c:v>7.1117040273</c:v>
                </c:pt>
                <c:pt idx="37">
                  <c:v>5.2172783643</c:v>
                </c:pt>
                <c:pt idx="41">
                  <c:v>5.0314314939</c:v>
                </c:pt>
                <c:pt idx="47">
                  <c:v>5.0314314939</c:v>
                </c:pt>
              </c:numCache>
            </c:numRef>
          </c:xVal>
          <c:yVal>
            <c:numRef>
              <c:f>'Hypersphere Data'!$J$237:$J$285</c:f>
              <c:numCache>
                <c:formatCode>General</c:formatCode>
                <c:ptCount val="49"/>
                <c:pt idx="2">
                  <c:v>7.0</c:v>
                </c:pt>
                <c:pt idx="5">
                  <c:v>7.0</c:v>
                </c:pt>
                <c:pt idx="6">
                  <c:v>7.0</c:v>
                </c:pt>
                <c:pt idx="9">
                  <c:v>4.0</c:v>
                </c:pt>
                <c:pt idx="12">
                  <c:v>4.0</c:v>
                </c:pt>
                <c:pt idx="13">
                  <c:v>4.0</c:v>
                </c:pt>
                <c:pt idx="23">
                  <c:v>1.0</c:v>
                </c:pt>
                <c:pt idx="26">
                  <c:v>1.0</c:v>
                </c:pt>
                <c:pt idx="27">
                  <c:v>1.0</c:v>
                </c:pt>
                <c:pt idx="30">
                  <c:v>5.0</c:v>
                </c:pt>
                <c:pt idx="33">
                  <c:v>5.0</c:v>
                </c:pt>
                <c:pt idx="34">
                  <c:v>5.0</c:v>
                </c:pt>
                <c:pt idx="37">
                  <c:v>2.0</c:v>
                </c:pt>
                <c:pt idx="41">
                  <c:v>2.0</c:v>
                </c:pt>
                <c:pt idx="47">
                  <c:v>3.0</c:v>
                </c:pt>
              </c:numCache>
            </c:numRef>
          </c:yVal>
          <c:smooth val="0"/>
        </c:ser>
        <c:ser>
          <c:idx val="15"/>
          <c:order val="15"/>
          <c:tx>
            <c:v>K2 · not counted in g</c:v>
          </c:tx>
          <c:spPr>
            <a:ln w="19050">
              <a:noFill/>
            </a:ln>
          </c:spPr>
          <c:marker>
            <c:symbol val="triangle"/>
            <c:size val="9"/>
            <c:spPr>
              <a:solidFill>
                <a:srgbClr val="F2A7A7"/>
              </a:solidFill>
              <a:ln w="12700">
                <a:solidFill>
                  <a:srgbClr val="C00000"/>
                </a:solidFill>
              </a:ln>
            </c:spPr>
          </c:marker>
          <c:xVal>
            <c:numRef>
              <c:f>'Hypersphere Data'!$M$237:$M$285</c:f>
              <c:numCache>
                <c:formatCode>General</c:formatCode>
                <c:ptCount val="49"/>
                <c:pt idx="3">
                  <c:v>6.6272117335</c:v>
                </c:pt>
                <c:pt idx="14">
                  <c:v>5.60708061</c:v>
                </c:pt>
                <c:pt idx="15">
                  <c:v>7.4699698919</c:v>
                </c:pt>
                <c:pt idx="17">
                  <c:v>6.2175670209</c:v>
                </c:pt>
                <c:pt idx="18">
                  <c:v>7.3117496807</c:v>
                </c:pt>
                <c:pt idx="21">
                  <c:v>6.6272117335</c:v>
                </c:pt>
                <c:pt idx="22">
                  <c:v>6.3691657565</c:v>
                </c:pt>
                <c:pt idx="25">
                  <c:v>7.8491221835</c:v>
                </c:pt>
                <c:pt idx="31">
                  <c:v>7.8491221835</c:v>
                </c:pt>
                <c:pt idx="35">
                  <c:v>6.8015669516</c:v>
                </c:pt>
                <c:pt idx="36">
                  <c:v>8.742951174</c:v>
                </c:pt>
                <c:pt idx="38">
                  <c:v>3.7071187508</c:v>
                </c:pt>
                <c:pt idx="39">
                  <c:v>9.0234774016</c:v>
                </c:pt>
                <c:pt idx="42">
                  <c:v>5.8897935773</c:v>
                </c:pt>
                <c:pt idx="43">
                  <c:v>7.7855937542</c:v>
                </c:pt>
                <c:pt idx="45">
                  <c:v>3.9109813746</c:v>
                </c:pt>
                <c:pt idx="46">
                  <c:v>7.1117040273</c:v>
                </c:pt>
              </c:numCache>
            </c:numRef>
          </c:xVal>
          <c:yVal>
            <c:numRef>
              <c:f>'Hypersphere Data'!$N$237:$N$285</c:f>
              <c:numCache>
                <c:formatCode>General</c:formatCode>
                <c:ptCount val="49"/>
                <c:pt idx="3">
                  <c:v>7.0</c:v>
                </c:pt>
                <c:pt idx="14">
                  <c:v>6.0</c:v>
                </c:pt>
                <c:pt idx="15">
                  <c:v>6.0</c:v>
                </c:pt>
                <c:pt idx="17">
                  <c:v>6.0</c:v>
                </c:pt>
                <c:pt idx="18">
                  <c:v>6.0</c:v>
                </c:pt>
                <c:pt idx="21">
                  <c:v>1.0</c:v>
                </c:pt>
                <c:pt idx="22">
                  <c:v>1.0</c:v>
                </c:pt>
                <c:pt idx="25">
                  <c:v>1.0</c:v>
                </c:pt>
                <c:pt idx="31">
                  <c:v>5.0</c:v>
                </c:pt>
                <c:pt idx="35">
                  <c:v>2.0</c:v>
                </c:pt>
                <c:pt idx="36">
                  <c:v>2.0</c:v>
                </c:pt>
                <c:pt idx="38">
                  <c:v>2.0</c:v>
                </c:pt>
                <c:pt idx="39">
                  <c:v>2.0</c:v>
                </c:pt>
                <c:pt idx="42">
                  <c:v>3.0</c:v>
                </c:pt>
                <c:pt idx="43">
                  <c:v>3.0</c:v>
                </c:pt>
                <c:pt idx="45">
                  <c:v>3.0</c:v>
                </c:pt>
                <c:pt idx="46">
                  <c:v>3.0</c:v>
                </c:pt>
              </c:numCache>
            </c:numRef>
          </c:yVal>
          <c:smooth val="0"/>
        </c:ser>
        <c:ser>
          <c:idx val="16"/>
          <c:order val="16"/>
          <c:tx>
            <c:v>K1 · inside the enemy sphere (counted in g)</c:v>
          </c:tx>
          <c:spPr>
            <a:ln w="19050">
              <a:noFill/>
            </a:ln>
          </c:spPr>
          <c:marker>
            <c:symbol val="circle"/>
            <c:size val="8"/>
            <c:spPr>
              <a:solidFill>
                <a:srgbClr val="2F5597"/>
              </a:solidFill>
              <a:ln w="19050">
                <a:solidFill>
                  <a:srgbClr val="2F5597"/>
                </a:solidFill>
              </a:ln>
            </c:spPr>
          </c:marker>
          <c:xVal>
            <c:numRef>
              <c:f>'Hypersphere Data'!$G$237:$G$285</c:f>
              <c:numCache>
                <c:formatCode>General</c:formatCode>
                <c:ptCount val="49"/>
                <c:pt idx="19">
                  <c:v>5.2172783643</c:v>
                </c:pt>
                <c:pt idx="20">
                  <c:v>2.7849754107</c:v>
                </c:pt>
                <c:pt idx="44">
                  <c:v>2.7849754107</c:v>
                </c:pt>
              </c:numCache>
            </c:numRef>
          </c:xVal>
          <c:yVal>
            <c:numRef>
              <c:f>'Hypersphere Data'!$H$237:$H$285</c:f>
              <c:numCache>
                <c:formatCode>General</c:formatCode>
                <c:ptCount val="49"/>
                <c:pt idx="19">
                  <c:v>6.0</c:v>
                </c:pt>
                <c:pt idx="20">
                  <c:v>6.0</c:v>
                </c:pt>
                <c:pt idx="44">
                  <c:v>3.0</c:v>
                </c:pt>
              </c:numCache>
            </c:numRef>
          </c:yVal>
          <c:smooth val="0"/>
        </c:ser>
        <c:ser>
          <c:idx val="17"/>
          <c:order val="17"/>
          <c:tx>
            <c:v>K2 · inside the enemy sphere (counted in g)</c:v>
          </c:tx>
          <c:spPr>
            <a:ln w="19050">
              <a:noFill/>
            </a:ln>
          </c:spPr>
          <c:marker>
            <c:symbol val="triangle"/>
            <c:size val="9"/>
            <c:spPr>
              <a:solidFill>
                <a:srgbClr val="C00000"/>
              </a:solidFill>
              <a:ln w="19050">
                <a:solidFill>
                  <a:srgbClr val="C00000"/>
                </a:solidFill>
              </a:ln>
            </c:spPr>
          </c:marker>
          <c:xVal>
            <c:numRef>
              <c:f>'Hypersphere Data'!$K$237:$K$285</c:f>
              <c:numCache>
                <c:formatCode>General</c:formatCode>
                <c:ptCount val="49"/>
                <c:pt idx="1">
                  <c:v>4.6606100796</c:v>
                </c:pt>
                <c:pt idx="4">
                  <c:v>4.8565209225</c:v>
                </c:pt>
                <c:pt idx="7">
                  <c:v>4.6606100796</c:v>
                </c:pt>
                <c:pt idx="10">
                  <c:v>6.3691657565</c:v>
                </c:pt>
                <c:pt idx="11">
                  <c:v>6.104089157</c:v>
                </c:pt>
                <c:pt idx="28">
                  <c:v>4.8565209225</c:v>
                </c:pt>
                <c:pt idx="29">
                  <c:v>6.104089157</c:v>
                </c:pt>
              </c:numCache>
            </c:numRef>
          </c:xVal>
          <c:yVal>
            <c:numRef>
              <c:f>'Hypersphere Data'!$L$237:$L$285</c:f>
              <c:numCache>
                <c:formatCode>General</c:formatCode>
                <c:ptCount val="49"/>
                <c:pt idx="1">
                  <c:v>7.0</c:v>
                </c:pt>
                <c:pt idx="4">
                  <c:v>7.0</c:v>
                </c:pt>
                <c:pt idx="7">
                  <c:v>4.0</c:v>
                </c:pt>
                <c:pt idx="10">
                  <c:v>4.0</c:v>
                </c:pt>
                <c:pt idx="11">
                  <c:v>4.0</c:v>
                </c:pt>
                <c:pt idx="28">
                  <c:v>5.0</c:v>
                </c:pt>
                <c:pt idx="29">
                  <c:v>5.0</c:v>
                </c:pt>
              </c:numCache>
            </c:numRef>
          </c:yVal>
          <c:smooth val="0"/>
        </c:ser>
        <c:ser>
          <c:idx val="18"/>
          <c:order val="18"/>
          <c:tx>
            <c:v>Sᵢ itself (K1)</c:v>
          </c:tx>
          <c:spPr>
            <a:ln w="19050">
              <a:noFill/>
            </a:ln>
          </c:spPr>
          <c:marker>
            <c:symbol val="circle"/>
            <c:size val="11"/>
            <c:spPr>
              <a:solidFill>
                <a:srgbClr val="2F5597"/>
              </a:solidFill>
              <a:ln w="25400">
                <a:solidFill>
                  <a:srgbClr val="000000"/>
                </a:solidFill>
              </a:ln>
            </c:spPr>
          </c:marker>
          <c:xVal>
            <c:numRef>
              <c:f>'Hypersphere Data'!$O$237:$O$285</c:f>
              <c:numCache>
                <c:formatCode>General</c:formatCode>
                <c:ptCount val="49"/>
                <c:pt idx="16">
                  <c:v>0.0</c:v>
                </c:pt>
                <c:pt idx="40">
                  <c:v>0.0</c:v>
                </c:pt>
                <c:pt idx="48">
                  <c:v>0.0</c:v>
                </c:pt>
              </c:numCache>
            </c:numRef>
          </c:xVal>
          <c:yVal>
            <c:numRef>
              <c:f>'Hypersphere Data'!$P$237:$P$285</c:f>
              <c:numCache>
                <c:formatCode>General</c:formatCode>
                <c:ptCount val="49"/>
                <c:pt idx="16">
                  <c:v>6.0</c:v>
                </c:pt>
                <c:pt idx="40">
                  <c:v>2.0</c:v>
                </c:pt>
                <c:pt idx="48">
                  <c:v>3.0</c:v>
                </c:pt>
              </c:numCache>
            </c:numRef>
          </c:yVal>
          <c:smooth val="0"/>
        </c:ser>
        <c:ser>
          <c:idx val="19"/>
          <c:order val="19"/>
          <c:tx>
            <c:v>Sᵢ itself (K2)</c:v>
          </c:tx>
          <c:spPr>
            <a:ln w="19050">
              <a:noFill/>
            </a:ln>
          </c:spPr>
          <c:marker>
            <c:symbol val="triangle"/>
            <c:size val="12"/>
            <c:spPr>
              <a:solidFill>
                <a:srgbClr val="C00000"/>
              </a:solidFill>
              <a:ln w="25400">
                <a:solidFill>
                  <a:srgbClr val="000000"/>
                </a:solidFill>
              </a:ln>
            </c:spPr>
          </c:marker>
          <c:xVal>
            <c:numRef>
              <c:f>'Hypersphere Data'!$Q$237:$Q$285</c:f>
              <c:numCache>
                <c:formatCode>General</c:formatCode>
                <c:ptCount val="49"/>
                <c:pt idx="0">
                  <c:v>0.0</c:v>
                </c:pt>
                <c:pt idx="8">
                  <c:v>0.0</c:v>
                </c:pt>
                <c:pt idx="24">
                  <c:v>0.0</c:v>
                </c:pt>
                <c:pt idx="32">
                  <c:v>0.0</c:v>
                </c:pt>
              </c:numCache>
            </c:numRef>
          </c:xVal>
          <c:yVal>
            <c:numRef>
              <c:f>'Hypersphere Data'!$R$237:$R$285</c:f>
              <c:numCache>
                <c:formatCode>General</c:formatCode>
                <c:ptCount val="49"/>
                <c:pt idx="0">
                  <c:v>7.0</c:v>
                </c:pt>
                <c:pt idx="8">
                  <c:v>4.0</c:v>
                </c:pt>
                <c:pt idx="24">
                  <c:v>1.0</c:v>
                </c:pt>
                <c:pt idx="32">
                  <c:v>5.0</c:v>
                </c:pt>
              </c:numCache>
            </c:numRef>
          </c:yVal>
          <c:smooth val="0"/>
        </c:ser>
        <c:ser>
          <c:idx val="20"/>
          <c:order val="20"/>
          <c:tx>
            <c:strRef>
              <c:f>'Hypersphere Data'!$AA$237</c:f>
              <c:strCache>
                <c:ptCount val="1"/>
                <c:pt idx="0">
                  <c:v>S₁  ·  d 0.000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Data'!$AB$237</c:f>
              <c:numCache>
                <c:formatCode>General</c:formatCode>
                <c:ptCount val="1"/>
                <c:pt idx="0">
                  <c:v>-0.25</c:v>
                </c:pt>
              </c:numCache>
            </c:numRef>
          </c:xVal>
          <c:yVal>
            <c:numRef>
              <c:f>'Hypersphere Data'!$AC$237</c:f>
              <c:numCache>
                <c:formatCode>General</c:formatCode>
                <c:ptCount val="1"/>
                <c:pt idx="0">
                  <c:v>7.0</c:v>
                </c:pt>
              </c:numCache>
            </c:numRef>
          </c:yVal>
          <c:smooth val="0"/>
        </c:ser>
        <c:ser>
          <c:idx val="21"/>
          <c:order val="21"/>
          <c:tx>
            <c:strRef>
              <c:f>'Hypersphere Data'!$AA$238</c:f>
              <c:strCache>
                <c:ptCount val="1"/>
                <c:pt idx="0">
                  <c:v>S₂  ·  d 0.080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Data'!$AB$238</c:f>
              <c:numCache>
                <c:formatCode>General</c:formatCode>
                <c:ptCount val="1"/>
                <c:pt idx="0">
                  <c:v>-0.25</c:v>
                </c:pt>
              </c:numCache>
            </c:numRef>
          </c:xVal>
          <c:yVal>
            <c:numRef>
              <c:f>'Hypersphere Data'!$AC$238</c:f>
              <c:numCache>
                <c:formatCode>General</c:formatCode>
                <c:ptCount val="1"/>
                <c:pt idx="0">
                  <c:v>4.0</c:v>
                </c:pt>
              </c:numCache>
            </c:numRef>
          </c:yVal>
          <c:smooth val="0"/>
        </c:ser>
        <c:ser>
          <c:idx val="22"/>
          <c:order val="22"/>
          <c:tx>
            <c:strRef>
              <c:f>'Hypersphere Data'!$AA$239</c:f>
              <c:strCache>
                <c:ptCount val="1"/>
                <c:pt idx="0">
                  <c:v>S₃  ·  d 0.000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Data'!$AB$239</c:f>
              <c:numCache>
                <c:formatCode>General</c:formatCode>
                <c:ptCount val="1"/>
                <c:pt idx="0">
                  <c:v>-0.25</c:v>
                </c:pt>
              </c:numCache>
            </c:numRef>
          </c:xVal>
          <c:yVal>
            <c:numRef>
              <c:f>'Hypersphere Data'!$AC$239</c:f>
              <c:numCache>
                <c:formatCode>General</c:formatCode>
                <c:ptCount val="1"/>
                <c:pt idx="0">
                  <c:v>6.0</c:v>
                </c:pt>
              </c:numCache>
            </c:numRef>
          </c:yVal>
          <c:smooth val="0"/>
        </c:ser>
        <c:ser>
          <c:idx val="23"/>
          <c:order val="23"/>
          <c:tx>
            <c:strRef>
              <c:f>'Hypersphere Data'!$AA$240</c:f>
              <c:strCache>
                <c:ptCount val="1"/>
                <c:pt idx="0">
                  <c:v>S₄  ·  d 0.253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Data'!$AB$240</c:f>
              <c:numCache>
                <c:formatCode>General</c:formatCode>
                <c:ptCount val="1"/>
                <c:pt idx="0">
                  <c:v>-0.25</c:v>
                </c:pt>
              </c:numCache>
            </c:numRef>
          </c:xVal>
          <c:yVal>
            <c:numRef>
              <c:f>'Hypersphere Data'!$AC$240</c:f>
              <c:numCache>
                <c:formatCode>General</c:formatCode>
                <c:ptCount val="1"/>
                <c:pt idx="0">
                  <c:v>1.0</c:v>
                </c:pt>
              </c:numCache>
            </c:numRef>
          </c:yVal>
          <c:smooth val="0"/>
        </c:ser>
        <c:ser>
          <c:idx val="24"/>
          <c:order val="24"/>
          <c:tx>
            <c:strRef>
              <c:f>'Hypersphere Data'!$AA$241</c:f>
              <c:strCache>
                <c:ptCount val="1"/>
                <c:pt idx="0">
                  <c:v>S₅  ·  d 0.000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Data'!$AB$241</c:f>
              <c:numCache>
                <c:formatCode>General</c:formatCode>
                <c:ptCount val="1"/>
                <c:pt idx="0">
                  <c:v>-0.25</c:v>
                </c:pt>
              </c:numCache>
            </c:numRef>
          </c:xVal>
          <c:yVal>
            <c:numRef>
              <c:f>'Hypersphere Data'!$AC$241</c:f>
              <c:numCache>
                <c:formatCode>General</c:formatCode>
                <c:ptCount val="1"/>
                <c:pt idx="0">
                  <c:v>5.0</c:v>
                </c:pt>
              </c:numCache>
            </c:numRef>
          </c:yVal>
          <c:smooth val="0"/>
        </c:ser>
        <c:ser>
          <c:idx val="25"/>
          <c:order val="25"/>
          <c:tx>
            <c:strRef>
              <c:f>'Hypersphere Data'!$AA$242</c:f>
              <c:strCache>
                <c:ptCount val="1"/>
                <c:pt idx="0">
                  <c:v>S₆  ·  d 0.169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Data'!$AB$242</c:f>
              <c:numCache>
                <c:formatCode>General</c:formatCode>
                <c:ptCount val="1"/>
                <c:pt idx="0">
                  <c:v>-0.25</c:v>
                </c:pt>
              </c:numCache>
            </c:numRef>
          </c:xVal>
          <c:yVal>
            <c:numRef>
              <c:f>'Hypersphere Data'!$AC$242</c:f>
              <c:numCache>
                <c:formatCode>General</c:formatCode>
                <c:ptCount val="1"/>
                <c:pt idx="0">
                  <c:v>2.0</c:v>
                </c:pt>
              </c:numCache>
            </c:numRef>
          </c:yVal>
          <c:smooth val="0"/>
        </c:ser>
        <c:ser>
          <c:idx val="26"/>
          <c:order val="26"/>
          <c:tx>
            <c:strRef>
              <c:f>'Hypersphere Data'!$AA$243</c:f>
              <c:strCache>
                <c:ptCount val="1"/>
                <c:pt idx="0">
                  <c:v>S₇  ·  d 0.125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Data'!$AB$243</c:f>
              <c:numCache>
                <c:formatCode>General</c:formatCode>
                <c:ptCount val="1"/>
                <c:pt idx="0">
                  <c:v>-0.25</c:v>
                </c:pt>
              </c:numCache>
            </c:numRef>
          </c:xVal>
          <c:yVal>
            <c:numRef>
              <c:f>'Hypersphere Data'!$AC$243</c:f>
              <c:numCache>
                <c:formatCode>General</c:formatCode>
                <c:ptCount val="1"/>
                <c:pt idx="0">
                  <c:v>3.0</c:v>
                </c:pt>
              </c:numCache>
            </c:numRef>
          </c:yVal>
          <c:smooth val="0"/>
        </c:ser>
        <c:axId val="9101"/>
        <c:axId val="9102"/>
      </c:scatterChart>
      <c:valAx>
        <c:axId val="9101"/>
        <c:scaling>
          <c:orientation val="minMax"/>
          <c:min val="-3"/>
        </c:scaling>
        <c:delete val="0"/>
        <c:axPos val="b"/>
        <c:majorGridlines>
          <c:spPr>
            <a:ln w="6350">
              <a:solidFill>
                <a:srgbClr val="E7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>
                    <a:solidFill>
                      <a:srgbClr val="1F3864"/>
                    </a:solidFill>
                    <a:latin typeface="Calibri"/>
                  </a:defRPr>
                </a:pPr>
                <a:r>
                  <a:rPr lang="en-US" sz="1000" b="1">
                    <a:solidFill>
                      <a:srgbClr val="1F3864"/>
                    </a:solidFill>
                    <a:latin typeface="Calibri"/>
                  </a:rPr>
                  <a:t>distance ρ(Sᵢ, Sⱼ) from the strip owner Sᵢ</a:t>
                </a:r>
              </a:p>
            </c:rich>
          </c:tx>
          <c:overlay val="0"/>
        </c:title>
        <c:numFmt formatCode="0;;0" sourceLinked="0"/>
        <c:majorTickMark val="out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9102"/>
        <c:crossesAt val="0"/>
        <c:crossBetween val="midCat"/>
        <c:majorUnit val="1"/>
      </c:valAx>
      <c:valAx>
        <c:axId val="9102"/>
        <c:scaling>
          <c:orientation val="minMax"/>
          <c:max val="7.65"/>
          <c:min val="0.35"/>
        </c:scaling>
        <c:delete val="1"/>
        <c:axPos val="l"/>
        <c:numFmt formatCode="General" sourceLinked="0"/>
        <c:majorTickMark val="none"/>
        <c:minorTickMark val="none"/>
        <c:tickLblPos val="none"/>
        <c:crossAx val="9101"/>
        <c:crosses val="autoZero"/>
        <c:crossBetween val="midCat"/>
      </c:valAx>
      <c:spPr>
        <a:noFill/>
        <a:ln>
          <a:noFill/>
        </a:ln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egendEntry>
        <c:idx val="24"/>
        <c:delete val="1"/>
      </c:legendEntry>
      <c:legendEntry>
        <c:idx val="25"/>
        <c:delete val="1"/>
      </c:legendEntry>
      <c:legendEntry>
        <c:idx val="26"/>
        <c:delete val="1"/>
      </c:legendEntry>
      <c:overlay val="0"/>
      <c:txPr>
        <a:bodyPr/>
        <a:lstStyle/>
        <a:p>
          <a:pPr>
            <a:defRPr sz="900" b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/>
          <a:lstStyle/>
          <a:p>
            <a:pPr>
              <a:defRPr sz="1050" b="1">
                <a:solidFill>
                  <a:srgbClr val="1F3864"/>
                </a:solidFill>
                <a:latin typeface="Calibri"/>
              </a:defRPr>
            </a:pPr>
            <a:r>
              <a:rPr lang="en-US" sz="1050" b="1">
                <a:solidFill>
                  <a:srgbClr val="1F3864"/>
                </a:solidFill>
                <a:latin typeface="Calibri"/>
              </a:rPr>
              <a:t>Radius plane — d(Sᵢ) is constant on every line through the origin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29"/>
          <c:y val="0.1250"/>
          <c:w val="0.6356"/>
          <c:h val="0.6048"/>
        </c:manualLayout>
      </c:layout>
      <c:scatterChart>
        <c:scatterStyle val="lineMarker"/>
        <c:varyColors val="0"/>
        <c:ser>
          <c:idx val="0"/>
          <c:order val="0"/>
          <c:tx>
            <c:v>d = 0: z = r, the two spheres coincide</c:v>
          </c:tx>
          <c:spPr>
            <a:ln w="19050" cap="rnd">
              <a:solidFill>
                <a:srgbClr val="595959"/>
              </a:solidFill>
              <a:round/>
            </a:ln>
          </c:spPr>
          <c:marker>
            <c:symbol val="none"/>
          </c:marker>
          <c:xVal>
            <c:numRef>
              <c:f>'Hypersphere Data'!$Q$290:$Q$291</c:f>
              <c:numCache>
                <c:formatCode>General</c:formatCode>
                <c:ptCount val="2"/>
                <c:pt idx="0">
                  <c:v>0.0</c:v>
                </c:pt>
                <c:pt idx="1">
                  <c:v>8.366366278928</c:v>
                </c:pt>
              </c:numCache>
            </c:numRef>
          </c:xVal>
          <c:yVal>
            <c:numRef>
              <c:f>'Hypersphere Data'!$R$290:$R$291</c:f>
              <c:numCache>
                <c:formatCode>General</c:formatCode>
                <c:ptCount val="2"/>
                <c:pt idx="0">
                  <c:v>0.0</c:v>
                </c:pt>
                <c:pt idx="1">
                  <c:v>8.366366278928</c:v>
                </c:pt>
              </c:numCache>
            </c:numRef>
          </c:yVal>
          <c:smooth val="0"/>
        </c:ser>
        <c:ser>
          <c:idx val="1"/>
          <c:order val="1"/>
          <c:tx>
            <c:v>lines of equal d (0.1, 0.2, 0.3)</c:v>
          </c:tx>
          <c:spPr>
            <a:ln w="12700" cap="rnd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Data'!$Q$292:$Q$293</c:f>
              <c:numCache>
                <c:formatCode>General</c:formatCode>
                <c:ptCount val="2"/>
                <c:pt idx="0">
                  <c:v>0.0</c:v>
                </c:pt>
                <c:pt idx="1">
                  <c:v>8.366366278928</c:v>
                </c:pt>
              </c:numCache>
            </c:numRef>
          </c:xVal>
          <c:yVal>
            <c:numRef>
              <c:f>'Hypersphere Data'!$R$292:$R$293</c:f>
              <c:numCache>
                <c:formatCode>General</c:formatCode>
                <c:ptCount val="2"/>
                <c:pt idx="0">
                  <c:v>0.0</c:v>
                </c:pt>
                <c:pt idx="1">
                  <c:v>6.84520877366836</c:v>
                </c:pt>
              </c:numCache>
            </c:numRef>
          </c:yVal>
          <c:smooth val="0"/>
        </c:ser>
        <c:ser>
          <c:idx val="2"/>
          <c:order val="2"/>
          <c:tx>
            <c:v>lines of equal d (0.1, 0.2, 0.3)</c:v>
          </c:tx>
          <c:spPr>
            <a:ln w="12700" cap="rnd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Data'!$Q$294:$Q$295</c:f>
              <c:numCache>
                <c:formatCode>General</c:formatCode>
                <c:ptCount val="2"/>
                <c:pt idx="0">
                  <c:v>0.0</c:v>
                </c:pt>
                <c:pt idx="1">
                  <c:v>6.84520877366836</c:v>
                </c:pt>
              </c:numCache>
            </c:numRef>
          </c:xVal>
          <c:yVal>
            <c:numRef>
              <c:f>'Hypersphere Data'!$R$294:$R$295</c:f>
              <c:numCache>
                <c:formatCode>General</c:formatCode>
                <c:ptCount val="2"/>
                <c:pt idx="0">
                  <c:v>0.0</c:v>
                </c:pt>
                <c:pt idx="1">
                  <c:v>8.366366278928</c:v>
                </c:pt>
              </c:numCache>
            </c:numRef>
          </c:yVal>
          <c:smooth val="0"/>
        </c:ser>
        <c:ser>
          <c:idx val="3"/>
          <c:order val="3"/>
          <c:tx>
            <c:v>lines of equal d (0.1, 0.2, 0.3)</c:v>
          </c:tx>
          <c:spPr>
            <a:ln w="12700" cap="rnd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Data'!$Q$296:$Q$297</c:f>
              <c:numCache>
                <c:formatCode>General</c:formatCode>
                <c:ptCount val="2"/>
                <c:pt idx="0">
                  <c:v>0.0</c:v>
                </c:pt>
                <c:pt idx="1">
                  <c:v>8.366366278928</c:v>
                </c:pt>
              </c:numCache>
            </c:numRef>
          </c:xVal>
          <c:yVal>
            <c:numRef>
              <c:f>'Hypersphere Data'!$R$296:$R$297</c:f>
              <c:numCache>
                <c:formatCode>General</c:formatCode>
                <c:ptCount val="2"/>
                <c:pt idx="0">
                  <c:v>0.0</c:v>
                </c:pt>
                <c:pt idx="1">
                  <c:v>5.57757751928533</c:v>
                </c:pt>
              </c:numCache>
            </c:numRef>
          </c:yVal>
          <c:smooth val="0"/>
        </c:ser>
        <c:ser>
          <c:idx val="4"/>
          <c:order val="4"/>
          <c:tx>
            <c:v>lines of equal d (0.1, 0.2, 0.3)</c:v>
          </c:tx>
          <c:spPr>
            <a:ln w="12700" cap="rnd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Data'!$Q$298:$Q$299</c:f>
              <c:numCache>
                <c:formatCode>General</c:formatCode>
                <c:ptCount val="2"/>
                <c:pt idx="0">
                  <c:v>0.0</c:v>
                </c:pt>
                <c:pt idx="1">
                  <c:v>5.57757751928533</c:v>
                </c:pt>
              </c:numCache>
            </c:numRef>
          </c:xVal>
          <c:yVal>
            <c:numRef>
              <c:f>'Hypersphere Data'!$R$298:$R$299</c:f>
              <c:numCache>
                <c:formatCode>General</c:formatCode>
                <c:ptCount val="2"/>
                <c:pt idx="0">
                  <c:v>0.0</c:v>
                </c:pt>
                <c:pt idx="1">
                  <c:v>8.366366278928</c:v>
                </c:pt>
              </c:numCache>
            </c:numRef>
          </c:yVal>
          <c:smooth val="0"/>
        </c:ser>
        <c:ser>
          <c:idx val="5"/>
          <c:order val="5"/>
          <c:tx>
            <c:v>lines of equal d (0.1, 0.2, 0.3)</c:v>
          </c:tx>
          <c:spPr>
            <a:ln w="12700" cap="rnd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Data'!$Q$300:$Q$301</c:f>
              <c:numCache>
                <c:formatCode>General</c:formatCode>
                <c:ptCount val="2"/>
                <c:pt idx="0">
                  <c:v>0.0</c:v>
                </c:pt>
                <c:pt idx="1">
                  <c:v>8.366366278928</c:v>
                </c:pt>
              </c:numCache>
            </c:numRef>
          </c:xVal>
          <c:yVal>
            <c:numRef>
              <c:f>'Hypersphere Data'!$R$300:$R$301</c:f>
              <c:numCache>
                <c:formatCode>General</c:formatCode>
                <c:ptCount val="2"/>
                <c:pt idx="0">
                  <c:v>0.0</c:v>
                </c:pt>
                <c:pt idx="1">
                  <c:v>4.50496645788431</c:v>
                </c:pt>
              </c:numCache>
            </c:numRef>
          </c:yVal>
          <c:smooth val="0"/>
        </c:ser>
        <c:ser>
          <c:idx val="6"/>
          <c:order val="6"/>
          <c:tx>
            <c:v>lines of equal d (0.1, 0.2, 0.3)</c:v>
          </c:tx>
          <c:spPr>
            <a:ln w="12700" cap="rnd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Data'!$Q$302:$Q$303</c:f>
              <c:numCache>
                <c:formatCode>General</c:formatCode>
                <c:ptCount val="2"/>
                <c:pt idx="0">
                  <c:v>0.0</c:v>
                </c:pt>
                <c:pt idx="1">
                  <c:v>4.50496645788431</c:v>
                </c:pt>
              </c:numCache>
            </c:numRef>
          </c:xVal>
          <c:yVal>
            <c:numRef>
              <c:f>'Hypersphere Data'!$R$302:$R$303</c:f>
              <c:numCache>
                <c:formatCode>General</c:formatCode>
                <c:ptCount val="2"/>
                <c:pt idx="0">
                  <c:v>0.0</c:v>
                </c:pt>
                <c:pt idx="1">
                  <c:v>8.366366278928</c:v>
                </c:pt>
              </c:numCache>
            </c:numRef>
          </c:yVal>
          <c:smooth val="0"/>
        </c:ser>
        <c:ser>
          <c:idx val="7"/>
          <c:order val="7"/>
          <c:tx>
            <c:v>K1 object (r, z)</c:v>
          </c:tx>
          <c:spPr>
            <a:ln w="19050">
              <a:noFill/>
            </a:ln>
          </c:spPr>
          <c:marker>
            <c:symbol val="circle"/>
            <c:size val="9"/>
            <c:spPr>
              <a:solidFill>
                <a:srgbClr val="2F5597"/>
              </a:solidFill>
              <a:ln w="19050">
                <a:solidFill>
                  <a:srgbClr val="2F5597"/>
                </a:solidFill>
              </a:ln>
            </c:spPr>
          </c:marker>
          <c:xVal>
            <c:numRef>
              <c:f>'Hypersphere Data'!$F$290:$F$296</c:f>
              <c:numCache>
                <c:formatCode>General</c:formatCode>
                <c:ptCount val="7"/>
                <c:pt idx="2">
                  <c:v>5.60708061</c:v>
                </c:pt>
                <c:pt idx="5">
                  <c:v>3.7071187508</c:v>
                </c:pt>
                <c:pt idx="6">
                  <c:v>3.9109813746</c:v>
                </c:pt>
              </c:numCache>
            </c:numRef>
          </c:xVal>
          <c:yVal>
            <c:numRef>
              <c:f>'Hypersphere Data'!$G$290:$G$296</c:f>
              <c:numCache>
                <c:formatCode>General</c:formatCode>
                <c:ptCount val="7"/>
                <c:pt idx="2">
                  <c:v>5.60708061</c:v>
                </c:pt>
                <c:pt idx="5">
                  <c:v>5.2172783643</c:v>
                </c:pt>
                <c:pt idx="6">
                  <c:v>5.0314314939</c:v>
                </c:pt>
              </c:numCache>
            </c:numRef>
          </c:yVal>
          <c:smooth val="0"/>
        </c:ser>
        <c:ser>
          <c:idx val="8"/>
          <c:order val="8"/>
          <c:tx>
            <c:v>K2 object (r, z)</c:v>
          </c:tx>
          <c:spPr>
            <a:ln w="19050">
              <a:noFill/>
            </a:ln>
          </c:spPr>
          <c:marker>
            <c:symbol val="triangle"/>
            <c:size val="10"/>
            <c:spPr>
              <a:solidFill>
                <a:srgbClr val="C00000"/>
              </a:solidFill>
              <a:ln w="19050">
                <a:solidFill>
                  <a:srgbClr val="C00000"/>
                </a:solidFill>
              </a:ln>
            </c:spPr>
          </c:marker>
          <c:xVal>
            <c:numRef>
              <c:f>'Hypersphere Data'!$H$290:$H$296</c:f>
              <c:numCache>
                <c:formatCode>General</c:formatCode>
                <c:ptCount val="7"/>
                <c:pt idx="0">
                  <c:v>5.60708061</c:v>
                </c:pt>
                <c:pt idx="1">
                  <c:v>7.4699698919</c:v>
                </c:pt>
                <c:pt idx="3">
                  <c:v>3.7071187508</c:v>
                </c:pt>
                <c:pt idx="4">
                  <c:v>7.1117040273</c:v>
                </c:pt>
              </c:numCache>
            </c:numRef>
          </c:xVal>
          <c:yVal>
            <c:numRef>
              <c:f>'Hypersphere Data'!$I$290:$I$296</c:f>
              <c:numCache>
                <c:formatCode>General</c:formatCode>
                <c:ptCount val="7"/>
                <c:pt idx="0">
                  <c:v>5.60708061</c:v>
                </c:pt>
                <c:pt idx="1">
                  <c:v>6.3691657565</c:v>
                </c:pt>
                <c:pt idx="3">
                  <c:v>6.2175670209</c:v>
                </c:pt>
                <c:pt idx="4">
                  <c:v>7.1117040273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'Hypersphere Data'!$K$290</c:f>
              <c:strCache>
                <c:ptCount val="1"/>
                <c:pt idx="0">
                  <c:v>S₁ (1), S₃ (2)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Data'!$L$290</c:f>
              <c:numCache>
                <c:formatCode>General</c:formatCode>
                <c:ptCount val="1"/>
                <c:pt idx="0">
                  <c:v>5.60708061</c:v>
                </c:pt>
              </c:numCache>
            </c:numRef>
          </c:xVal>
          <c:yVal>
            <c:numRef>
              <c:f>'Hypersphere Data'!$M$290</c:f>
              <c:numCache>
                <c:formatCode>General</c:formatCode>
                <c:ptCount val="1"/>
                <c:pt idx="0">
                  <c:v>5.60708061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'Hypersphere Data'!$K$291</c:f>
              <c:strCache>
                <c:ptCount val="1"/>
                <c:pt idx="0">
                  <c:v>S₂ (4)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Data'!$L$291</c:f>
              <c:numCache>
                <c:formatCode>General</c:formatCode>
                <c:ptCount val="1"/>
                <c:pt idx="0">
                  <c:v>7.4699698919</c:v>
                </c:pt>
              </c:numCache>
            </c:numRef>
          </c:xVal>
          <c:yVal>
            <c:numRef>
              <c:f>'Hypersphere Data'!$M$291</c:f>
              <c:numCache>
                <c:formatCode>General</c:formatCode>
                <c:ptCount val="1"/>
                <c:pt idx="0">
                  <c:v>6.3691657565</c:v>
                </c:pt>
              </c:numCache>
            </c:numRef>
          </c:yVal>
          <c:smooth val="0"/>
        </c:ser>
        <c:ser>
          <c:idx val="11"/>
          <c:order val="11"/>
          <c:tx>
            <c:strRef>
              <c:f>'Hypersphere Data'!$K$292</c:f>
              <c:strCache>
                <c:ptCount val="1"/>
                <c:pt idx="0">
                  <c:v>S₁ (1), S₃ (2)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Data'!$L$292</c:f>
              <c:numCache>
                <c:formatCode>General</c:formatCode>
                <c:ptCount val="1"/>
              </c:numCache>
            </c:numRef>
          </c:xVal>
          <c:yVal>
            <c:numRef>
              <c:f>'Hypersphere Data'!$M$292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12"/>
          <c:order val="12"/>
          <c:tx>
            <c:strRef>
              <c:f>'Hypersphere Data'!$K$293</c:f>
              <c:strCache>
                <c:ptCount val="1"/>
                <c:pt idx="0">
                  <c:v>S₄ (7)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Data'!$L$293</c:f>
              <c:numCache>
                <c:formatCode>General</c:formatCode>
                <c:ptCount val="1"/>
                <c:pt idx="0">
                  <c:v>3.7071187508</c:v>
                </c:pt>
              </c:numCache>
            </c:numRef>
          </c:xVal>
          <c:yVal>
            <c:numRef>
              <c:f>'Hypersphere Data'!$M$293</c:f>
              <c:numCache>
                <c:formatCode>General</c:formatCode>
                <c:ptCount val="1"/>
                <c:pt idx="0">
                  <c:v>6.2175670209</c:v>
                </c:pt>
              </c:numCache>
            </c:numRef>
          </c:yVal>
          <c:smooth val="0"/>
        </c:ser>
        <c:ser>
          <c:idx val="13"/>
          <c:order val="13"/>
          <c:tx>
            <c:strRef>
              <c:f>'Hypersphere Data'!$K$294</c:f>
              <c:strCache>
                <c:ptCount val="1"/>
                <c:pt idx="0">
                  <c:v>S₅ (3)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Data'!$L$294</c:f>
              <c:numCache>
                <c:formatCode>General</c:formatCode>
                <c:ptCount val="1"/>
                <c:pt idx="0">
                  <c:v>7.1117040273</c:v>
                </c:pt>
              </c:numCache>
            </c:numRef>
          </c:xVal>
          <c:yVal>
            <c:numRef>
              <c:f>'Hypersphere Data'!$M$294</c:f>
              <c:numCache>
                <c:formatCode>General</c:formatCode>
                <c:ptCount val="1"/>
                <c:pt idx="0">
                  <c:v>7.1117040273</c:v>
                </c:pt>
              </c:numCache>
            </c:numRef>
          </c:yVal>
          <c:smooth val="0"/>
        </c:ser>
        <c:ser>
          <c:idx val="14"/>
          <c:order val="14"/>
          <c:tx>
            <c:strRef>
              <c:f>'Hypersphere Data'!$K$295</c:f>
              <c:strCache>
                <c:ptCount val="1"/>
                <c:pt idx="0">
                  <c:v>S₆ (6)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Data'!$L$295</c:f>
              <c:numCache>
                <c:formatCode>General</c:formatCode>
                <c:ptCount val="1"/>
                <c:pt idx="0">
                  <c:v>3.7071187508</c:v>
                </c:pt>
              </c:numCache>
            </c:numRef>
          </c:xVal>
          <c:yVal>
            <c:numRef>
              <c:f>'Hypersphere Data'!$M$295</c:f>
              <c:numCache>
                <c:formatCode>General</c:formatCode>
                <c:ptCount val="1"/>
                <c:pt idx="0">
                  <c:v>5.2172783643</c:v>
                </c:pt>
              </c:numCache>
            </c:numRef>
          </c:yVal>
          <c:smooth val="0"/>
        </c:ser>
        <c:ser>
          <c:idx val="15"/>
          <c:order val="15"/>
          <c:tx>
            <c:strRef>
              <c:f>'Hypersphere Data'!$K$296</c:f>
              <c:strCache>
                <c:ptCount val="1"/>
                <c:pt idx="0">
                  <c:v>S₇ (5)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Data'!$L$296</c:f>
              <c:numCache>
                <c:formatCode>General</c:formatCode>
                <c:ptCount val="1"/>
                <c:pt idx="0">
                  <c:v>3.9109813746</c:v>
                </c:pt>
              </c:numCache>
            </c:numRef>
          </c:xVal>
          <c:yVal>
            <c:numRef>
              <c:f>'Hypersphere Data'!$M$296</c:f>
              <c:numCache>
                <c:formatCode>General</c:formatCode>
                <c:ptCount val="1"/>
                <c:pt idx="0">
                  <c:v>4.6314314939</c:v>
                </c:pt>
              </c:numCache>
            </c:numRef>
          </c:yVal>
          <c:smooth val="0"/>
        </c:ser>
        <c:ser>
          <c:idx val="16"/>
          <c:order val="16"/>
          <c:tx>
            <c:strRef>
              <c:f>'Hypersphere Data'!$T$290</c:f>
              <c:strCache>
                <c:ptCount val="1"/>
                <c:pt idx="0">
                  <c:v>d = 0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0">
                    <a:solidFill>
                      <a:srgbClr val="7F7F7F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Data'!$U$290</c:f>
              <c:numCache>
                <c:formatCode>General</c:formatCode>
                <c:ptCount val="1"/>
                <c:pt idx="0">
                  <c:v>8.366366278928</c:v>
                </c:pt>
              </c:numCache>
            </c:numRef>
          </c:xVal>
          <c:yVal>
            <c:numRef>
              <c:f>'Hypersphere Data'!$V$290</c:f>
              <c:numCache>
                <c:formatCode>General</c:formatCode>
                <c:ptCount val="1"/>
                <c:pt idx="0">
                  <c:v>8.366366278928</c:v>
                </c:pt>
              </c:numCache>
            </c:numRef>
          </c:yVal>
          <c:smooth val="0"/>
        </c:ser>
        <c:ser>
          <c:idx val="17"/>
          <c:order val="17"/>
          <c:tx>
            <c:strRef>
              <c:f>'Hypersphere Data'!$T$291</c:f>
              <c:strCache>
                <c:ptCount val="1"/>
                <c:pt idx="0">
                  <c:v>d = 0.1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0">
                    <a:solidFill>
                      <a:srgbClr val="7F7F7F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Data'!$U$291</c:f>
              <c:numCache>
                <c:formatCode>General</c:formatCode>
                <c:ptCount val="1"/>
                <c:pt idx="0">
                  <c:v>8.366366278928</c:v>
                </c:pt>
              </c:numCache>
            </c:numRef>
          </c:xVal>
          <c:yVal>
            <c:numRef>
              <c:f>'Hypersphere Data'!$V$291</c:f>
              <c:numCache>
                <c:formatCode>General</c:formatCode>
                <c:ptCount val="1"/>
                <c:pt idx="0">
                  <c:v>6.84520877366836</c:v>
                </c:pt>
              </c:numCache>
            </c:numRef>
          </c:yVal>
          <c:smooth val="0"/>
        </c:ser>
        <c:ser>
          <c:idx val="18"/>
          <c:order val="18"/>
          <c:tx>
            <c:strRef>
              <c:f>'Hypersphere Data'!$T$292</c:f>
              <c:strCache>
                <c:ptCount val="1"/>
                <c:pt idx="0">
                  <c:v>d = 0.1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0">
                    <a:solidFill>
                      <a:srgbClr val="7F7F7F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Data'!$U$292</c:f>
              <c:numCache>
                <c:formatCode>General</c:formatCode>
                <c:ptCount val="1"/>
                <c:pt idx="0">
                  <c:v>6.84520877366836</c:v>
                </c:pt>
              </c:numCache>
            </c:numRef>
          </c:xVal>
          <c:yVal>
            <c:numRef>
              <c:f>'Hypersphere Data'!$V$292</c:f>
              <c:numCache>
                <c:formatCode>General</c:formatCode>
                <c:ptCount val="1"/>
                <c:pt idx="0">
                  <c:v>8.366366278928</c:v>
                </c:pt>
              </c:numCache>
            </c:numRef>
          </c:yVal>
          <c:smooth val="0"/>
        </c:ser>
        <c:ser>
          <c:idx val="19"/>
          <c:order val="19"/>
          <c:tx>
            <c:strRef>
              <c:f>'Hypersphere Data'!$T$293</c:f>
              <c:strCache>
                <c:ptCount val="1"/>
                <c:pt idx="0">
                  <c:v>d = 0.2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0">
                    <a:solidFill>
                      <a:srgbClr val="7F7F7F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Data'!$U$293</c:f>
              <c:numCache>
                <c:formatCode>General</c:formatCode>
                <c:ptCount val="1"/>
                <c:pt idx="0">
                  <c:v>8.366366278928</c:v>
                </c:pt>
              </c:numCache>
            </c:numRef>
          </c:xVal>
          <c:yVal>
            <c:numRef>
              <c:f>'Hypersphere Data'!$V$293</c:f>
              <c:numCache>
                <c:formatCode>General</c:formatCode>
                <c:ptCount val="1"/>
                <c:pt idx="0">
                  <c:v>5.57757751928533</c:v>
                </c:pt>
              </c:numCache>
            </c:numRef>
          </c:yVal>
          <c:smooth val="0"/>
        </c:ser>
        <c:ser>
          <c:idx val="20"/>
          <c:order val="20"/>
          <c:tx>
            <c:strRef>
              <c:f>'Hypersphere Data'!$T$294</c:f>
              <c:strCache>
                <c:ptCount val="1"/>
                <c:pt idx="0">
                  <c:v>d = 0.2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0">
                    <a:solidFill>
                      <a:srgbClr val="7F7F7F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Data'!$U$294</c:f>
              <c:numCache>
                <c:formatCode>General</c:formatCode>
                <c:ptCount val="1"/>
                <c:pt idx="0">
                  <c:v>5.57757751928533</c:v>
                </c:pt>
              </c:numCache>
            </c:numRef>
          </c:xVal>
          <c:yVal>
            <c:numRef>
              <c:f>'Hypersphere Data'!$V$294</c:f>
              <c:numCache>
                <c:formatCode>General</c:formatCode>
                <c:ptCount val="1"/>
                <c:pt idx="0">
                  <c:v>8.366366278928</c:v>
                </c:pt>
              </c:numCache>
            </c:numRef>
          </c:yVal>
          <c:smooth val="0"/>
        </c:ser>
        <c:ser>
          <c:idx val="21"/>
          <c:order val="21"/>
          <c:tx>
            <c:strRef>
              <c:f>'Hypersphere Data'!$T$295</c:f>
              <c:strCache>
                <c:ptCount val="1"/>
                <c:pt idx="0">
                  <c:v>d = 0.3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0">
                    <a:solidFill>
                      <a:srgbClr val="7F7F7F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Data'!$U$295</c:f>
              <c:numCache>
                <c:formatCode>General</c:formatCode>
                <c:ptCount val="1"/>
                <c:pt idx="0">
                  <c:v>8.366366278928</c:v>
                </c:pt>
              </c:numCache>
            </c:numRef>
          </c:xVal>
          <c:yVal>
            <c:numRef>
              <c:f>'Hypersphere Data'!$V$295</c:f>
              <c:numCache>
                <c:formatCode>General</c:formatCode>
                <c:ptCount val="1"/>
                <c:pt idx="0">
                  <c:v>4.50496645788431</c:v>
                </c:pt>
              </c:numCache>
            </c:numRef>
          </c:yVal>
          <c:smooth val="0"/>
        </c:ser>
        <c:ser>
          <c:idx val="22"/>
          <c:order val="22"/>
          <c:tx>
            <c:strRef>
              <c:f>'Hypersphere Data'!$T$296</c:f>
              <c:strCache>
                <c:ptCount val="1"/>
                <c:pt idx="0">
                  <c:v>d = 0.3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0">
                    <a:solidFill>
                      <a:srgbClr val="7F7F7F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Data'!$U$296</c:f>
              <c:numCache>
                <c:formatCode>General</c:formatCode>
                <c:ptCount val="1"/>
                <c:pt idx="0">
                  <c:v>4.50496645788431</c:v>
                </c:pt>
              </c:numCache>
            </c:numRef>
          </c:xVal>
          <c:yVal>
            <c:numRef>
              <c:f>'Hypersphere Data'!$V$296</c:f>
              <c:numCache>
                <c:formatCode>General</c:formatCode>
                <c:ptCount val="1"/>
                <c:pt idx="0">
                  <c:v>8.366366278928</c:v>
                </c:pt>
              </c:numCache>
            </c:numRef>
          </c:yVal>
          <c:smooth val="0"/>
        </c:ser>
        <c:axId val="9101"/>
        <c:axId val="9102"/>
      </c:scatterChart>
      <c:valAx>
        <c:axId val="9101"/>
        <c:scaling>
          <c:orientation val="minMax"/>
          <c:min val="0"/>
        </c:scaling>
        <c:delete val="0"/>
        <c:axPos val="b"/>
        <c:majorGridlines>
          <c:spPr>
            <a:ln w="6350">
              <a:solidFill>
                <a:srgbClr val="E7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>
                    <a:solidFill>
                      <a:srgbClr val="1F3864"/>
                    </a:solidFill>
                    <a:latin typeface="Calibri"/>
                  </a:defRPr>
                </a:pPr>
                <a:r>
                  <a:rPr lang="en-US" sz="1000" b="1">
                    <a:solidFill>
                      <a:srgbClr val="1F3864"/>
                    </a:solidFill>
                    <a:latin typeface="Calibri"/>
                  </a:rPr>
                  <a:t>r(Sᵢ) · enemy-sphere radius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9102"/>
        <c:crosses val="autoZero"/>
        <c:crossBetween val="midCat"/>
      </c:valAx>
      <c:valAx>
        <c:axId val="91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>
                    <a:solidFill>
                      <a:srgbClr val="1F3864"/>
                    </a:solidFill>
                    <a:latin typeface="Calibri"/>
                  </a:defRPr>
                </a:pPr>
                <a:r>
                  <a:rPr lang="en-US" sz="1000" b="1">
                    <a:solidFill>
                      <a:srgbClr val="1F3864"/>
                    </a:solidFill>
                    <a:latin typeface="Calibri"/>
                  </a:rPr>
                  <a:t>z(Sᵢ, k) · k-sphere radius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9101"/>
        <c:crosses val="autoZero"/>
        <c:crossBetween val="midCat"/>
      </c:valAx>
      <c:spPr>
        <a:noFill/>
        <a:ln>
          <a:noFill/>
        </a:ln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ayout>
        <c:manualLayout>
          <c:xMode val="edge"/>
          <c:yMode val="edge"/>
          <c:x val="0.0400"/>
          <c:y val="0.8700"/>
          <c:w val="0.9200"/>
          <c:h val="0.1200"/>
        </c:manualLayout>
      </c:layout>
      <c:overlay val="0"/>
      <c:txPr>
        <a:bodyPr/>
        <a:lstStyle/>
        <a:p>
          <a:pPr>
            <a:defRPr sz="900" b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/>
          <a:lstStyle/>
          <a:p>
            <a:pPr>
              <a:defRPr sz="1050" b="1">
                <a:solidFill>
                  <a:srgbClr val="1F3864"/>
                </a:solidFill>
                <a:latin typeface="Calibri"/>
              </a:defRPr>
            </a:pPr>
            <a:r>
              <a:rPr lang="en-US" sz="1050" b="1">
                <a:solidFill>
                  <a:srgbClr val="1F3864"/>
                </a:solidFill>
                <a:latin typeface="Calibri"/>
              </a:rPr>
              <a:t>Hyperspheres of S₁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0349"/>
          <c:y val="0.1223"/>
          <c:w val="0.9302"/>
          <c:h val="0.8511"/>
        </c:manualLayout>
      </c:layout>
      <c:scatterChart>
        <c:scatterStyle val="lineMarker"/>
        <c:varyColors val="0"/>
        <c:ser>
          <c:idx val="0"/>
          <c:order val="0"/>
          <c:tx>
            <c:v>enemy sphere r(Sᵢ)</c:v>
          </c:tx>
          <c:spPr>
            <a:ln w="22225" cap="rnd">
              <a:solidFill>
                <a:srgbClr val="595959"/>
              </a:solidFill>
              <a:round/>
            </a:ln>
          </c:spPr>
          <c:marker>
            <c:symbol val="none"/>
          </c:marker>
          <c:xVal>
            <c:numRef>
              <c:f>'Hypersphere Data'!$AA$35:$AA$59</c:f>
              <c:numCache>
                <c:formatCode>General</c:formatCode>
                <c:ptCount val="25"/>
                <c:pt idx="0">
                  <c:v>0.62138800380946</c:v>
                </c:pt>
                <c:pt idx="1">
                  <c:v>0.600214721025768</c:v>
                </c:pt>
                <c:pt idx="2">
                  <c:v>0.538137796905894</c:v>
                </c:pt>
                <c:pt idx="3">
                  <c:v>0.439387671241642</c:v>
                </c:pt>
                <c:pt idx="4">
                  <c:v>0.31069400190473</c:v>
                </c:pt>
                <c:pt idx="5">
                  <c:v>0.160827049784126</c:v>
                </c:pt>
                <c:pt idx="6">
                  <c:v>3.8049041494691e-17</c:v>
                </c:pt>
                <c:pt idx="7">
                  <c:v>-0.160827049784126</c:v>
                </c:pt>
                <c:pt idx="8">
                  <c:v>-0.31069400190473</c:v>
                </c:pt>
                <c:pt idx="9">
                  <c:v>-0.439387671241642</c:v>
                </c:pt>
                <c:pt idx="10">
                  <c:v>-0.538137796905894</c:v>
                </c:pt>
                <c:pt idx="11">
                  <c:v>-0.600214721025768</c:v>
                </c:pt>
                <c:pt idx="12">
                  <c:v>-0.62138800380946</c:v>
                </c:pt>
                <c:pt idx="13">
                  <c:v>-0.600214721025768</c:v>
                </c:pt>
                <c:pt idx="14">
                  <c:v>-0.538137796905894</c:v>
                </c:pt>
                <c:pt idx="15">
                  <c:v>-0.439387671241642</c:v>
                </c:pt>
                <c:pt idx="16">
                  <c:v>-0.31069400190473</c:v>
                </c:pt>
                <c:pt idx="17">
                  <c:v>-0.160827049784126</c:v>
                </c:pt>
                <c:pt idx="18">
                  <c:v>-1.14147124484073e-16</c:v>
                </c:pt>
                <c:pt idx="19">
                  <c:v>0.160827049784126</c:v>
                </c:pt>
                <c:pt idx="20">
                  <c:v>0.31069400190473</c:v>
                </c:pt>
                <c:pt idx="21">
                  <c:v>0.439387671241642</c:v>
                </c:pt>
                <c:pt idx="22">
                  <c:v>0.538137796905894</c:v>
                </c:pt>
                <c:pt idx="23">
                  <c:v>0.600214721025768</c:v>
                </c:pt>
                <c:pt idx="24">
                  <c:v>0.62138800380946</c:v>
                </c:pt>
              </c:numCache>
            </c:numRef>
          </c:xVal>
          <c:yVal>
            <c:numRef>
              <c:f>'Hypersphere Data'!$AB$35:$AB$59</c:f>
              <c:numCache>
                <c:formatCode>General</c:formatCode>
                <c:ptCount val="25"/>
                <c:pt idx="0">
                  <c:v>0.0</c:v>
                </c:pt>
                <c:pt idx="1">
                  <c:v>0.160827049784126</c:v>
                </c:pt>
                <c:pt idx="2">
                  <c:v>0.31069400190473</c:v>
                </c:pt>
                <c:pt idx="3">
                  <c:v>0.439387671241642</c:v>
                </c:pt>
                <c:pt idx="4">
                  <c:v>0.538137796905894</c:v>
                </c:pt>
                <c:pt idx="5">
                  <c:v>0.600214721025768</c:v>
                </c:pt>
                <c:pt idx="6">
                  <c:v>0.62138800380946</c:v>
                </c:pt>
                <c:pt idx="7">
                  <c:v>0.600214721025768</c:v>
                </c:pt>
                <c:pt idx="8">
                  <c:v>0.538137796905894</c:v>
                </c:pt>
                <c:pt idx="9">
                  <c:v>0.439387671241642</c:v>
                </c:pt>
                <c:pt idx="10">
                  <c:v>0.31069400190473</c:v>
                </c:pt>
                <c:pt idx="11">
                  <c:v>0.160827049784126</c:v>
                </c:pt>
                <c:pt idx="12">
                  <c:v>7.60980829893819e-17</c:v>
                </c:pt>
                <c:pt idx="13">
                  <c:v>-0.160827049784126</c:v>
                </c:pt>
                <c:pt idx="14">
                  <c:v>-0.31069400190473</c:v>
                </c:pt>
                <c:pt idx="15">
                  <c:v>-0.439387671241641</c:v>
                </c:pt>
                <c:pt idx="16">
                  <c:v>-0.538137796905894</c:v>
                </c:pt>
                <c:pt idx="17">
                  <c:v>-0.600214721025768</c:v>
                </c:pt>
                <c:pt idx="18">
                  <c:v>-0.62138800380946</c:v>
                </c:pt>
                <c:pt idx="19">
                  <c:v>-0.600214721025768</c:v>
                </c:pt>
                <c:pt idx="20">
                  <c:v>-0.538137796905894</c:v>
                </c:pt>
                <c:pt idx="21">
                  <c:v>-0.439387671241642</c:v>
                </c:pt>
                <c:pt idx="22">
                  <c:v>-0.31069400190473</c:v>
                </c:pt>
                <c:pt idx="23">
                  <c:v>-0.160827049784127</c:v>
                </c:pt>
                <c:pt idx="24">
                  <c:v>-1.52196165978764e-16</c:v>
                </c:pt>
              </c:numCache>
            </c:numRef>
          </c:yVal>
          <c:smooth val="1"/>
        </c:ser>
        <c:ser>
          <c:idx val="1"/>
          <c:order val="1"/>
          <c:tx>
            <c:v>k-sphere z(Sᵢ, k)</c:v>
          </c:tx>
          <c:spPr>
            <a:ln w="22225" cap="rnd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Data'!$AC$35:$AC$59</c:f>
              <c:numCache>
                <c:formatCode>General</c:formatCode>
                <c:ptCount val="25"/>
                <c:pt idx="0">
                  <c:v>0.62138800380946</c:v>
                </c:pt>
                <c:pt idx="1">
                  <c:v>0.600214721025768</c:v>
                </c:pt>
                <c:pt idx="2">
                  <c:v>0.538137796905894</c:v>
                </c:pt>
                <c:pt idx="3">
                  <c:v>0.439387671241642</c:v>
                </c:pt>
                <c:pt idx="4">
                  <c:v>0.31069400190473</c:v>
                </c:pt>
                <c:pt idx="5">
                  <c:v>0.160827049784126</c:v>
                </c:pt>
                <c:pt idx="6">
                  <c:v>3.8049041494691e-17</c:v>
                </c:pt>
                <c:pt idx="7">
                  <c:v>-0.160827049784126</c:v>
                </c:pt>
                <c:pt idx="8">
                  <c:v>-0.31069400190473</c:v>
                </c:pt>
                <c:pt idx="9">
                  <c:v>-0.439387671241642</c:v>
                </c:pt>
                <c:pt idx="10">
                  <c:v>-0.538137796905894</c:v>
                </c:pt>
                <c:pt idx="11">
                  <c:v>-0.600214721025768</c:v>
                </c:pt>
                <c:pt idx="12">
                  <c:v>-0.62138800380946</c:v>
                </c:pt>
                <c:pt idx="13">
                  <c:v>-0.600214721025768</c:v>
                </c:pt>
                <c:pt idx="14">
                  <c:v>-0.538137796905894</c:v>
                </c:pt>
                <c:pt idx="15">
                  <c:v>-0.439387671241642</c:v>
                </c:pt>
                <c:pt idx="16">
                  <c:v>-0.31069400190473</c:v>
                </c:pt>
                <c:pt idx="17">
                  <c:v>-0.160827049784126</c:v>
                </c:pt>
                <c:pt idx="18">
                  <c:v>-1.14147124484073e-16</c:v>
                </c:pt>
                <c:pt idx="19">
                  <c:v>0.160827049784126</c:v>
                </c:pt>
                <c:pt idx="20">
                  <c:v>0.31069400190473</c:v>
                </c:pt>
                <c:pt idx="21">
                  <c:v>0.439387671241642</c:v>
                </c:pt>
                <c:pt idx="22">
                  <c:v>0.538137796905894</c:v>
                </c:pt>
                <c:pt idx="23">
                  <c:v>0.600214721025768</c:v>
                </c:pt>
                <c:pt idx="24">
                  <c:v>0.62138800380946</c:v>
                </c:pt>
              </c:numCache>
            </c:numRef>
          </c:xVal>
          <c:yVal>
            <c:numRef>
              <c:f>'Hypersphere Data'!$AD$35:$AD$59</c:f>
              <c:numCache>
                <c:formatCode>General</c:formatCode>
                <c:ptCount val="25"/>
                <c:pt idx="0">
                  <c:v>0.0</c:v>
                </c:pt>
                <c:pt idx="1">
                  <c:v>0.160827049784126</c:v>
                </c:pt>
                <c:pt idx="2">
                  <c:v>0.31069400190473</c:v>
                </c:pt>
                <c:pt idx="3">
                  <c:v>0.439387671241642</c:v>
                </c:pt>
                <c:pt idx="4">
                  <c:v>0.538137796905894</c:v>
                </c:pt>
                <c:pt idx="5">
                  <c:v>0.600214721025768</c:v>
                </c:pt>
                <c:pt idx="6">
                  <c:v>0.62138800380946</c:v>
                </c:pt>
                <c:pt idx="7">
                  <c:v>0.600214721025768</c:v>
                </c:pt>
                <c:pt idx="8">
                  <c:v>0.538137796905894</c:v>
                </c:pt>
                <c:pt idx="9">
                  <c:v>0.439387671241642</c:v>
                </c:pt>
                <c:pt idx="10">
                  <c:v>0.31069400190473</c:v>
                </c:pt>
                <c:pt idx="11">
                  <c:v>0.160827049784126</c:v>
                </c:pt>
                <c:pt idx="12">
                  <c:v>7.60980829893819e-17</c:v>
                </c:pt>
                <c:pt idx="13">
                  <c:v>-0.160827049784126</c:v>
                </c:pt>
                <c:pt idx="14">
                  <c:v>-0.31069400190473</c:v>
                </c:pt>
                <c:pt idx="15">
                  <c:v>-0.439387671241641</c:v>
                </c:pt>
                <c:pt idx="16">
                  <c:v>-0.538137796905894</c:v>
                </c:pt>
                <c:pt idx="17">
                  <c:v>-0.600214721025768</c:v>
                </c:pt>
                <c:pt idx="18">
                  <c:v>-0.62138800380946</c:v>
                </c:pt>
                <c:pt idx="19">
                  <c:v>-0.600214721025768</c:v>
                </c:pt>
                <c:pt idx="20">
                  <c:v>-0.538137796905894</c:v>
                </c:pt>
                <c:pt idx="21">
                  <c:v>-0.439387671241642</c:v>
                </c:pt>
                <c:pt idx="22">
                  <c:v>-0.31069400190473</c:v>
                </c:pt>
                <c:pt idx="23">
                  <c:v>-0.160827049784127</c:v>
                </c:pt>
                <c:pt idx="24">
                  <c:v>-1.52196165978764e-16</c:v>
                </c:pt>
              </c:numCache>
            </c:numRef>
          </c:yVal>
          <c:smooth val="1"/>
        </c:ser>
        <c:ser>
          <c:idx val="2"/>
          <c:order val="2"/>
          <c:tx>
            <c:v>K1 · not counted</c:v>
          </c:tx>
          <c:spPr>
            <a:ln w="19050">
              <a:noFill/>
            </a:ln>
          </c:spPr>
          <c:marker>
            <c:symbol val="circle"/>
            <c:size val="8"/>
            <c:spPr>
              <a:solidFill>
                <a:srgbClr val="A9C4EB"/>
              </a:solidFill>
              <a:ln w="12700">
                <a:solidFill>
                  <a:srgbClr val="2F5597"/>
                </a:solidFill>
              </a:ln>
            </c:spPr>
          </c:marker>
          <c:xVal>
            <c:numRef>
              <c:f>'Hypersphere Data'!$K$35:$K$41</c:f>
              <c:numCache>
                <c:formatCode>General</c:formatCode>
                <c:ptCount val="7"/>
                <c:pt idx="2">
                  <c:v>0.538137796905894</c:v>
                </c:pt>
                <c:pt idx="5">
                  <c:v>-0.652778247616805</c:v>
                </c:pt>
                <c:pt idx="6">
                  <c:v>3.99675010589605e-17</c:v>
                </c:pt>
              </c:numCache>
            </c:numRef>
          </c:xVal>
          <c:yVal>
            <c:numRef>
              <c:f>'Hypersphere Data'!$L$35:$L$41</c:f>
              <c:numCache>
                <c:formatCode>General</c:formatCode>
                <c:ptCount val="7"/>
                <c:pt idx="2">
                  <c:v>-0.31069400190473</c:v>
                </c:pt>
                <c:pt idx="5">
                  <c:v>0.376881696982694</c:v>
                </c:pt>
                <c:pt idx="6">
                  <c:v>-0.652718826142974</c:v>
                </c:pt>
              </c:numCache>
            </c:numRef>
          </c:yVal>
          <c:smooth val="0"/>
        </c:ser>
        <c:ser>
          <c:idx val="3"/>
          <c:order val="3"/>
          <c:tx>
            <c:v>K2 · not counted</c:v>
          </c:tx>
          <c:spPr>
            <a:ln w="19050">
              <a:noFill/>
            </a:ln>
          </c:spPr>
          <c:marker>
            <c:symbol val="triangle"/>
            <c:size val="9"/>
            <c:spPr>
              <a:solidFill>
                <a:srgbClr val="F2A7A7"/>
              </a:solidFill>
              <a:ln w="12700">
                <a:solidFill>
                  <a:srgbClr val="C00000"/>
                </a:solidFill>
              </a:ln>
            </c:spPr>
          </c:marker>
          <c:xVal>
            <c:numRef>
              <c:f>'Hypersphere Data'!$O$35:$O$41</c:f>
              <c:numCache>
                <c:formatCode>General</c:formatCode>
                <c:ptCount val="7"/>
                <c:pt idx="3">
                  <c:v>-0.636044560432061</c:v>
                </c:pt>
              </c:numCache>
            </c:numRef>
          </c:xVal>
          <c:yVal>
            <c:numRef>
              <c:f>'Hypersphere Data'!$P$35:$P$41</c:f>
              <c:numCache>
                <c:formatCode>General</c:formatCode>
                <c:ptCount val="7"/>
                <c:pt idx="3">
                  <c:v>-0.367220498182048</c:v>
                </c:pt>
              </c:numCache>
            </c:numRef>
          </c:yVal>
          <c:smooth val="0"/>
        </c:ser>
        <c:ser>
          <c:idx val="4"/>
          <c:order val="4"/>
          <c:tx>
            <c:v>K1 · inside the enemy sphere (counted in g)</c:v>
          </c:tx>
          <c:spPr>
            <a:ln w="19050">
              <a:noFill/>
            </a:ln>
          </c:spPr>
          <c:marker>
            <c:symbol val="circle"/>
            <c:size val="8"/>
            <c:spPr>
              <a:solidFill>
                <a:srgbClr val="2F5597"/>
              </a:solidFill>
              <a:ln w="19050">
                <a:solidFill>
                  <a:srgbClr val="2F5597"/>
                </a:solidFill>
              </a:ln>
            </c:spPr>
          </c:marker>
          <c:xVal>
            <c:numRef>
              <c:f>'Hypersphere Data'!$I$35:$I$41</c:f>
              <c:numCache>
                <c:formatCode>General</c:formatCode>
                <c:ptCount val="7"/>
              </c:numCache>
            </c:numRef>
          </c:xVal>
          <c:yVal>
            <c:numRef>
              <c:f>'Hypersphere Data'!$J$35:$J$41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5"/>
          <c:order val="5"/>
          <c:tx>
            <c:v>K2 · inside the enemy sphere (counted in g)</c:v>
          </c:tx>
          <c:spPr>
            <a:ln w="19050">
              <a:noFill/>
            </a:ln>
          </c:spPr>
          <c:marker>
            <c:symbol val="triangle"/>
            <c:size val="9"/>
            <c:spPr>
              <a:solidFill>
                <a:srgbClr val="C00000"/>
              </a:solidFill>
              <a:ln w="19050">
                <a:solidFill>
                  <a:srgbClr val="C00000"/>
                </a:solidFill>
              </a:ln>
            </c:spPr>
          </c:marker>
          <c:xVal>
            <c:numRef>
              <c:f>'Hypersphere Data'!$M$35:$M$41</c:f>
              <c:numCache>
                <c:formatCode>General</c:formatCode>
                <c:ptCount val="7"/>
                <c:pt idx="1">
                  <c:v>3.16263950250709e-17</c:v>
                </c:pt>
                <c:pt idx="4">
                  <c:v>0.466103067111341</c:v>
                </c:pt>
              </c:numCache>
            </c:numRef>
          </c:xVal>
          <c:yVal>
            <c:numRef>
              <c:f>'Hypersphere Data'!$N$35:$N$41</c:f>
              <c:numCache>
                <c:formatCode>General</c:formatCode>
                <c:ptCount val="7"/>
                <c:pt idx="1">
                  <c:v>0.516498227033139</c:v>
                </c:pt>
                <c:pt idx="4">
                  <c:v>0.269104731266843</c:v>
                </c:pt>
              </c:numCache>
            </c:numRef>
          </c:yVal>
          <c:smooth val="0"/>
        </c:ser>
        <c:ser>
          <c:idx val="6"/>
          <c:order val="6"/>
          <c:tx>
            <c:v>centre Sᵢ (K1)</c:v>
          </c:tx>
          <c:spPr>
            <a:ln w="19050">
              <a:noFill/>
            </a:ln>
          </c:spPr>
          <c:marker>
            <c:symbol val="circle"/>
            <c:size val="13"/>
            <c:spPr>
              <a:solidFill>
                <a:srgbClr val="2F5597"/>
              </a:solidFill>
              <a:ln w="25400">
                <a:solidFill>
                  <a:srgbClr val="000000"/>
                </a:solidFill>
              </a:ln>
            </c:spPr>
          </c:marker>
          <c:xVal>
            <c:numRef>
              <c:f>'Hypersphere Data'!$Q$35:$Q$41</c:f>
              <c:numCache>
                <c:formatCode>General</c:formatCode>
                <c:ptCount val="7"/>
              </c:numCache>
            </c:numRef>
          </c:xVal>
          <c:yVal>
            <c:numRef>
              <c:f>'Hypersphere Data'!$R$35:$R$41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7"/>
          <c:order val="7"/>
          <c:tx>
            <c:v>centre Sᵢ (K2)</c:v>
          </c:tx>
          <c:spPr>
            <a:ln w="19050">
              <a:noFill/>
            </a:ln>
          </c:spPr>
          <c:marker>
            <c:symbol val="triangle"/>
            <c:size val="14"/>
            <c:spPr>
              <a:solidFill>
                <a:srgbClr val="C00000"/>
              </a:solidFill>
              <a:ln w="25400">
                <a:solidFill>
                  <a:srgbClr val="000000"/>
                </a:solidFill>
              </a:ln>
            </c:spPr>
          </c:marker>
          <c:xVal>
            <c:numRef>
              <c:f>'Hypersphere Data'!$S$35:$S$41</c:f>
              <c:numCache>
                <c:formatCode>General</c:formatCode>
                <c:ptCount val="7"/>
                <c:pt idx="0">
                  <c:v>0.0</c:v>
                </c:pt>
              </c:numCache>
            </c:numRef>
          </c:xVal>
          <c:yVal>
            <c:numRef>
              <c:f>'Hypersphere Data'!$T$35:$T$41</c:f>
              <c:numCache>
                <c:formatCode>General</c:formatCode>
                <c:ptCount val="7"/>
                <c:pt idx="0">
                  <c:v>0.0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'Hypersphere Data'!$D$45</c:f>
              <c:strCache>
                <c:ptCount val="1"/>
                <c:pt idx="0">
                  <c:v>S₂  4.66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85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Data'!$E$45</c:f>
              <c:numCache>
                <c:formatCode>General</c:formatCode>
                <c:ptCount val="1"/>
                <c:pt idx="0">
                  <c:v>3.16263950250709e-17</c:v>
                </c:pt>
              </c:numCache>
            </c:numRef>
          </c:xVal>
          <c:yVal>
            <c:numRef>
              <c:f>'Hypersphere Data'!$F$45</c:f>
              <c:numCache>
                <c:formatCode>General</c:formatCode>
                <c:ptCount val="1"/>
                <c:pt idx="0">
                  <c:v>0.516498227033139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'Hypersphere Data'!$D$46</c:f>
              <c:strCache>
                <c:ptCount val="1"/>
                <c:pt idx="0">
                  <c:v>S₅  4.86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85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Data'!$E$46</c:f>
              <c:numCache>
                <c:formatCode>General</c:formatCode>
                <c:ptCount val="1"/>
                <c:pt idx="0">
                  <c:v>0.466103067111341</c:v>
                </c:pt>
              </c:numCache>
            </c:numRef>
          </c:xVal>
          <c:yVal>
            <c:numRef>
              <c:f>'Hypersphere Data'!$F$46</c:f>
              <c:numCache>
                <c:formatCode>General</c:formatCode>
                <c:ptCount val="1"/>
                <c:pt idx="0">
                  <c:v>0.269104731266843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'Hypersphere Data'!$D$47</c:f>
              <c:strCache>
                <c:ptCount val="1"/>
                <c:pt idx="0">
                  <c:v>S₃  5.61 (r, z)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85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Data'!$E$47</c:f>
              <c:numCache>
                <c:formatCode>General</c:formatCode>
                <c:ptCount val="1"/>
                <c:pt idx="0">
                  <c:v>0.538137796905894</c:v>
                </c:pt>
              </c:numCache>
            </c:numRef>
          </c:xVal>
          <c:yVal>
            <c:numRef>
              <c:f>'Hypersphere Data'!$F$47</c:f>
              <c:numCache>
                <c:formatCode>General</c:formatCode>
                <c:ptCount val="1"/>
                <c:pt idx="0">
                  <c:v>-0.31069400190473</c:v>
                </c:pt>
              </c:numCache>
            </c:numRef>
          </c:yVal>
          <c:smooth val="0"/>
        </c:ser>
        <c:ser>
          <c:idx val="11"/>
          <c:order val="11"/>
          <c:tx>
            <c:strRef>
              <c:f>'Hypersphere Data'!$D$48</c:f>
              <c:strCache>
                <c:ptCount val="1"/>
                <c:pt idx="0">
                  <c:v>S₇  5.89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85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Data'!$E$48</c:f>
              <c:numCache>
                <c:formatCode>General</c:formatCode>
                <c:ptCount val="1"/>
                <c:pt idx="0">
                  <c:v>3.99675010589605e-17</c:v>
                </c:pt>
              </c:numCache>
            </c:numRef>
          </c:xVal>
          <c:yVal>
            <c:numRef>
              <c:f>'Hypersphere Data'!$F$48</c:f>
              <c:numCache>
                <c:formatCode>General</c:formatCode>
                <c:ptCount val="1"/>
                <c:pt idx="0">
                  <c:v>-0.652718826142974</c:v>
                </c:pt>
              </c:numCache>
            </c:numRef>
          </c:yVal>
          <c:smooth val="0"/>
        </c:ser>
        <c:ser>
          <c:idx val="12"/>
          <c:order val="12"/>
          <c:tx>
            <c:strRef>
              <c:f>'Hypersphere Data'!$D$49</c:f>
              <c:strCache>
                <c:ptCount val="1"/>
                <c:pt idx="0">
                  <c:v>S₄  6.63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85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Data'!$E$49</c:f>
              <c:numCache>
                <c:formatCode>General</c:formatCode>
                <c:ptCount val="1"/>
                <c:pt idx="0">
                  <c:v>-0.636044560432061</c:v>
                </c:pt>
              </c:numCache>
            </c:numRef>
          </c:xVal>
          <c:yVal>
            <c:numRef>
              <c:f>'Hypersphere Data'!$F$49</c:f>
              <c:numCache>
                <c:formatCode>General</c:formatCode>
                <c:ptCount val="1"/>
                <c:pt idx="0">
                  <c:v>-0.367220498182048</c:v>
                </c:pt>
              </c:numCache>
            </c:numRef>
          </c:yVal>
          <c:smooth val="0"/>
        </c:ser>
        <c:ser>
          <c:idx val="13"/>
          <c:order val="13"/>
          <c:tx>
            <c:strRef>
              <c:f>'Hypersphere Data'!$D$50</c:f>
              <c:strCache>
                <c:ptCount val="1"/>
                <c:pt idx="0">
                  <c:v>S₆  6.80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85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Data'!$E$50</c:f>
              <c:numCache>
                <c:formatCode>General</c:formatCode>
                <c:ptCount val="1"/>
                <c:pt idx="0">
                  <c:v>-0.652778247616805</c:v>
                </c:pt>
              </c:numCache>
            </c:numRef>
          </c:xVal>
          <c:yVal>
            <c:numRef>
              <c:f>'Hypersphere Data'!$F$50</c:f>
              <c:numCache>
                <c:formatCode>General</c:formatCode>
                <c:ptCount val="1"/>
                <c:pt idx="0">
                  <c:v>0.376881696982694</c:v>
                </c:pt>
              </c:numCache>
            </c:numRef>
          </c:yVal>
          <c:smooth val="0"/>
        </c:ser>
        <c:ser>
          <c:idx val="14"/>
          <c:order val="14"/>
          <c:tx>
            <c:strRef>
              <c:f>'Hypersphere Data'!$D$51</c:f>
              <c:strCache>
                <c:ptCount val="1"/>
                <c:pt idx="0">
                  <c:v>S₁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850" b="1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Data'!$E$51</c:f>
              <c:numCache>
                <c:formatCode>General</c:formatCode>
                <c:ptCount val="1"/>
                <c:pt idx="0">
                  <c:v>0.0</c:v>
                </c:pt>
              </c:numCache>
            </c:numRef>
          </c:xVal>
          <c:yVal>
            <c:numRef>
              <c:f>'Hypersphere Data'!$F$51</c:f>
              <c:numCache>
                <c:formatCode>General</c:formatCode>
                <c:ptCount val="1"/>
                <c:pt idx="0">
                  <c:v>0.0</c:v>
                </c:pt>
              </c:numCache>
            </c:numRef>
          </c:yVal>
          <c:smooth val="0"/>
        </c:ser>
        <c:ser>
          <c:idx val="15"/>
          <c:order val="15"/>
          <c:tx>
            <c:strRef>
              <c:f>'Hypersphere Data'!$D$52</c:f>
              <c:strCache>
                <c:ptCount val="1"/>
                <c:pt idx="0">
                  <c:v>g = 3  ·  d = 0.000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1F3864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Data'!$E$52</c:f>
              <c:numCache>
                <c:formatCode>General</c:formatCode>
                <c:ptCount val="1"/>
                <c:pt idx="0">
                  <c:v>-1.2</c:v>
                </c:pt>
              </c:numCache>
            </c:numRef>
          </c:xVal>
          <c:yVal>
            <c:numRef>
              <c:f>'Hypersphere Data'!$F$52</c:f>
              <c:numCache>
                <c:formatCode>General</c:formatCode>
                <c:ptCount val="1"/>
                <c:pt idx="0">
                  <c:v>1.18</c:v>
                </c:pt>
              </c:numCache>
            </c:numRef>
          </c:yVal>
          <c:smooth val="0"/>
        </c:ser>
        <c:ser>
          <c:idx val="16"/>
          <c:order val="16"/>
          <c:tx>
            <c:strRef>
              <c:f>'Hypersphere Data'!$D$53</c:f>
              <c:strCache>
                <c:ptCount val="1"/>
                <c:pt idx="0">
                  <c:v>class 2  ·  queue 1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1F3864"/>
                    </a:solidFill>
                    <a:latin typeface="Calibri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Data'!$E$53</c:f>
              <c:numCache>
                <c:formatCode>General</c:formatCode>
                <c:ptCount val="1"/>
                <c:pt idx="0">
                  <c:v>1.2</c:v>
                </c:pt>
              </c:numCache>
            </c:numRef>
          </c:xVal>
          <c:yVal>
            <c:numRef>
              <c:f>'Hypersphere Data'!$F$53</c:f>
              <c:numCache>
                <c:formatCode>General</c:formatCode>
                <c:ptCount val="1"/>
                <c:pt idx="0">
                  <c:v>1.18</c:v>
                </c:pt>
              </c:numCache>
            </c:numRef>
          </c:yVal>
          <c:smooth val="0"/>
        </c:ser>
        <c:ser>
          <c:idx val="17"/>
          <c:order val="17"/>
          <c:tx>
            <c:strRef>
              <c:f>'Hypersphere Data'!$U$42</c:f>
              <c:strCache>
                <c:ptCount val="1"/>
                <c:pt idx="0">
                  <c:v>r = 5.61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50" b="1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Data'!$V$42</c:f>
              <c:numCache>
                <c:formatCode>General</c:formatCode>
                <c:ptCount val="1"/>
                <c:pt idx="0">
                  <c:v>0.62138800380946</c:v>
                </c:pt>
              </c:numCache>
            </c:numRef>
          </c:xVal>
          <c:yVal>
            <c:numRef>
              <c:f>'Hypersphere Data'!$W$42</c:f>
              <c:numCache>
                <c:formatCode>General</c:formatCode>
                <c:ptCount val="1"/>
                <c:pt idx="0">
                  <c:v>0.0</c:v>
                </c:pt>
              </c:numCache>
            </c:numRef>
          </c:yVal>
          <c:smooth val="0"/>
        </c:ser>
        <c:ser>
          <c:idx val="18"/>
          <c:order val="18"/>
          <c:tx>
            <c:strRef>
              <c:f>'Hypersphere Data'!$U$43</c:f>
              <c:strCache>
                <c:ptCount val="1"/>
                <c:pt idx="0">
                  <c:v>z = 5.61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50" b="1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Data'!$V$43</c:f>
              <c:numCache>
                <c:formatCode>General</c:formatCode>
                <c:ptCount val="1"/>
                <c:pt idx="0">
                  <c:v>-0.62138800380946</c:v>
                </c:pt>
              </c:numCache>
            </c:numRef>
          </c:xVal>
          <c:yVal>
            <c:numRef>
              <c:f>'Hypersphere Data'!$W$43</c:f>
              <c:numCache>
                <c:formatCode>General</c:formatCode>
                <c:ptCount val="1"/>
                <c:pt idx="0">
                  <c:v>0.0</c:v>
                </c:pt>
              </c:numCache>
            </c:numRef>
          </c:yVal>
          <c:smooth val="0"/>
        </c:ser>
        <c:axId val="9101"/>
        <c:axId val="9102"/>
      </c:scatterChart>
      <c:valAx>
        <c:axId val="9101"/>
        <c:scaling>
          <c:orientation val="minMax"/>
          <c:max val="1.24"/>
          <c:min val="-1.24"/>
        </c:scaling>
        <c:delete val="1"/>
        <c:axPos val="b"/>
        <c:numFmt formatCode="General" sourceLinked="0"/>
        <c:majorTickMark val="none"/>
        <c:minorTickMark val="none"/>
        <c:tickLblPos val="none"/>
        <c:crossAx val="9102"/>
        <c:crosses val="autoZero"/>
        <c:crossBetween val="midCat"/>
      </c:valAx>
      <c:valAx>
        <c:axId val="9102"/>
        <c:scaling>
          <c:orientation val="minMax"/>
          <c:max val="1.24"/>
          <c:min val="-1.24"/>
        </c:scaling>
        <c:delete val="1"/>
        <c:axPos val="l"/>
        <c:numFmt formatCode="General" sourceLinked="0"/>
        <c:majorTickMark val="none"/>
        <c:minorTickMark val="none"/>
        <c:tickLblPos val="none"/>
        <c:crossAx val="9101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/>
          <a:lstStyle/>
          <a:p>
            <a:pPr>
              <a:defRPr sz="1050" b="1">
                <a:solidFill>
                  <a:srgbClr val="1F3864"/>
                </a:solidFill>
                <a:latin typeface="Calibri"/>
              </a:defRPr>
            </a:pPr>
            <a:r>
              <a:rPr lang="en-US" sz="1050" b="1">
                <a:solidFill>
                  <a:srgbClr val="1F3864"/>
                </a:solidFill>
                <a:latin typeface="Calibri"/>
              </a:rPr>
              <a:t>Hyperspheres of S₂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0349"/>
          <c:y val="0.1223"/>
          <c:w val="0.9302"/>
          <c:h val="0.8511"/>
        </c:manualLayout>
      </c:layout>
      <c:scatterChart>
        <c:scatterStyle val="lineMarker"/>
        <c:varyColors val="0"/>
        <c:ser>
          <c:idx val="0"/>
          <c:order val="0"/>
          <c:tx>
            <c:v>enemy sphere r(Sᵢ)</c:v>
          </c:tx>
          <c:spPr>
            <a:ln w="22225" cap="rnd">
              <a:solidFill>
                <a:srgbClr val="595959"/>
              </a:solidFill>
              <a:round/>
            </a:ln>
          </c:spPr>
          <c:marker>
            <c:symbol val="none"/>
          </c:marker>
          <c:xVal>
            <c:numRef>
              <c:f>'Hypersphere Data'!$AA$64:$AA$88</c:f>
              <c:numCache>
                <c:formatCode>General</c:formatCode>
                <c:ptCount val="25"/>
                <c:pt idx="0">
                  <c:v>0.82783715849673</c:v>
                </c:pt>
                <c:pt idx="1">
                  <c:v>0.799629291353748</c:v>
                </c:pt>
                <c:pt idx="2">
                  <c:v>0.716928009454893</c:v>
                </c:pt>
                <c:pt idx="3">
                  <c:v>0.585369268491241</c:v>
                </c:pt>
                <c:pt idx="4">
                  <c:v>0.413918579248365</c:v>
                </c:pt>
                <c:pt idx="5">
                  <c:v>0.214260022862508</c:v>
                </c:pt>
                <c:pt idx="6">
                  <c:v>5.0690406318413e-17</c:v>
                </c:pt>
                <c:pt idx="7">
                  <c:v>-0.214260022862508</c:v>
                </c:pt>
                <c:pt idx="8">
                  <c:v>-0.413918579248365</c:v>
                </c:pt>
                <c:pt idx="9">
                  <c:v>-0.585369268491241</c:v>
                </c:pt>
                <c:pt idx="10">
                  <c:v>-0.716928009454893</c:v>
                </c:pt>
                <c:pt idx="11">
                  <c:v>-0.799629291353748</c:v>
                </c:pt>
                <c:pt idx="12">
                  <c:v>-0.82783715849673</c:v>
                </c:pt>
                <c:pt idx="13">
                  <c:v>-0.799629291353748</c:v>
                </c:pt>
                <c:pt idx="14">
                  <c:v>-0.716928009454893</c:v>
                </c:pt>
                <c:pt idx="15">
                  <c:v>-0.585369268491241</c:v>
                </c:pt>
                <c:pt idx="16">
                  <c:v>-0.413918579248365</c:v>
                </c:pt>
                <c:pt idx="17">
                  <c:v>-0.214260022862508</c:v>
                </c:pt>
                <c:pt idx="18">
                  <c:v>-1.52071218955239e-16</c:v>
                </c:pt>
                <c:pt idx="19">
                  <c:v>0.214260022862507</c:v>
                </c:pt>
                <c:pt idx="20">
                  <c:v>0.413918579248365</c:v>
                </c:pt>
                <c:pt idx="21">
                  <c:v>0.58536926849124</c:v>
                </c:pt>
                <c:pt idx="22">
                  <c:v>0.716928009454893</c:v>
                </c:pt>
                <c:pt idx="23">
                  <c:v>0.799629291353748</c:v>
                </c:pt>
                <c:pt idx="24">
                  <c:v>0.82783715849673</c:v>
                </c:pt>
              </c:numCache>
            </c:numRef>
          </c:xVal>
          <c:yVal>
            <c:numRef>
              <c:f>'Hypersphere Data'!$AB$64:$AB$88</c:f>
              <c:numCache>
                <c:formatCode>General</c:formatCode>
                <c:ptCount val="25"/>
                <c:pt idx="0">
                  <c:v>0.0</c:v>
                </c:pt>
                <c:pt idx="1">
                  <c:v>0.214260022862508</c:v>
                </c:pt>
                <c:pt idx="2">
                  <c:v>0.413918579248365</c:v>
                </c:pt>
                <c:pt idx="3">
                  <c:v>0.585369268491241</c:v>
                </c:pt>
                <c:pt idx="4">
                  <c:v>0.716928009454893</c:v>
                </c:pt>
                <c:pt idx="5">
                  <c:v>0.799629291353748</c:v>
                </c:pt>
                <c:pt idx="6">
                  <c:v>0.82783715849673</c:v>
                </c:pt>
                <c:pt idx="7">
                  <c:v>0.799629291353748</c:v>
                </c:pt>
                <c:pt idx="8">
                  <c:v>0.716928009454893</c:v>
                </c:pt>
                <c:pt idx="9">
                  <c:v>0.585369268491241</c:v>
                </c:pt>
                <c:pt idx="10">
                  <c:v>0.413918579248365</c:v>
                </c:pt>
                <c:pt idx="11">
                  <c:v>0.214260022862508</c:v>
                </c:pt>
                <c:pt idx="12">
                  <c:v>1.01380812636826e-16</c:v>
                </c:pt>
                <c:pt idx="13">
                  <c:v>-0.214260022862508</c:v>
                </c:pt>
                <c:pt idx="14">
                  <c:v>-0.413918579248365</c:v>
                </c:pt>
                <c:pt idx="15">
                  <c:v>-0.58536926849124</c:v>
                </c:pt>
                <c:pt idx="16">
                  <c:v>-0.716928009454893</c:v>
                </c:pt>
                <c:pt idx="17">
                  <c:v>-0.799629291353748</c:v>
                </c:pt>
                <c:pt idx="18">
                  <c:v>-0.82783715849673</c:v>
                </c:pt>
                <c:pt idx="19">
                  <c:v>-0.799629291353748</c:v>
                </c:pt>
                <c:pt idx="20">
                  <c:v>-0.716928009454893</c:v>
                </c:pt>
                <c:pt idx="21">
                  <c:v>-0.585369268491241</c:v>
                </c:pt>
                <c:pt idx="22">
                  <c:v>-0.413918579248365</c:v>
                </c:pt>
                <c:pt idx="23">
                  <c:v>-0.214260022862508</c:v>
                </c:pt>
                <c:pt idx="24">
                  <c:v>-2.02761625273652e-16</c:v>
                </c:pt>
              </c:numCache>
            </c:numRef>
          </c:yVal>
          <c:smooth val="1"/>
        </c:ser>
        <c:ser>
          <c:idx val="1"/>
          <c:order val="1"/>
          <c:tx>
            <c:v>k-sphere z(Sᵢ, k)</c:v>
          </c:tx>
          <c:spPr>
            <a:ln w="22225" cap="rnd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Data'!$AC$64:$AC$88</c:f>
              <c:numCache>
                <c:formatCode>General</c:formatCode>
                <c:ptCount val="25"/>
                <c:pt idx="0">
                  <c:v>0.705843819741894</c:v>
                </c:pt>
                <c:pt idx="1">
                  <c:v>0.681792774815221</c:v>
                </c:pt>
                <c:pt idx="2">
                  <c:v>0.611278679000724</c:v>
                </c:pt>
                <c:pt idx="3">
                  <c:v>0.499106951398108</c:v>
                </c:pt>
                <c:pt idx="4">
                  <c:v>0.352921909870947</c:v>
                </c:pt>
                <c:pt idx="5">
                  <c:v>0.182685823417113</c:v>
                </c:pt>
                <c:pt idx="6">
                  <c:v>4.32204687272426e-17</c:v>
                </c:pt>
                <c:pt idx="7">
                  <c:v>-0.182685823417113</c:v>
                </c:pt>
                <c:pt idx="8">
                  <c:v>-0.352921909870947</c:v>
                </c:pt>
                <c:pt idx="9">
                  <c:v>-0.499106951398108</c:v>
                </c:pt>
                <c:pt idx="10">
                  <c:v>-0.611278679000724</c:v>
                </c:pt>
                <c:pt idx="11">
                  <c:v>-0.681792774815221</c:v>
                </c:pt>
                <c:pt idx="12">
                  <c:v>-0.705843819741894</c:v>
                </c:pt>
                <c:pt idx="13">
                  <c:v>-0.681792774815221</c:v>
                </c:pt>
                <c:pt idx="14">
                  <c:v>-0.611278679000724</c:v>
                </c:pt>
                <c:pt idx="15">
                  <c:v>-0.499106951398108</c:v>
                </c:pt>
                <c:pt idx="16">
                  <c:v>-0.352921909870947</c:v>
                </c:pt>
                <c:pt idx="17">
                  <c:v>-0.182685823417113</c:v>
                </c:pt>
                <c:pt idx="18">
                  <c:v>-1.29661406181728e-16</c:v>
                </c:pt>
                <c:pt idx="19">
                  <c:v>0.182685823417112</c:v>
                </c:pt>
                <c:pt idx="20">
                  <c:v>0.352921909870947</c:v>
                </c:pt>
                <c:pt idx="21">
                  <c:v>0.499106951398108</c:v>
                </c:pt>
                <c:pt idx="22">
                  <c:v>0.611278679000724</c:v>
                </c:pt>
                <c:pt idx="23">
                  <c:v>0.681792774815221</c:v>
                </c:pt>
                <c:pt idx="24">
                  <c:v>0.705843819741894</c:v>
                </c:pt>
              </c:numCache>
            </c:numRef>
          </c:xVal>
          <c:yVal>
            <c:numRef>
              <c:f>'Hypersphere Data'!$AD$64:$AD$88</c:f>
              <c:numCache>
                <c:formatCode>General</c:formatCode>
                <c:ptCount val="25"/>
                <c:pt idx="0">
                  <c:v>0.0</c:v>
                </c:pt>
                <c:pt idx="1">
                  <c:v>0.182685823417113</c:v>
                </c:pt>
                <c:pt idx="2">
                  <c:v>0.352921909870947</c:v>
                </c:pt>
                <c:pt idx="3">
                  <c:v>0.499106951398108</c:v>
                </c:pt>
                <c:pt idx="4">
                  <c:v>0.611278679000724</c:v>
                </c:pt>
                <c:pt idx="5">
                  <c:v>0.681792774815221</c:v>
                </c:pt>
                <c:pt idx="6">
                  <c:v>0.705843819741894</c:v>
                </c:pt>
                <c:pt idx="7">
                  <c:v>0.681792774815221</c:v>
                </c:pt>
                <c:pt idx="8">
                  <c:v>0.611278679000724</c:v>
                </c:pt>
                <c:pt idx="9">
                  <c:v>0.499106951398108</c:v>
                </c:pt>
                <c:pt idx="10">
                  <c:v>0.352921909870947</c:v>
                </c:pt>
                <c:pt idx="11">
                  <c:v>0.182685823417113</c:v>
                </c:pt>
                <c:pt idx="12">
                  <c:v>8.64409374544851e-17</c:v>
                </c:pt>
                <c:pt idx="13">
                  <c:v>-0.182685823417113</c:v>
                </c:pt>
                <c:pt idx="14">
                  <c:v>-0.352921909870947</c:v>
                </c:pt>
                <c:pt idx="15">
                  <c:v>-0.499106951398108</c:v>
                </c:pt>
                <c:pt idx="16">
                  <c:v>-0.611278679000724</c:v>
                </c:pt>
                <c:pt idx="17">
                  <c:v>-0.681792774815221</c:v>
                </c:pt>
                <c:pt idx="18">
                  <c:v>-0.705843819741894</c:v>
                </c:pt>
                <c:pt idx="19">
                  <c:v>-0.681792774815221</c:v>
                </c:pt>
                <c:pt idx="20">
                  <c:v>-0.611278679000724</c:v>
                </c:pt>
                <c:pt idx="21">
                  <c:v>-0.499106951398108</c:v>
                </c:pt>
                <c:pt idx="22">
                  <c:v>-0.352921909870947</c:v>
                </c:pt>
                <c:pt idx="23">
                  <c:v>-0.182685823417113</c:v>
                </c:pt>
                <c:pt idx="24">
                  <c:v>-1.7288187490897e-16</c:v>
                </c:pt>
              </c:numCache>
            </c:numRef>
          </c:yVal>
          <c:smooth val="1"/>
        </c:ser>
        <c:ser>
          <c:idx val="2"/>
          <c:order val="2"/>
          <c:tx>
            <c:v>K1 · not counted</c:v>
          </c:tx>
          <c:spPr>
            <a:ln w="19050">
              <a:noFill/>
            </a:ln>
          </c:spPr>
          <c:marker>
            <c:symbol val="circle"/>
            <c:size val="8"/>
            <c:spPr>
              <a:solidFill>
                <a:srgbClr val="A9C4EB"/>
              </a:solidFill>
              <a:ln w="12700">
                <a:solidFill>
                  <a:srgbClr val="2F5597"/>
                </a:solidFill>
              </a:ln>
            </c:spPr>
          </c:marker>
          <c:xVal>
            <c:numRef>
              <c:f>'Hypersphere Data'!$K$64:$K$70</c:f>
              <c:numCache>
                <c:formatCode>General</c:formatCode>
                <c:ptCount val="7"/>
                <c:pt idx="2">
                  <c:v>5.0690406318413e-17</c:v>
                </c:pt>
                <c:pt idx="5">
                  <c:v>-0.839101987376665</c:v>
                </c:pt>
                <c:pt idx="6">
                  <c:v>-0.747219910307207</c:v>
                </c:pt>
              </c:numCache>
            </c:numRef>
          </c:xVal>
          <c:yVal>
            <c:numRef>
              <c:f>'Hypersphere Data'!$L$64:$L$70</c:f>
              <c:numCache>
                <c:formatCode>General</c:formatCode>
                <c:ptCount val="7"/>
                <c:pt idx="2">
                  <c:v>-0.82783715849673</c:v>
                </c:pt>
                <c:pt idx="5">
                  <c:v>0.484455758289467</c:v>
                </c:pt>
                <c:pt idx="6">
                  <c:v>-0.431407616359714</c:v>
                </c:pt>
              </c:numCache>
            </c:numRef>
          </c:yVal>
          <c:smooth val="0"/>
        </c:ser>
        <c:ser>
          <c:idx val="3"/>
          <c:order val="3"/>
          <c:tx>
            <c:v>K2 · not counted</c:v>
          </c:tx>
          <c:spPr>
            <a:ln w="19050">
              <a:noFill/>
            </a:ln>
          </c:spPr>
          <c:marker>
            <c:symbol val="triangle"/>
            <c:size val="9"/>
            <c:spPr>
              <a:solidFill>
                <a:srgbClr val="F2A7A7"/>
              </a:solidFill>
              <a:ln w="12700">
                <a:solidFill>
                  <a:srgbClr val="C00000"/>
                </a:solidFill>
              </a:ln>
            </c:spPr>
          </c:marker>
          <c:xVal>
            <c:numRef>
              <c:f>'Hypersphere Data'!$O$64:$O$70</c:f>
              <c:numCache>
                <c:formatCode>General</c:formatCode>
                <c:ptCount val="7"/>
              </c:numCache>
            </c:numRef>
          </c:xVal>
          <c:yVal>
            <c:numRef>
              <c:f>'Hypersphere Data'!$P$64:$P$70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4"/>
          <c:order val="4"/>
          <c:tx>
            <c:v>K1 · inside the enemy sphere (counted in g)</c:v>
          </c:tx>
          <c:spPr>
            <a:ln w="19050">
              <a:noFill/>
            </a:ln>
          </c:spPr>
          <c:marker>
            <c:symbol val="circle"/>
            <c:size val="8"/>
            <c:spPr>
              <a:solidFill>
                <a:srgbClr val="2F5597"/>
              </a:solidFill>
              <a:ln w="19050">
                <a:solidFill>
                  <a:srgbClr val="2F5597"/>
                </a:solidFill>
              </a:ln>
            </c:spPr>
          </c:marker>
          <c:xVal>
            <c:numRef>
              <c:f>'Hypersphere Data'!$I$64:$I$70</c:f>
              <c:numCache>
                <c:formatCode>General</c:formatCode>
                <c:ptCount val="7"/>
              </c:numCache>
            </c:numRef>
          </c:xVal>
          <c:yVal>
            <c:numRef>
              <c:f>'Hypersphere Data'!$J$64:$J$70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5"/>
          <c:order val="5"/>
          <c:tx>
            <c:v>K2 · inside the enemy sphere (counted in g)</c:v>
          </c:tx>
          <c:spPr>
            <a:ln w="19050">
              <a:noFill/>
            </a:ln>
          </c:spPr>
          <c:marker>
            <c:symbol val="triangle"/>
            <c:size val="9"/>
            <c:spPr>
              <a:solidFill>
                <a:srgbClr val="C00000"/>
              </a:solidFill>
              <a:ln w="19050">
                <a:solidFill>
                  <a:srgbClr val="C00000"/>
                </a:solidFill>
              </a:ln>
            </c:spPr>
          </c:marker>
          <c:xVal>
            <c:numRef>
              <c:f>'Hypersphere Data'!$M$64:$M$70</c:f>
              <c:numCache>
                <c:formatCode>General</c:formatCode>
                <c:ptCount val="7"/>
                <c:pt idx="0">
                  <c:v>3.16263950250709e-17</c:v>
                </c:pt>
                <c:pt idx="3">
                  <c:v>0.611278679000724</c:v>
                </c:pt>
                <c:pt idx="4">
                  <c:v>0.5858380357876</c:v>
                </c:pt>
              </c:numCache>
            </c:numRef>
          </c:xVal>
          <c:yVal>
            <c:numRef>
              <c:f>'Hypersphere Data'!$N$64:$N$70</c:f>
              <c:numCache>
                <c:formatCode>General</c:formatCode>
                <c:ptCount val="7"/>
                <c:pt idx="0">
                  <c:v>0.516498227033139</c:v>
                </c:pt>
                <c:pt idx="3">
                  <c:v>-0.352921909870947</c:v>
                </c:pt>
                <c:pt idx="4">
                  <c:v>0.338233747663492</c:v>
                </c:pt>
              </c:numCache>
            </c:numRef>
          </c:yVal>
          <c:smooth val="0"/>
        </c:ser>
        <c:ser>
          <c:idx val="6"/>
          <c:order val="6"/>
          <c:tx>
            <c:v>centre Sᵢ (K1)</c:v>
          </c:tx>
          <c:spPr>
            <a:ln w="19050">
              <a:noFill/>
            </a:ln>
          </c:spPr>
          <c:marker>
            <c:symbol val="circle"/>
            <c:size val="13"/>
            <c:spPr>
              <a:solidFill>
                <a:srgbClr val="2F5597"/>
              </a:solidFill>
              <a:ln w="25400">
                <a:solidFill>
                  <a:srgbClr val="000000"/>
                </a:solidFill>
              </a:ln>
            </c:spPr>
          </c:marker>
          <c:xVal>
            <c:numRef>
              <c:f>'Hypersphere Data'!$Q$64:$Q$70</c:f>
              <c:numCache>
                <c:formatCode>General</c:formatCode>
                <c:ptCount val="7"/>
              </c:numCache>
            </c:numRef>
          </c:xVal>
          <c:yVal>
            <c:numRef>
              <c:f>'Hypersphere Data'!$R$64:$R$70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7"/>
          <c:order val="7"/>
          <c:tx>
            <c:v>centre Sᵢ (K2)</c:v>
          </c:tx>
          <c:spPr>
            <a:ln w="19050">
              <a:noFill/>
            </a:ln>
          </c:spPr>
          <c:marker>
            <c:symbol val="triangle"/>
            <c:size val="14"/>
            <c:spPr>
              <a:solidFill>
                <a:srgbClr val="C00000"/>
              </a:solidFill>
              <a:ln w="25400">
                <a:solidFill>
                  <a:srgbClr val="000000"/>
                </a:solidFill>
              </a:ln>
            </c:spPr>
          </c:marker>
          <c:xVal>
            <c:numRef>
              <c:f>'Hypersphere Data'!$S$64:$S$70</c:f>
              <c:numCache>
                <c:formatCode>General</c:formatCode>
                <c:ptCount val="7"/>
                <c:pt idx="1">
                  <c:v>0.0</c:v>
                </c:pt>
              </c:numCache>
            </c:numRef>
          </c:xVal>
          <c:yVal>
            <c:numRef>
              <c:f>'Hypersphere Data'!$T$64:$T$70</c:f>
              <c:numCache>
                <c:formatCode>General</c:formatCode>
                <c:ptCount val="7"/>
                <c:pt idx="1">
                  <c:v>0.0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'Hypersphere Data'!$D$74</c:f>
              <c:strCache>
                <c:ptCount val="1"/>
                <c:pt idx="0">
                  <c:v>S₁  4.66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85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Data'!$E$74</c:f>
              <c:numCache>
                <c:formatCode>General</c:formatCode>
                <c:ptCount val="1"/>
                <c:pt idx="0">
                  <c:v>3.16263950250709e-17</c:v>
                </c:pt>
              </c:numCache>
            </c:numRef>
          </c:xVal>
          <c:yVal>
            <c:numRef>
              <c:f>'Hypersphere Data'!$F$74</c:f>
              <c:numCache>
                <c:formatCode>General</c:formatCode>
                <c:ptCount val="1"/>
                <c:pt idx="0">
                  <c:v>0.516498227033139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'Hypersphere Data'!$D$75</c:f>
              <c:strCache>
                <c:ptCount val="1"/>
                <c:pt idx="0">
                  <c:v>S₅  6.10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85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Data'!$E$75</c:f>
              <c:numCache>
                <c:formatCode>General</c:formatCode>
                <c:ptCount val="1"/>
                <c:pt idx="0">
                  <c:v>0.5858380357876</c:v>
                </c:pt>
              </c:numCache>
            </c:numRef>
          </c:xVal>
          <c:yVal>
            <c:numRef>
              <c:f>'Hypersphere Data'!$F$75</c:f>
              <c:numCache>
                <c:formatCode>General</c:formatCode>
                <c:ptCount val="1"/>
                <c:pt idx="0">
                  <c:v>0.338233747663492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'Hypersphere Data'!$D$76</c:f>
              <c:strCache>
                <c:ptCount val="1"/>
                <c:pt idx="0">
                  <c:v>S₄  6.37 (z)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85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Data'!$E$76</c:f>
              <c:numCache>
                <c:formatCode>General</c:formatCode>
                <c:ptCount val="1"/>
                <c:pt idx="0">
                  <c:v>0.611278679000724</c:v>
                </c:pt>
              </c:numCache>
            </c:numRef>
          </c:xVal>
          <c:yVal>
            <c:numRef>
              <c:f>'Hypersphere Data'!$F$76</c:f>
              <c:numCache>
                <c:formatCode>General</c:formatCode>
                <c:ptCount val="1"/>
                <c:pt idx="0">
                  <c:v>-0.352921909870947</c:v>
                </c:pt>
              </c:numCache>
            </c:numRef>
          </c:yVal>
          <c:smooth val="0"/>
        </c:ser>
        <c:ser>
          <c:idx val="11"/>
          <c:order val="11"/>
          <c:tx>
            <c:strRef>
              <c:f>'Hypersphere Data'!$D$77</c:f>
              <c:strCache>
                <c:ptCount val="1"/>
                <c:pt idx="0">
                  <c:v>S₃  7.47 (r)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85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Data'!$E$77</c:f>
              <c:numCache>
                <c:formatCode>General</c:formatCode>
                <c:ptCount val="1"/>
                <c:pt idx="0">
                  <c:v>5.0690406318413e-17</c:v>
                </c:pt>
              </c:numCache>
            </c:numRef>
          </c:xVal>
          <c:yVal>
            <c:numRef>
              <c:f>'Hypersphere Data'!$F$77</c:f>
              <c:numCache>
                <c:formatCode>General</c:formatCode>
                <c:ptCount val="1"/>
                <c:pt idx="0">
                  <c:v>-0.82783715849673</c:v>
                </c:pt>
              </c:numCache>
            </c:numRef>
          </c:yVal>
          <c:smooth val="0"/>
        </c:ser>
        <c:ser>
          <c:idx val="12"/>
          <c:order val="12"/>
          <c:tx>
            <c:strRef>
              <c:f>'Hypersphere Data'!$D$78</c:f>
              <c:strCache>
                <c:ptCount val="1"/>
                <c:pt idx="0">
                  <c:v>S₇  7.79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85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Data'!$E$78</c:f>
              <c:numCache>
                <c:formatCode>General</c:formatCode>
                <c:ptCount val="1"/>
                <c:pt idx="0">
                  <c:v>-0.747219910307207</c:v>
                </c:pt>
              </c:numCache>
            </c:numRef>
          </c:xVal>
          <c:yVal>
            <c:numRef>
              <c:f>'Hypersphere Data'!$F$78</c:f>
              <c:numCache>
                <c:formatCode>General</c:formatCode>
                <c:ptCount val="1"/>
                <c:pt idx="0">
                  <c:v>-0.431407616359714</c:v>
                </c:pt>
              </c:numCache>
            </c:numRef>
          </c:yVal>
          <c:smooth val="0"/>
        </c:ser>
        <c:ser>
          <c:idx val="13"/>
          <c:order val="13"/>
          <c:tx>
            <c:strRef>
              <c:f>'Hypersphere Data'!$D$79</c:f>
              <c:strCache>
                <c:ptCount val="1"/>
                <c:pt idx="0">
                  <c:v>S₆  8.74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85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Data'!$E$79</c:f>
              <c:numCache>
                <c:formatCode>General</c:formatCode>
                <c:ptCount val="1"/>
                <c:pt idx="0">
                  <c:v>-0.839101987376665</c:v>
                </c:pt>
              </c:numCache>
            </c:numRef>
          </c:xVal>
          <c:yVal>
            <c:numRef>
              <c:f>'Hypersphere Data'!$F$79</c:f>
              <c:numCache>
                <c:formatCode>General</c:formatCode>
                <c:ptCount val="1"/>
                <c:pt idx="0">
                  <c:v>0.484455758289467</c:v>
                </c:pt>
              </c:numCache>
            </c:numRef>
          </c:yVal>
          <c:smooth val="0"/>
        </c:ser>
        <c:ser>
          <c:idx val="14"/>
          <c:order val="14"/>
          <c:tx>
            <c:strRef>
              <c:f>'Hypersphere Data'!$D$80</c:f>
              <c:strCache>
                <c:ptCount val="1"/>
                <c:pt idx="0">
                  <c:v>S₂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850" b="1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Data'!$E$80</c:f>
              <c:numCache>
                <c:formatCode>General</c:formatCode>
                <c:ptCount val="1"/>
                <c:pt idx="0">
                  <c:v>0.0</c:v>
                </c:pt>
              </c:numCache>
            </c:numRef>
          </c:xVal>
          <c:yVal>
            <c:numRef>
              <c:f>'Hypersphere Data'!$F$80</c:f>
              <c:numCache>
                <c:formatCode>General</c:formatCode>
                <c:ptCount val="1"/>
                <c:pt idx="0">
                  <c:v>0.0</c:v>
                </c:pt>
              </c:numCache>
            </c:numRef>
          </c:yVal>
          <c:smooth val="0"/>
        </c:ser>
        <c:ser>
          <c:idx val="15"/>
          <c:order val="15"/>
          <c:tx>
            <c:strRef>
              <c:f>'Hypersphere Data'!$D$81</c:f>
              <c:strCache>
                <c:ptCount val="1"/>
                <c:pt idx="0">
                  <c:v>g = 4  ·  d = 0.080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1F3864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Data'!$E$81</c:f>
              <c:numCache>
                <c:formatCode>General</c:formatCode>
                <c:ptCount val="1"/>
                <c:pt idx="0">
                  <c:v>-1.2</c:v>
                </c:pt>
              </c:numCache>
            </c:numRef>
          </c:xVal>
          <c:yVal>
            <c:numRef>
              <c:f>'Hypersphere Data'!$F$81</c:f>
              <c:numCache>
                <c:formatCode>General</c:formatCode>
                <c:ptCount val="1"/>
                <c:pt idx="0">
                  <c:v>1.18</c:v>
                </c:pt>
              </c:numCache>
            </c:numRef>
          </c:yVal>
          <c:smooth val="0"/>
        </c:ser>
        <c:ser>
          <c:idx val="16"/>
          <c:order val="16"/>
          <c:tx>
            <c:strRef>
              <c:f>'Hypersphere Data'!$D$82</c:f>
              <c:strCache>
                <c:ptCount val="1"/>
                <c:pt idx="0">
                  <c:v>class 2  ·  queue 4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1F3864"/>
                    </a:solidFill>
                    <a:latin typeface="Calibri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Data'!$E$82</c:f>
              <c:numCache>
                <c:formatCode>General</c:formatCode>
                <c:ptCount val="1"/>
                <c:pt idx="0">
                  <c:v>1.2</c:v>
                </c:pt>
              </c:numCache>
            </c:numRef>
          </c:xVal>
          <c:yVal>
            <c:numRef>
              <c:f>'Hypersphere Data'!$F$82</c:f>
              <c:numCache>
                <c:formatCode>General</c:formatCode>
                <c:ptCount val="1"/>
                <c:pt idx="0">
                  <c:v>1.18</c:v>
                </c:pt>
              </c:numCache>
            </c:numRef>
          </c:yVal>
          <c:smooth val="0"/>
        </c:ser>
        <c:ser>
          <c:idx val="17"/>
          <c:order val="17"/>
          <c:tx>
            <c:strRef>
              <c:f>'Hypersphere Data'!$U$71</c:f>
              <c:strCache>
                <c:ptCount val="1"/>
                <c:pt idx="0">
                  <c:v>r = 7.47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50" b="1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Data'!$V$71</c:f>
              <c:numCache>
                <c:formatCode>General</c:formatCode>
                <c:ptCount val="1"/>
                <c:pt idx="0">
                  <c:v>0.82783715849673</c:v>
                </c:pt>
              </c:numCache>
            </c:numRef>
          </c:xVal>
          <c:yVal>
            <c:numRef>
              <c:f>'Hypersphere Data'!$W$71</c:f>
              <c:numCache>
                <c:formatCode>General</c:formatCode>
                <c:ptCount val="1"/>
                <c:pt idx="0">
                  <c:v>0.0</c:v>
                </c:pt>
              </c:numCache>
            </c:numRef>
          </c:yVal>
          <c:smooth val="0"/>
        </c:ser>
        <c:ser>
          <c:idx val="18"/>
          <c:order val="18"/>
          <c:tx>
            <c:strRef>
              <c:f>'Hypersphere Data'!$U$72</c:f>
              <c:strCache>
                <c:ptCount val="1"/>
                <c:pt idx="0">
                  <c:v>z = 6.37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50" b="1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Data'!$V$72</c:f>
              <c:numCache>
                <c:formatCode>General</c:formatCode>
                <c:ptCount val="1"/>
                <c:pt idx="0">
                  <c:v>-0.705843819741894</c:v>
                </c:pt>
              </c:numCache>
            </c:numRef>
          </c:xVal>
          <c:yVal>
            <c:numRef>
              <c:f>'Hypersphere Data'!$W$72</c:f>
              <c:numCache>
                <c:formatCode>General</c:formatCode>
                <c:ptCount val="1"/>
                <c:pt idx="0">
                  <c:v>0.0</c:v>
                </c:pt>
              </c:numCache>
            </c:numRef>
          </c:yVal>
          <c:smooth val="0"/>
        </c:ser>
        <c:axId val="9101"/>
        <c:axId val="9102"/>
      </c:scatterChart>
      <c:valAx>
        <c:axId val="9101"/>
        <c:scaling>
          <c:orientation val="minMax"/>
          <c:max val="1.24"/>
          <c:min val="-1.24"/>
        </c:scaling>
        <c:delete val="1"/>
        <c:axPos val="b"/>
        <c:numFmt formatCode="General" sourceLinked="0"/>
        <c:majorTickMark val="none"/>
        <c:minorTickMark val="none"/>
        <c:tickLblPos val="none"/>
        <c:crossAx val="9102"/>
        <c:crosses val="autoZero"/>
        <c:crossBetween val="midCat"/>
      </c:valAx>
      <c:valAx>
        <c:axId val="9102"/>
        <c:scaling>
          <c:orientation val="minMax"/>
          <c:max val="1.24"/>
          <c:min val="-1.24"/>
        </c:scaling>
        <c:delete val="1"/>
        <c:axPos val="l"/>
        <c:numFmt formatCode="General" sourceLinked="0"/>
        <c:majorTickMark val="none"/>
        <c:minorTickMark val="none"/>
        <c:tickLblPos val="none"/>
        <c:crossAx val="9101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/>
          <a:lstStyle/>
          <a:p>
            <a:pPr>
              <a:defRPr sz="1050" b="1">
                <a:solidFill>
                  <a:srgbClr val="1F3864"/>
                </a:solidFill>
                <a:latin typeface="Calibri"/>
              </a:defRPr>
            </a:pPr>
            <a:r>
              <a:rPr lang="en-US" sz="1050" b="1">
                <a:solidFill>
                  <a:srgbClr val="1F3864"/>
                </a:solidFill>
                <a:latin typeface="Calibri"/>
              </a:rPr>
              <a:t>Hyperspheres of S₃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0349"/>
          <c:y val="0.1223"/>
          <c:w val="0.9302"/>
          <c:h val="0.8511"/>
        </c:manualLayout>
      </c:layout>
      <c:scatterChart>
        <c:scatterStyle val="lineMarker"/>
        <c:varyColors val="0"/>
        <c:ser>
          <c:idx val="0"/>
          <c:order val="0"/>
          <c:tx>
            <c:v>enemy sphere r(Sᵢ)</c:v>
          </c:tx>
          <c:spPr>
            <a:ln w="22225" cap="rnd">
              <a:solidFill>
                <a:srgbClr val="595959"/>
              </a:solidFill>
              <a:round/>
            </a:ln>
          </c:spPr>
          <c:marker>
            <c:symbol val="none"/>
          </c:marker>
          <c:xVal>
            <c:numRef>
              <c:f>'Hypersphere Data'!$AA$93:$AA$117</c:f>
              <c:numCache>
                <c:formatCode>General</c:formatCode>
                <c:ptCount val="25"/>
                <c:pt idx="0">
                  <c:v>0.62138800380946</c:v>
                </c:pt>
                <c:pt idx="1">
                  <c:v>0.600214721025768</c:v>
                </c:pt>
                <c:pt idx="2">
                  <c:v>0.538137796905894</c:v>
                </c:pt>
                <c:pt idx="3">
                  <c:v>0.439387671241642</c:v>
                </c:pt>
                <c:pt idx="4">
                  <c:v>0.31069400190473</c:v>
                </c:pt>
                <c:pt idx="5">
                  <c:v>0.160827049784126</c:v>
                </c:pt>
                <c:pt idx="6">
                  <c:v>3.8049041494691e-17</c:v>
                </c:pt>
                <c:pt idx="7">
                  <c:v>-0.160827049784126</c:v>
                </c:pt>
                <c:pt idx="8">
                  <c:v>-0.31069400190473</c:v>
                </c:pt>
                <c:pt idx="9">
                  <c:v>-0.439387671241642</c:v>
                </c:pt>
                <c:pt idx="10">
                  <c:v>-0.538137796905894</c:v>
                </c:pt>
                <c:pt idx="11">
                  <c:v>-0.600214721025768</c:v>
                </c:pt>
                <c:pt idx="12">
                  <c:v>-0.62138800380946</c:v>
                </c:pt>
                <c:pt idx="13">
                  <c:v>-0.600214721025768</c:v>
                </c:pt>
                <c:pt idx="14">
                  <c:v>-0.538137796905894</c:v>
                </c:pt>
                <c:pt idx="15">
                  <c:v>-0.439387671241642</c:v>
                </c:pt>
                <c:pt idx="16">
                  <c:v>-0.31069400190473</c:v>
                </c:pt>
                <c:pt idx="17">
                  <c:v>-0.160827049784126</c:v>
                </c:pt>
                <c:pt idx="18">
                  <c:v>-1.14147124484073e-16</c:v>
                </c:pt>
                <c:pt idx="19">
                  <c:v>0.160827049784126</c:v>
                </c:pt>
                <c:pt idx="20">
                  <c:v>0.31069400190473</c:v>
                </c:pt>
                <c:pt idx="21">
                  <c:v>0.439387671241642</c:v>
                </c:pt>
                <c:pt idx="22">
                  <c:v>0.538137796905894</c:v>
                </c:pt>
                <c:pt idx="23">
                  <c:v>0.600214721025768</c:v>
                </c:pt>
                <c:pt idx="24">
                  <c:v>0.62138800380946</c:v>
                </c:pt>
              </c:numCache>
            </c:numRef>
          </c:xVal>
          <c:yVal>
            <c:numRef>
              <c:f>'Hypersphere Data'!$AB$93:$AB$117</c:f>
              <c:numCache>
                <c:formatCode>General</c:formatCode>
                <c:ptCount val="25"/>
                <c:pt idx="0">
                  <c:v>0.0</c:v>
                </c:pt>
                <c:pt idx="1">
                  <c:v>0.160827049784126</c:v>
                </c:pt>
                <c:pt idx="2">
                  <c:v>0.31069400190473</c:v>
                </c:pt>
                <c:pt idx="3">
                  <c:v>0.439387671241642</c:v>
                </c:pt>
                <c:pt idx="4">
                  <c:v>0.538137796905894</c:v>
                </c:pt>
                <c:pt idx="5">
                  <c:v>0.600214721025768</c:v>
                </c:pt>
                <c:pt idx="6">
                  <c:v>0.62138800380946</c:v>
                </c:pt>
                <c:pt idx="7">
                  <c:v>0.600214721025768</c:v>
                </c:pt>
                <c:pt idx="8">
                  <c:v>0.538137796905894</c:v>
                </c:pt>
                <c:pt idx="9">
                  <c:v>0.439387671241642</c:v>
                </c:pt>
                <c:pt idx="10">
                  <c:v>0.31069400190473</c:v>
                </c:pt>
                <c:pt idx="11">
                  <c:v>0.160827049784126</c:v>
                </c:pt>
                <c:pt idx="12">
                  <c:v>7.60980829893819e-17</c:v>
                </c:pt>
                <c:pt idx="13">
                  <c:v>-0.160827049784126</c:v>
                </c:pt>
                <c:pt idx="14">
                  <c:v>-0.31069400190473</c:v>
                </c:pt>
                <c:pt idx="15">
                  <c:v>-0.439387671241641</c:v>
                </c:pt>
                <c:pt idx="16">
                  <c:v>-0.538137796905894</c:v>
                </c:pt>
                <c:pt idx="17">
                  <c:v>-0.600214721025768</c:v>
                </c:pt>
                <c:pt idx="18">
                  <c:v>-0.62138800380946</c:v>
                </c:pt>
                <c:pt idx="19">
                  <c:v>-0.600214721025768</c:v>
                </c:pt>
                <c:pt idx="20">
                  <c:v>-0.538137796905894</c:v>
                </c:pt>
                <c:pt idx="21">
                  <c:v>-0.439387671241642</c:v>
                </c:pt>
                <c:pt idx="22">
                  <c:v>-0.31069400190473</c:v>
                </c:pt>
                <c:pt idx="23">
                  <c:v>-0.160827049784127</c:v>
                </c:pt>
                <c:pt idx="24">
                  <c:v>-1.52196165978764e-16</c:v>
                </c:pt>
              </c:numCache>
            </c:numRef>
          </c:yVal>
          <c:smooth val="1"/>
        </c:ser>
        <c:ser>
          <c:idx val="1"/>
          <c:order val="1"/>
          <c:tx>
            <c:v>k-sphere z(Sᵢ, k)</c:v>
          </c:tx>
          <c:spPr>
            <a:ln w="22225" cap="rnd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Data'!$AC$93:$AC$117</c:f>
              <c:numCache>
                <c:formatCode>General</c:formatCode>
                <c:ptCount val="25"/>
                <c:pt idx="0">
                  <c:v>0.62138800380946</c:v>
                </c:pt>
                <c:pt idx="1">
                  <c:v>0.600214721025768</c:v>
                </c:pt>
                <c:pt idx="2">
                  <c:v>0.538137796905894</c:v>
                </c:pt>
                <c:pt idx="3">
                  <c:v>0.439387671241642</c:v>
                </c:pt>
                <c:pt idx="4">
                  <c:v>0.31069400190473</c:v>
                </c:pt>
                <c:pt idx="5">
                  <c:v>0.160827049784126</c:v>
                </c:pt>
                <c:pt idx="6">
                  <c:v>3.8049041494691e-17</c:v>
                </c:pt>
                <c:pt idx="7">
                  <c:v>-0.160827049784126</c:v>
                </c:pt>
                <c:pt idx="8">
                  <c:v>-0.31069400190473</c:v>
                </c:pt>
                <c:pt idx="9">
                  <c:v>-0.439387671241642</c:v>
                </c:pt>
                <c:pt idx="10">
                  <c:v>-0.538137796905894</c:v>
                </c:pt>
                <c:pt idx="11">
                  <c:v>-0.600214721025768</c:v>
                </c:pt>
                <c:pt idx="12">
                  <c:v>-0.62138800380946</c:v>
                </c:pt>
                <c:pt idx="13">
                  <c:v>-0.600214721025768</c:v>
                </c:pt>
                <c:pt idx="14">
                  <c:v>-0.538137796905894</c:v>
                </c:pt>
                <c:pt idx="15">
                  <c:v>-0.439387671241642</c:v>
                </c:pt>
                <c:pt idx="16">
                  <c:v>-0.31069400190473</c:v>
                </c:pt>
                <c:pt idx="17">
                  <c:v>-0.160827049784126</c:v>
                </c:pt>
                <c:pt idx="18">
                  <c:v>-1.14147124484073e-16</c:v>
                </c:pt>
                <c:pt idx="19">
                  <c:v>0.160827049784126</c:v>
                </c:pt>
                <c:pt idx="20">
                  <c:v>0.31069400190473</c:v>
                </c:pt>
                <c:pt idx="21">
                  <c:v>0.439387671241642</c:v>
                </c:pt>
                <c:pt idx="22">
                  <c:v>0.538137796905894</c:v>
                </c:pt>
                <c:pt idx="23">
                  <c:v>0.600214721025768</c:v>
                </c:pt>
                <c:pt idx="24">
                  <c:v>0.62138800380946</c:v>
                </c:pt>
              </c:numCache>
            </c:numRef>
          </c:xVal>
          <c:yVal>
            <c:numRef>
              <c:f>'Hypersphere Data'!$AD$93:$AD$117</c:f>
              <c:numCache>
                <c:formatCode>General</c:formatCode>
                <c:ptCount val="25"/>
                <c:pt idx="0">
                  <c:v>0.0</c:v>
                </c:pt>
                <c:pt idx="1">
                  <c:v>0.160827049784126</c:v>
                </c:pt>
                <c:pt idx="2">
                  <c:v>0.31069400190473</c:v>
                </c:pt>
                <c:pt idx="3">
                  <c:v>0.439387671241642</c:v>
                </c:pt>
                <c:pt idx="4">
                  <c:v>0.538137796905894</c:v>
                </c:pt>
                <c:pt idx="5">
                  <c:v>0.600214721025768</c:v>
                </c:pt>
                <c:pt idx="6">
                  <c:v>0.62138800380946</c:v>
                </c:pt>
                <c:pt idx="7">
                  <c:v>0.600214721025768</c:v>
                </c:pt>
                <c:pt idx="8">
                  <c:v>0.538137796905894</c:v>
                </c:pt>
                <c:pt idx="9">
                  <c:v>0.439387671241642</c:v>
                </c:pt>
                <c:pt idx="10">
                  <c:v>0.31069400190473</c:v>
                </c:pt>
                <c:pt idx="11">
                  <c:v>0.160827049784126</c:v>
                </c:pt>
                <c:pt idx="12">
                  <c:v>7.60980829893819e-17</c:v>
                </c:pt>
                <c:pt idx="13">
                  <c:v>-0.160827049784126</c:v>
                </c:pt>
                <c:pt idx="14">
                  <c:v>-0.31069400190473</c:v>
                </c:pt>
                <c:pt idx="15">
                  <c:v>-0.439387671241641</c:v>
                </c:pt>
                <c:pt idx="16">
                  <c:v>-0.538137796905894</c:v>
                </c:pt>
                <c:pt idx="17">
                  <c:v>-0.600214721025768</c:v>
                </c:pt>
                <c:pt idx="18">
                  <c:v>-0.62138800380946</c:v>
                </c:pt>
                <c:pt idx="19">
                  <c:v>-0.600214721025768</c:v>
                </c:pt>
                <c:pt idx="20">
                  <c:v>-0.538137796905894</c:v>
                </c:pt>
                <c:pt idx="21">
                  <c:v>-0.439387671241642</c:v>
                </c:pt>
                <c:pt idx="22">
                  <c:v>-0.31069400190473</c:v>
                </c:pt>
                <c:pt idx="23">
                  <c:v>-0.160827049784127</c:v>
                </c:pt>
                <c:pt idx="24">
                  <c:v>-1.52196165978764e-16</c:v>
                </c:pt>
              </c:numCache>
            </c:numRef>
          </c:yVal>
          <c:smooth val="1"/>
        </c:ser>
        <c:ser>
          <c:idx val="2"/>
          <c:order val="2"/>
          <c:tx>
            <c:v>K1 · not counted</c:v>
          </c:tx>
          <c:spPr>
            <a:ln w="19050">
              <a:noFill/>
            </a:ln>
          </c:spPr>
          <c:marker>
            <c:symbol val="circle"/>
            <c:size val="8"/>
            <c:spPr>
              <a:solidFill>
                <a:srgbClr val="A9C4EB"/>
              </a:solidFill>
              <a:ln w="12700">
                <a:solidFill>
                  <a:srgbClr val="2F5597"/>
                </a:solidFill>
              </a:ln>
            </c:spPr>
          </c:marker>
          <c:xVal>
            <c:numRef>
              <c:f>'Hypersphere Data'!$K$93:$K$99</c:f>
              <c:numCache>
                <c:formatCode>General</c:formatCode>
                <c:ptCount val="7"/>
              </c:numCache>
            </c:numRef>
          </c:xVal>
          <c:yVal>
            <c:numRef>
              <c:f>'Hypersphere Data'!$L$93:$L$99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3"/>
          <c:order val="3"/>
          <c:tx>
            <c:v>K2 · not counted</c:v>
          </c:tx>
          <c:spPr>
            <a:ln w="19050">
              <a:noFill/>
            </a:ln>
          </c:spPr>
          <c:marker>
            <c:symbol val="triangle"/>
            <c:size val="9"/>
            <c:spPr>
              <a:solidFill>
                <a:srgbClr val="F2A7A7"/>
              </a:solidFill>
              <a:ln w="12700">
                <a:solidFill>
                  <a:srgbClr val="C00000"/>
                </a:solidFill>
              </a:ln>
            </c:spPr>
          </c:marker>
          <c:xVal>
            <c:numRef>
              <c:f>'Hypersphere Data'!$O$93:$O$99</c:f>
              <c:numCache>
                <c:formatCode>General</c:formatCode>
                <c:ptCount val="7"/>
                <c:pt idx="0">
                  <c:v>0.538137796905894</c:v>
                </c:pt>
                <c:pt idx="1">
                  <c:v>-0.716928009454893</c:v>
                </c:pt>
                <c:pt idx="3">
                  <c:v>4.21917361331187e-17</c:v>
                </c:pt>
                <c:pt idx="4">
                  <c:v>-0.70174287447943</c:v>
                </c:pt>
              </c:numCache>
            </c:numRef>
          </c:xVal>
          <c:yVal>
            <c:numRef>
              <c:f>'Hypersphere Data'!$P$93:$P$99</c:f>
              <c:numCache>
                <c:formatCode>General</c:formatCode>
                <c:ptCount val="7"/>
                <c:pt idx="0">
                  <c:v>-0.31069400190473</c:v>
                </c:pt>
                <c:pt idx="1">
                  <c:v>0.413918579248365</c:v>
                </c:pt>
                <c:pt idx="3">
                  <c:v>-0.689043341516823</c:v>
                </c:pt>
                <c:pt idx="4">
                  <c:v>-0.405151437482601</c:v>
                </c:pt>
              </c:numCache>
            </c:numRef>
          </c:yVal>
          <c:smooth val="0"/>
        </c:ser>
        <c:ser>
          <c:idx val="4"/>
          <c:order val="4"/>
          <c:tx>
            <c:v>K1 · inside the enemy sphere (counted in g)</c:v>
          </c:tx>
          <c:spPr>
            <a:ln w="19050">
              <a:noFill/>
            </a:ln>
          </c:spPr>
          <c:marker>
            <c:symbol val="circle"/>
            <c:size val="8"/>
            <c:spPr>
              <a:solidFill>
                <a:srgbClr val="2F5597"/>
              </a:solidFill>
              <a:ln w="19050">
                <a:solidFill>
                  <a:srgbClr val="2F5597"/>
                </a:solidFill>
              </a:ln>
            </c:spPr>
          </c:marker>
          <c:xVal>
            <c:numRef>
              <c:f>'Hypersphere Data'!$I$93:$I$99</c:f>
              <c:numCache>
                <c:formatCode>General</c:formatCode>
                <c:ptCount val="7"/>
                <c:pt idx="5">
                  <c:v>0.500726649051901</c:v>
                </c:pt>
                <c:pt idx="6">
                  <c:v>1.8898541386124e-17</c:v>
                </c:pt>
              </c:numCache>
            </c:numRef>
          </c:xVal>
          <c:yVal>
            <c:numRef>
              <c:f>'Hypersphere Data'!$J$93:$J$99</c:f>
              <c:numCache>
                <c:formatCode>General</c:formatCode>
                <c:ptCount val="7"/>
                <c:pt idx="5">
                  <c:v>0.289094665620534</c:v>
                </c:pt>
                <c:pt idx="6">
                  <c:v>0.308636602803059</c:v>
                </c:pt>
              </c:numCache>
            </c:numRef>
          </c:yVal>
          <c:smooth val="0"/>
        </c:ser>
        <c:ser>
          <c:idx val="5"/>
          <c:order val="5"/>
          <c:tx>
            <c:v>K2 · inside the enemy sphere (counted in g)</c:v>
          </c:tx>
          <c:spPr>
            <a:ln w="19050">
              <a:noFill/>
            </a:ln>
          </c:spPr>
          <c:marker>
            <c:symbol val="triangle"/>
            <c:size val="9"/>
            <c:spPr>
              <a:solidFill>
                <a:srgbClr val="C00000"/>
              </a:solidFill>
              <a:ln w="19050">
                <a:solidFill>
                  <a:srgbClr val="C00000"/>
                </a:solidFill>
              </a:ln>
            </c:spPr>
          </c:marker>
          <c:xVal>
            <c:numRef>
              <c:f>'Hypersphere Data'!$M$93:$M$99</c:f>
              <c:numCache>
                <c:formatCode>General</c:formatCode>
                <c:ptCount val="7"/>
              </c:numCache>
            </c:numRef>
          </c:xVal>
          <c:yVal>
            <c:numRef>
              <c:f>'Hypersphere Data'!$N$93:$N$99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6"/>
          <c:order val="6"/>
          <c:tx>
            <c:v>centre Sᵢ (K1)</c:v>
          </c:tx>
          <c:spPr>
            <a:ln w="19050">
              <a:noFill/>
            </a:ln>
          </c:spPr>
          <c:marker>
            <c:symbol val="circle"/>
            <c:size val="13"/>
            <c:spPr>
              <a:solidFill>
                <a:srgbClr val="2F5597"/>
              </a:solidFill>
              <a:ln w="25400">
                <a:solidFill>
                  <a:srgbClr val="000000"/>
                </a:solidFill>
              </a:ln>
            </c:spPr>
          </c:marker>
          <c:xVal>
            <c:numRef>
              <c:f>'Hypersphere Data'!$Q$93:$Q$99</c:f>
              <c:numCache>
                <c:formatCode>General</c:formatCode>
                <c:ptCount val="7"/>
                <c:pt idx="2">
                  <c:v>0.0</c:v>
                </c:pt>
              </c:numCache>
            </c:numRef>
          </c:xVal>
          <c:yVal>
            <c:numRef>
              <c:f>'Hypersphere Data'!$R$93:$R$99</c:f>
              <c:numCache>
                <c:formatCode>General</c:formatCode>
                <c:ptCount val="7"/>
                <c:pt idx="2">
                  <c:v>0.0</c:v>
                </c:pt>
              </c:numCache>
            </c:numRef>
          </c:yVal>
          <c:smooth val="0"/>
        </c:ser>
        <c:ser>
          <c:idx val="7"/>
          <c:order val="7"/>
          <c:tx>
            <c:v>centre Sᵢ (K2)</c:v>
          </c:tx>
          <c:spPr>
            <a:ln w="19050">
              <a:noFill/>
            </a:ln>
          </c:spPr>
          <c:marker>
            <c:symbol val="triangle"/>
            <c:size val="14"/>
            <c:spPr>
              <a:solidFill>
                <a:srgbClr val="C00000"/>
              </a:solidFill>
              <a:ln w="25400">
                <a:solidFill>
                  <a:srgbClr val="000000"/>
                </a:solidFill>
              </a:ln>
            </c:spPr>
          </c:marker>
          <c:xVal>
            <c:numRef>
              <c:f>'Hypersphere Data'!$S$93:$S$99</c:f>
              <c:numCache>
                <c:formatCode>General</c:formatCode>
                <c:ptCount val="7"/>
              </c:numCache>
            </c:numRef>
          </c:xVal>
          <c:yVal>
            <c:numRef>
              <c:f>'Hypersphere Data'!$T$93:$T$99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8"/>
          <c:order val="8"/>
          <c:tx>
            <c:strRef>
              <c:f>'Hypersphere Data'!$D$103</c:f>
              <c:strCache>
                <c:ptCount val="1"/>
                <c:pt idx="0">
                  <c:v>S₇  2.78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85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Data'!$E$103</c:f>
              <c:numCache>
                <c:formatCode>General</c:formatCode>
                <c:ptCount val="1"/>
                <c:pt idx="0">
                  <c:v>1.8898541386124e-17</c:v>
                </c:pt>
              </c:numCache>
            </c:numRef>
          </c:xVal>
          <c:yVal>
            <c:numRef>
              <c:f>'Hypersphere Data'!$F$103</c:f>
              <c:numCache>
                <c:formatCode>General</c:formatCode>
                <c:ptCount val="1"/>
                <c:pt idx="0">
                  <c:v>0.308636602803059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'Hypersphere Data'!$D$104</c:f>
              <c:strCache>
                <c:ptCount val="1"/>
                <c:pt idx="0">
                  <c:v>S₆  5.22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85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Data'!$E$104</c:f>
              <c:numCache>
                <c:formatCode>General</c:formatCode>
                <c:ptCount val="1"/>
                <c:pt idx="0">
                  <c:v>0.500726649051901</c:v>
                </c:pt>
              </c:numCache>
            </c:numRef>
          </c:xVal>
          <c:yVal>
            <c:numRef>
              <c:f>'Hypersphere Data'!$F$104</c:f>
              <c:numCache>
                <c:formatCode>General</c:formatCode>
                <c:ptCount val="1"/>
                <c:pt idx="0">
                  <c:v>0.289094665620534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'Hypersphere Data'!$D$105</c:f>
              <c:strCache>
                <c:ptCount val="1"/>
                <c:pt idx="0">
                  <c:v>S₁  5.61 (r, z)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85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Data'!$E$105</c:f>
              <c:numCache>
                <c:formatCode>General</c:formatCode>
                <c:ptCount val="1"/>
                <c:pt idx="0">
                  <c:v>0.538137796905894</c:v>
                </c:pt>
              </c:numCache>
            </c:numRef>
          </c:xVal>
          <c:yVal>
            <c:numRef>
              <c:f>'Hypersphere Data'!$F$105</c:f>
              <c:numCache>
                <c:formatCode>General</c:formatCode>
                <c:ptCount val="1"/>
                <c:pt idx="0">
                  <c:v>-0.31069400190473</c:v>
                </c:pt>
              </c:numCache>
            </c:numRef>
          </c:yVal>
          <c:smooth val="0"/>
        </c:ser>
        <c:ser>
          <c:idx val="11"/>
          <c:order val="11"/>
          <c:tx>
            <c:strRef>
              <c:f>'Hypersphere Data'!$D$106</c:f>
              <c:strCache>
                <c:ptCount val="1"/>
                <c:pt idx="0">
                  <c:v>S₄  6.22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85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Data'!$E$106</c:f>
              <c:numCache>
                <c:formatCode>General</c:formatCode>
                <c:ptCount val="1"/>
                <c:pt idx="0">
                  <c:v>4.21917361331187e-17</c:v>
                </c:pt>
              </c:numCache>
            </c:numRef>
          </c:xVal>
          <c:yVal>
            <c:numRef>
              <c:f>'Hypersphere Data'!$F$106</c:f>
              <c:numCache>
                <c:formatCode>General</c:formatCode>
                <c:ptCount val="1"/>
                <c:pt idx="0">
                  <c:v>-0.689043341516823</c:v>
                </c:pt>
              </c:numCache>
            </c:numRef>
          </c:yVal>
          <c:smooth val="0"/>
        </c:ser>
        <c:ser>
          <c:idx val="12"/>
          <c:order val="12"/>
          <c:tx>
            <c:strRef>
              <c:f>'Hypersphere Data'!$D$107</c:f>
              <c:strCache>
                <c:ptCount val="1"/>
                <c:pt idx="0">
                  <c:v>S₅  7.31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85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Data'!$E$107</c:f>
              <c:numCache>
                <c:formatCode>General</c:formatCode>
                <c:ptCount val="1"/>
                <c:pt idx="0">
                  <c:v>-0.70174287447943</c:v>
                </c:pt>
              </c:numCache>
            </c:numRef>
          </c:xVal>
          <c:yVal>
            <c:numRef>
              <c:f>'Hypersphere Data'!$F$107</c:f>
              <c:numCache>
                <c:formatCode>General</c:formatCode>
                <c:ptCount val="1"/>
                <c:pt idx="0">
                  <c:v>-0.405151437482601</c:v>
                </c:pt>
              </c:numCache>
            </c:numRef>
          </c:yVal>
          <c:smooth val="0"/>
        </c:ser>
        <c:ser>
          <c:idx val="13"/>
          <c:order val="13"/>
          <c:tx>
            <c:strRef>
              <c:f>'Hypersphere Data'!$D$108</c:f>
              <c:strCache>
                <c:ptCount val="1"/>
                <c:pt idx="0">
                  <c:v>S₂  7.47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85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Data'!$E$108</c:f>
              <c:numCache>
                <c:formatCode>General</c:formatCode>
                <c:ptCount val="1"/>
                <c:pt idx="0">
                  <c:v>-0.716928009454893</c:v>
                </c:pt>
              </c:numCache>
            </c:numRef>
          </c:xVal>
          <c:yVal>
            <c:numRef>
              <c:f>'Hypersphere Data'!$F$108</c:f>
              <c:numCache>
                <c:formatCode>General</c:formatCode>
                <c:ptCount val="1"/>
                <c:pt idx="0">
                  <c:v>0.413918579248365</c:v>
                </c:pt>
              </c:numCache>
            </c:numRef>
          </c:yVal>
          <c:smooth val="0"/>
        </c:ser>
        <c:ser>
          <c:idx val="14"/>
          <c:order val="14"/>
          <c:tx>
            <c:strRef>
              <c:f>'Hypersphere Data'!$D$109</c:f>
              <c:strCache>
                <c:ptCount val="1"/>
                <c:pt idx="0">
                  <c:v>S₃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850" b="1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Data'!$E$109</c:f>
              <c:numCache>
                <c:formatCode>General</c:formatCode>
                <c:ptCount val="1"/>
                <c:pt idx="0">
                  <c:v>0.0</c:v>
                </c:pt>
              </c:numCache>
            </c:numRef>
          </c:xVal>
          <c:yVal>
            <c:numRef>
              <c:f>'Hypersphere Data'!$F$109</c:f>
              <c:numCache>
                <c:formatCode>General</c:formatCode>
                <c:ptCount val="1"/>
                <c:pt idx="0">
                  <c:v>0.0</c:v>
                </c:pt>
              </c:numCache>
            </c:numRef>
          </c:yVal>
          <c:smooth val="0"/>
        </c:ser>
        <c:ser>
          <c:idx val="15"/>
          <c:order val="15"/>
          <c:tx>
            <c:strRef>
              <c:f>'Hypersphere Data'!$D$110</c:f>
              <c:strCache>
                <c:ptCount val="1"/>
                <c:pt idx="0">
                  <c:v>g = 3  ·  d = 0.000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1F3864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Data'!$E$110</c:f>
              <c:numCache>
                <c:formatCode>General</c:formatCode>
                <c:ptCount val="1"/>
                <c:pt idx="0">
                  <c:v>-1.2</c:v>
                </c:pt>
              </c:numCache>
            </c:numRef>
          </c:xVal>
          <c:yVal>
            <c:numRef>
              <c:f>'Hypersphere Data'!$F$110</c:f>
              <c:numCache>
                <c:formatCode>General</c:formatCode>
                <c:ptCount val="1"/>
                <c:pt idx="0">
                  <c:v>1.18</c:v>
                </c:pt>
              </c:numCache>
            </c:numRef>
          </c:yVal>
          <c:smooth val="0"/>
        </c:ser>
        <c:ser>
          <c:idx val="16"/>
          <c:order val="16"/>
          <c:tx>
            <c:strRef>
              <c:f>'Hypersphere Data'!$D$111</c:f>
              <c:strCache>
                <c:ptCount val="1"/>
                <c:pt idx="0">
                  <c:v>class 1  ·  queue 2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1F3864"/>
                    </a:solidFill>
                    <a:latin typeface="Calibri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Data'!$E$111</c:f>
              <c:numCache>
                <c:formatCode>General</c:formatCode>
                <c:ptCount val="1"/>
                <c:pt idx="0">
                  <c:v>1.2</c:v>
                </c:pt>
              </c:numCache>
            </c:numRef>
          </c:xVal>
          <c:yVal>
            <c:numRef>
              <c:f>'Hypersphere Data'!$F$111</c:f>
              <c:numCache>
                <c:formatCode>General</c:formatCode>
                <c:ptCount val="1"/>
                <c:pt idx="0">
                  <c:v>1.18</c:v>
                </c:pt>
              </c:numCache>
            </c:numRef>
          </c:yVal>
          <c:smooth val="0"/>
        </c:ser>
        <c:ser>
          <c:idx val="17"/>
          <c:order val="17"/>
          <c:tx>
            <c:strRef>
              <c:f>'Hypersphere Data'!$U$100</c:f>
              <c:strCache>
                <c:ptCount val="1"/>
                <c:pt idx="0">
                  <c:v>r = 5.61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50" b="1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Data'!$V$100</c:f>
              <c:numCache>
                <c:formatCode>General</c:formatCode>
                <c:ptCount val="1"/>
                <c:pt idx="0">
                  <c:v>0.62138800380946</c:v>
                </c:pt>
              </c:numCache>
            </c:numRef>
          </c:xVal>
          <c:yVal>
            <c:numRef>
              <c:f>'Hypersphere Data'!$W$100</c:f>
              <c:numCache>
                <c:formatCode>General</c:formatCode>
                <c:ptCount val="1"/>
                <c:pt idx="0">
                  <c:v>0.0</c:v>
                </c:pt>
              </c:numCache>
            </c:numRef>
          </c:yVal>
          <c:smooth val="0"/>
        </c:ser>
        <c:ser>
          <c:idx val="18"/>
          <c:order val="18"/>
          <c:tx>
            <c:strRef>
              <c:f>'Hypersphere Data'!$U$101</c:f>
              <c:strCache>
                <c:ptCount val="1"/>
                <c:pt idx="0">
                  <c:v>z = 5.61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50" b="1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Data'!$V$101</c:f>
              <c:numCache>
                <c:formatCode>General</c:formatCode>
                <c:ptCount val="1"/>
                <c:pt idx="0">
                  <c:v>-0.62138800380946</c:v>
                </c:pt>
              </c:numCache>
            </c:numRef>
          </c:xVal>
          <c:yVal>
            <c:numRef>
              <c:f>'Hypersphere Data'!$W$101</c:f>
              <c:numCache>
                <c:formatCode>General</c:formatCode>
                <c:ptCount val="1"/>
                <c:pt idx="0">
                  <c:v>0.0</c:v>
                </c:pt>
              </c:numCache>
            </c:numRef>
          </c:yVal>
          <c:smooth val="0"/>
        </c:ser>
        <c:axId val="9101"/>
        <c:axId val="9102"/>
      </c:scatterChart>
      <c:valAx>
        <c:axId val="9101"/>
        <c:scaling>
          <c:orientation val="minMax"/>
          <c:max val="1.24"/>
          <c:min val="-1.24"/>
        </c:scaling>
        <c:delete val="1"/>
        <c:axPos val="b"/>
        <c:numFmt formatCode="General" sourceLinked="0"/>
        <c:majorTickMark val="none"/>
        <c:minorTickMark val="none"/>
        <c:tickLblPos val="none"/>
        <c:crossAx val="9102"/>
        <c:crosses val="autoZero"/>
        <c:crossBetween val="midCat"/>
      </c:valAx>
      <c:valAx>
        <c:axId val="9102"/>
        <c:scaling>
          <c:orientation val="minMax"/>
          <c:max val="1.24"/>
          <c:min val="-1.24"/>
        </c:scaling>
        <c:delete val="1"/>
        <c:axPos val="l"/>
        <c:numFmt formatCode="General" sourceLinked="0"/>
        <c:majorTickMark val="none"/>
        <c:minorTickMark val="none"/>
        <c:tickLblPos val="none"/>
        <c:crossAx val="9101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/>
          <a:lstStyle/>
          <a:p>
            <a:pPr>
              <a:defRPr sz="1050" b="1">
                <a:solidFill>
                  <a:srgbClr val="1F3864"/>
                </a:solidFill>
                <a:latin typeface="Calibri"/>
              </a:defRPr>
            </a:pPr>
            <a:r>
              <a:rPr lang="en-US" sz="1050" b="1">
                <a:solidFill>
                  <a:srgbClr val="1F3864"/>
                </a:solidFill>
                <a:latin typeface="Calibri"/>
              </a:rPr>
              <a:t>Hyperspheres of S₄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0349"/>
          <c:y val="0.1223"/>
          <c:w val="0.9302"/>
          <c:h val="0.8511"/>
        </c:manualLayout>
      </c:layout>
      <c:scatterChart>
        <c:scatterStyle val="lineMarker"/>
        <c:varyColors val="0"/>
        <c:ser>
          <c:idx val="0"/>
          <c:order val="0"/>
          <c:tx>
            <c:v>enemy sphere r(Sᵢ)</c:v>
          </c:tx>
          <c:spPr>
            <a:ln w="22225" cap="rnd">
              <a:solidFill>
                <a:srgbClr val="595959"/>
              </a:solidFill>
              <a:round/>
            </a:ln>
          </c:spPr>
          <c:marker>
            <c:symbol val="none"/>
          </c:marker>
          <c:xVal>
            <c:numRef>
              <c:f>'Hypersphere Data'!$AA$122:$AA$146</c:f>
              <c:numCache>
                <c:formatCode>General</c:formatCode>
                <c:ptCount val="25"/>
                <c:pt idx="0">
                  <c:v>0.410830391190726</c:v>
                </c:pt>
                <c:pt idx="1">
                  <c:v>0.396831685075563</c:v>
                </c:pt>
                <c:pt idx="2">
                  <c:v>0.355789555417867</c:v>
                </c:pt>
                <c:pt idx="3">
                  <c:v>0.290500955528484</c:v>
                </c:pt>
                <c:pt idx="4">
                  <c:v>0.205415195595363</c:v>
                </c:pt>
                <c:pt idx="5">
                  <c:v>0.106330729547079</c:v>
                </c:pt>
                <c:pt idx="6">
                  <c:v>2.51561061782089e-17</c:v>
                </c:pt>
                <c:pt idx="7">
                  <c:v>-0.106330729547079</c:v>
                </c:pt>
                <c:pt idx="8">
                  <c:v>-0.205415195595363</c:v>
                </c:pt>
                <c:pt idx="9">
                  <c:v>-0.290500955528484</c:v>
                </c:pt>
                <c:pt idx="10">
                  <c:v>-0.355789555417867</c:v>
                </c:pt>
                <c:pt idx="11">
                  <c:v>-0.396831685075563</c:v>
                </c:pt>
                <c:pt idx="12">
                  <c:v>-0.410830391190726</c:v>
                </c:pt>
                <c:pt idx="13">
                  <c:v>-0.396831685075563</c:v>
                </c:pt>
                <c:pt idx="14">
                  <c:v>-0.355789555417867</c:v>
                </c:pt>
                <c:pt idx="15">
                  <c:v>-0.290500955528484</c:v>
                </c:pt>
                <c:pt idx="16">
                  <c:v>-0.205415195595363</c:v>
                </c:pt>
                <c:pt idx="17">
                  <c:v>-0.106330729547079</c:v>
                </c:pt>
                <c:pt idx="18">
                  <c:v>-7.54683185346266e-17</c:v>
                </c:pt>
                <c:pt idx="19">
                  <c:v>0.106330729547078</c:v>
                </c:pt>
                <c:pt idx="20">
                  <c:v>0.205415195595363</c:v>
                </c:pt>
                <c:pt idx="21">
                  <c:v>0.290500955528484</c:v>
                </c:pt>
                <c:pt idx="22">
                  <c:v>0.355789555417867</c:v>
                </c:pt>
                <c:pt idx="23">
                  <c:v>0.396831685075563</c:v>
                </c:pt>
                <c:pt idx="24">
                  <c:v>0.410830391190726</c:v>
                </c:pt>
              </c:numCache>
            </c:numRef>
          </c:xVal>
          <c:yVal>
            <c:numRef>
              <c:f>'Hypersphere Data'!$AB$122:$AB$146</c:f>
              <c:numCache>
                <c:formatCode>General</c:formatCode>
                <c:ptCount val="25"/>
                <c:pt idx="0">
                  <c:v>0.0</c:v>
                </c:pt>
                <c:pt idx="1">
                  <c:v>0.106330729547079</c:v>
                </c:pt>
                <c:pt idx="2">
                  <c:v>0.205415195595363</c:v>
                </c:pt>
                <c:pt idx="3">
                  <c:v>0.290500955528484</c:v>
                </c:pt>
                <c:pt idx="4">
                  <c:v>0.355789555417867</c:v>
                </c:pt>
                <c:pt idx="5">
                  <c:v>0.396831685075563</c:v>
                </c:pt>
                <c:pt idx="6">
                  <c:v>0.410830391190726</c:v>
                </c:pt>
                <c:pt idx="7">
                  <c:v>0.396831685075563</c:v>
                </c:pt>
                <c:pt idx="8">
                  <c:v>0.355789555417867</c:v>
                </c:pt>
                <c:pt idx="9">
                  <c:v>0.290500955528484</c:v>
                </c:pt>
                <c:pt idx="10">
                  <c:v>0.205415195595363</c:v>
                </c:pt>
                <c:pt idx="11">
                  <c:v>0.106330729547079</c:v>
                </c:pt>
                <c:pt idx="12">
                  <c:v>5.03122123564177e-17</c:v>
                </c:pt>
                <c:pt idx="13">
                  <c:v>-0.106330729547079</c:v>
                </c:pt>
                <c:pt idx="14">
                  <c:v>-0.205415195595363</c:v>
                </c:pt>
                <c:pt idx="15">
                  <c:v>-0.290500955528484</c:v>
                </c:pt>
                <c:pt idx="16">
                  <c:v>-0.355789555417867</c:v>
                </c:pt>
                <c:pt idx="17">
                  <c:v>-0.396831685075563</c:v>
                </c:pt>
                <c:pt idx="18">
                  <c:v>-0.410830391190726</c:v>
                </c:pt>
                <c:pt idx="19">
                  <c:v>-0.396831685075563</c:v>
                </c:pt>
                <c:pt idx="20">
                  <c:v>-0.355789555417867</c:v>
                </c:pt>
                <c:pt idx="21">
                  <c:v>-0.290500955528484</c:v>
                </c:pt>
                <c:pt idx="22">
                  <c:v>-0.205415195595363</c:v>
                </c:pt>
                <c:pt idx="23">
                  <c:v>-0.106330729547079</c:v>
                </c:pt>
                <c:pt idx="24">
                  <c:v>-1.00624424712835e-16</c:v>
                </c:pt>
              </c:numCache>
            </c:numRef>
          </c:yVal>
          <c:smooth val="1"/>
        </c:ser>
        <c:ser>
          <c:idx val="1"/>
          <c:order val="1"/>
          <c:tx>
            <c:v>k-sphere z(Sᵢ, k)</c:v>
          </c:tx>
          <c:spPr>
            <a:ln w="22225" cap="rnd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Data'!$AC$122:$AC$146</c:f>
              <c:numCache>
                <c:formatCode>General</c:formatCode>
                <c:ptCount val="25"/>
                <c:pt idx="0">
                  <c:v>0.689043341516823</c:v>
                </c:pt>
                <c:pt idx="1">
                  <c:v>0.665564759003618</c:v>
                </c:pt>
                <c:pt idx="2">
                  <c:v>0.596729038062085</c:v>
                </c:pt>
                <c:pt idx="3">
                  <c:v>0.487227219317984</c:v>
                </c:pt>
                <c:pt idx="4">
                  <c:v>0.344521670758411</c:v>
                </c:pt>
                <c:pt idx="5">
                  <c:v>0.178337539685634</c:v>
                </c:pt>
                <c:pt idx="6">
                  <c:v>4.21917361331187e-17</c:v>
                </c:pt>
                <c:pt idx="7">
                  <c:v>-0.178337539685634</c:v>
                </c:pt>
                <c:pt idx="8">
                  <c:v>-0.344521670758411</c:v>
                </c:pt>
                <c:pt idx="9">
                  <c:v>-0.487227219317983</c:v>
                </c:pt>
                <c:pt idx="10">
                  <c:v>-0.596729038062085</c:v>
                </c:pt>
                <c:pt idx="11">
                  <c:v>-0.665564759003618</c:v>
                </c:pt>
                <c:pt idx="12">
                  <c:v>-0.689043341516823</c:v>
                </c:pt>
                <c:pt idx="13">
                  <c:v>-0.665564759003618</c:v>
                </c:pt>
                <c:pt idx="14">
                  <c:v>-0.596729038062085</c:v>
                </c:pt>
                <c:pt idx="15">
                  <c:v>-0.487227219317984</c:v>
                </c:pt>
                <c:pt idx="16">
                  <c:v>-0.344521670758412</c:v>
                </c:pt>
                <c:pt idx="17">
                  <c:v>-0.178337539685634</c:v>
                </c:pt>
                <c:pt idx="18">
                  <c:v>-1.26575208399356e-16</c:v>
                </c:pt>
                <c:pt idx="19">
                  <c:v>0.178337539685634</c:v>
                </c:pt>
                <c:pt idx="20">
                  <c:v>0.344521670758411</c:v>
                </c:pt>
                <c:pt idx="21">
                  <c:v>0.487227219317983</c:v>
                </c:pt>
                <c:pt idx="22">
                  <c:v>0.596729038062085</c:v>
                </c:pt>
                <c:pt idx="23">
                  <c:v>0.665564759003617</c:v>
                </c:pt>
                <c:pt idx="24">
                  <c:v>0.689043341516823</c:v>
                </c:pt>
              </c:numCache>
            </c:numRef>
          </c:xVal>
          <c:yVal>
            <c:numRef>
              <c:f>'Hypersphere Data'!$AD$122:$AD$146</c:f>
              <c:numCache>
                <c:formatCode>General</c:formatCode>
                <c:ptCount val="25"/>
                <c:pt idx="0">
                  <c:v>0.0</c:v>
                </c:pt>
                <c:pt idx="1">
                  <c:v>0.178337539685634</c:v>
                </c:pt>
                <c:pt idx="2">
                  <c:v>0.344521670758411</c:v>
                </c:pt>
                <c:pt idx="3">
                  <c:v>0.487227219317983</c:v>
                </c:pt>
                <c:pt idx="4">
                  <c:v>0.596729038062085</c:v>
                </c:pt>
                <c:pt idx="5">
                  <c:v>0.665564759003618</c:v>
                </c:pt>
                <c:pt idx="6">
                  <c:v>0.689043341516823</c:v>
                </c:pt>
                <c:pt idx="7">
                  <c:v>0.665564759003618</c:v>
                </c:pt>
                <c:pt idx="8">
                  <c:v>0.596729038062085</c:v>
                </c:pt>
                <c:pt idx="9">
                  <c:v>0.487227219317984</c:v>
                </c:pt>
                <c:pt idx="10">
                  <c:v>0.344521670758411</c:v>
                </c:pt>
                <c:pt idx="11">
                  <c:v>0.178337539685634</c:v>
                </c:pt>
                <c:pt idx="12">
                  <c:v>8.43834722662374e-17</c:v>
                </c:pt>
                <c:pt idx="13">
                  <c:v>-0.178337539685634</c:v>
                </c:pt>
                <c:pt idx="14">
                  <c:v>-0.344521670758411</c:v>
                </c:pt>
                <c:pt idx="15">
                  <c:v>-0.487227219317983</c:v>
                </c:pt>
                <c:pt idx="16">
                  <c:v>-0.596729038062085</c:v>
                </c:pt>
                <c:pt idx="17">
                  <c:v>-0.665564759003618</c:v>
                </c:pt>
                <c:pt idx="18">
                  <c:v>-0.689043341516823</c:v>
                </c:pt>
                <c:pt idx="19">
                  <c:v>-0.665564759003618</c:v>
                </c:pt>
                <c:pt idx="20">
                  <c:v>-0.596729038062085</c:v>
                </c:pt>
                <c:pt idx="21">
                  <c:v>-0.487227219317984</c:v>
                </c:pt>
                <c:pt idx="22">
                  <c:v>-0.344521670758412</c:v>
                </c:pt>
                <c:pt idx="23">
                  <c:v>-0.178337539685635</c:v>
                </c:pt>
                <c:pt idx="24">
                  <c:v>-1.68766944532475e-16</c:v>
                </c:pt>
              </c:numCache>
            </c:numRef>
          </c:yVal>
          <c:smooth val="1"/>
        </c:ser>
        <c:ser>
          <c:idx val="2"/>
          <c:order val="2"/>
          <c:tx>
            <c:v>K1 · not counted</c:v>
          </c:tx>
          <c:spPr>
            <a:ln w="19050">
              <a:noFill/>
            </a:ln>
          </c:spPr>
          <c:marker>
            <c:symbol val="circle"/>
            <c:size val="8"/>
            <c:spPr>
              <a:solidFill>
                <a:srgbClr val="A9C4EB"/>
              </a:solidFill>
              <a:ln w="12700">
                <a:solidFill>
                  <a:srgbClr val="2F5597"/>
                </a:solidFill>
              </a:ln>
            </c:spPr>
          </c:marker>
          <c:xVal>
            <c:numRef>
              <c:f>'Hypersphere Data'!$K$122:$K$128</c:f>
              <c:numCache>
                <c:formatCode>General</c:formatCode>
                <c:ptCount val="7"/>
                <c:pt idx="2">
                  <c:v>0.596729038062085</c:v>
                </c:pt>
                <c:pt idx="5">
                  <c:v>2.51561061782089e-17</c:v>
                </c:pt>
                <c:pt idx="6">
                  <c:v>0.375355206578211</c:v>
                </c:pt>
              </c:numCache>
            </c:numRef>
          </c:xVal>
          <c:yVal>
            <c:numRef>
              <c:f>'Hypersphere Data'!$L$122:$L$128</c:f>
              <c:numCache>
                <c:formatCode>General</c:formatCode>
                <c:ptCount val="7"/>
                <c:pt idx="2">
                  <c:v>-0.344521670758411</c:v>
                </c:pt>
                <c:pt idx="5">
                  <c:v>0.410830391190726</c:v>
                </c:pt>
                <c:pt idx="6">
                  <c:v>0.216711429559658</c:v>
                </c:pt>
              </c:numCache>
            </c:numRef>
          </c:yVal>
          <c:smooth val="0"/>
        </c:ser>
        <c:ser>
          <c:idx val="3"/>
          <c:order val="3"/>
          <c:tx>
            <c:v>K2 · not counted</c:v>
          </c:tx>
          <c:spPr>
            <a:ln w="19050">
              <a:noFill/>
            </a:ln>
          </c:spPr>
          <c:marker>
            <c:symbol val="triangle"/>
            <c:size val="9"/>
            <c:spPr>
              <a:solidFill>
                <a:srgbClr val="F2A7A7"/>
              </a:solidFill>
              <a:ln w="12700">
                <a:solidFill>
                  <a:srgbClr val="C00000"/>
                </a:solidFill>
              </a:ln>
            </c:spPr>
          </c:marker>
          <c:xVal>
            <c:numRef>
              <c:f>'Hypersphere Data'!$O$122:$O$128</c:f>
              <c:numCache>
                <c:formatCode>General</c:formatCode>
                <c:ptCount val="7"/>
                <c:pt idx="0">
                  <c:v>-0.636044560432061</c:v>
                </c:pt>
                <c:pt idx="1">
                  <c:v>4.32204687272426e-17</c:v>
                </c:pt>
                <c:pt idx="4">
                  <c:v>-0.753317031315852</c:v>
                </c:pt>
              </c:numCache>
            </c:numRef>
          </c:xVal>
          <c:yVal>
            <c:numRef>
              <c:f>'Hypersphere Data'!$P$122:$P$128</c:f>
              <c:numCache>
                <c:formatCode>General</c:formatCode>
                <c:ptCount val="7"/>
                <c:pt idx="0">
                  <c:v>-0.367220498182048</c:v>
                </c:pt>
                <c:pt idx="1">
                  <c:v>-0.705843819741894</c:v>
                </c:pt>
                <c:pt idx="4">
                  <c:v>0.434927790815336</c:v>
                </c:pt>
              </c:numCache>
            </c:numRef>
          </c:yVal>
          <c:smooth val="0"/>
        </c:ser>
        <c:ser>
          <c:idx val="4"/>
          <c:order val="4"/>
          <c:tx>
            <c:v>K1 · inside the enemy sphere (counted in g)</c:v>
          </c:tx>
          <c:spPr>
            <a:ln w="19050">
              <a:noFill/>
            </a:ln>
          </c:spPr>
          <c:marker>
            <c:symbol val="circle"/>
            <c:size val="8"/>
            <c:spPr>
              <a:solidFill>
                <a:srgbClr val="2F5597"/>
              </a:solidFill>
              <a:ln w="19050">
                <a:solidFill>
                  <a:srgbClr val="2F5597"/>
                </a:solidFill>
              </a:ln>
            </c:spPr>
          </c:marker>
          <c:xVal>
            <c:numRef>
              <c:f>'Hypersphere Data'!$I$122:$I$128</c:f>
              <c:numCache>
                <c:formatCode>General</c:formatCode>
                <c:ptCount val="7"/>
              </c:numCache>
            </c:numRef>
          </c:xVal>
          <c:yVal>
            <c:numRef>
              <c:f>'Hypersphere Data'!$J$122:$J$128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5"/>
          <c:order val="5"/>
          <c:tx>
            <c:v>K2 · inside the enemy sphere (counted in g)</c:v>
          </c:tx>
          <c:spPr>
            <a:ln w="19050">
              <a:noFill/>
            </a:ln>
          </c:spPr>
          <c:marker>
            <c:symbol val="triangle"/>
            <c:size val="9"/>
            <c:spPr>
              <a:solidFill>
                <a:srgbClr val="C00000"/>
              </a:solidFill>
              <a:ln w="19050">
                <a:solidFill>
                  <a:srgbClr val="C00000"/>
                </a:solidFill>
              </a:ln>
            </c:spPr>
          </c:marker>
          <c:xVal>
            <c:numRef>
              <c:f>'Hypersphere Data'!$M$122:$M$128</c:f>
              <c:numCache>
                <c:formatCode>General</c:formatCode>
                <c:ptCount val="7"/>
              </c:numCache>
            </c:numRef>
          </c:xVal>
          <c:yVal>
            <c:numRef>
              <c:f>'Hypersphere Data'!$N$122:$N$128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6"/>
          <c:order val="6"/>
          <c:tx>
            <c:v>centre Sᵢ (K1)</c:v>
          </c:tx>
          <c:spPr>
            <a:ln w="19050">
              <a:noFill/>
            </a:ln>
          </c:spPr>
          <c:marker>
            <c:symbol val="circle"/>
            <c:size val="13"/>
            <c:spPr>
              <a:solidFill>
                <a:srgbClr val="2F5597"/>
              </a:solidFill>
              <a:ln w="25400">
                <a:solidFill>
                  <a:srgbClr val="000000"/>
                </a:solidFill>
              </a:ln>
            </c:spPr>
          </c:marker>
          <c:xVal>
            <c:numRef>
              <c:f>'Hypersphere Data'!$Q$122:$Q$128</c:f>
              <c:numCache>
                <c:formatCode>General</c:formatCode>
                <c:ptCount val="7"/>
              </c:numCache>
            </c:numRef>
          </c:xVal>
          <c:yVal>
            <c:numRef>
              <c:f>'Hypersphere Data'!$R$122:$R$128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7"/>
          <c:order val="7"/>
          <c:tx>
            <c:v>centre Sᵢ (K2)</c:v>
          </c:tx>
          <c:spPr>
            <a:ln w="19050">
              <a:noFill/>
            </a:ln>
          </c:spPr>
          <c:marker>
            <c:symbol val="triangle"/>
            <c:size val="14"/>
            <c:spPr>
              <a:solidFill>
                <a:srgbClr val="C00000"/>
              </a:solidFill>
              <a:ln w="25400">
                <a:solidFill>
                  <a:srgbClr val="000000"/>
                </a:solidFill>
              </a:ln>
            </c:spPr>
          </c:marker>
          <c:xVal>
            <c:numRef>
              <c:f>'Hypersphere Data'!$S$122:$S$128</c:f>
              <c:numCache>
                <c:formatCode>General</c:formatCode>
                <c:ptCount val="7"/>
                <c:pt idx="3">
                  <c:v>0.0</c:v>
                </c:pt>
              </c:numCache>
            </c:numRef>
          </c:xVal>
          <c:yVal>
            <c:numRef>
              <c:f>'Hypersphere Data'!$T$122:$T$128</c:f>
              <c:numCache>
                <c:formatCode>General</c:formatCode>
                <c:ptCount val="7"/>
                <c:pt idx="3">
                  <c:v>0.0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'Hypersphere Data'!$D$132</c:f>
              <c:strCache>
                <c:ptCount val="1"/>
                <c:pt idx="0">
                  <c:v>S₆  3.71 (r)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85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Data'!$E$132</c:f>
              <c:numCache>
                <c:formatCode>General</c:formatCode>
                <c:ptCount val="1"/>
                <c:pt idx="0">
                  <c:v>2.51561061782089e-17</c:v>
                </c:pt>
              </c:numCache>
            </c:numRef>
          </c:xVal>
          <c:yVal>
            <c:numRef>
              <c:f>'Hypersphere Data'!$F$132</c:f>
              <c:numCache>
                <c:formatCode>General</c:formatCode>
                <c:ptCount val="1"/>
                <c:pt idx="0">
                  <c:v>0.410830391190726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'Hypersphere Data'!$D$133</c:f>
              <c:strCache>
                <c:ptCount val="1"/>
                <c:pt idx="0">
                  <c:v>S₇  3.91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85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Data'!$E$133</c:f>
              <c:numCache>
                <c:formatCode>General</c:formatCode>
                <c:ptCount val="1"/>
                <c:pt idx="0">
                  <c:v>0.375355206578211</c:v>
                </c:pt>
              </c:numCache>
            </c:numRef>
          </c:xVal>
          <c:yVal>
            <c:numRef>
              <c:f>'Hypersphere Data'!$F$133</c:f>
              <c:numCache>
                <c:formatCode>General</c:formatCode>
                <c:ptCount val="1"/>
                <c:pt idx="0">
                  <c:v>0.216711429559658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'Hypersphere Data'!$D$134</c:f>
              <c:strCache>
                <c:ptCount val="1"/>
                <c:pt idx="0">
                  <c:v>S₃  6.22 (z)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85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Data'!$E$134</c:f>
              <c:numCache>
                <c:formatCode>General</c:formatCode>
                <c:ptCount val="1"/>
                <c:pt idx="0">
                  <c:v>0.596729038062085</c:v>
                </c:pt>
              </c:numCache>
            </c:numRef>
          </c:xVal>
          <c:yVal>
            <c:numRef>
              <c:f>'Hypersphere Data'!$F$134</c:f>
              <c:numCache>
                <c:formatCode>General</c:formatCode>
                <c:ptCount val="1"/>
                <c:pt idx="0">
                  <c:v>-0.344521670758411</c:v>
                </c:pt>
              </c:numCache>
            </c:numRef>
          </c:yVal>
          <c:smooth val="0"/>
        </c:ser>
        <c:ser>
          <c:idx val="11"/>
          <c:order val="11"/>
          <c:tx>
            <c:strRef>
              <c:f>'Hypersphere Data'!$D$135</c:f>
              <c:strCache>
                <c:ptCount val="1"/>
                <c:pt idx="0">
                  <c:v>S₂  6.37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85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Data'!$E$135</c:f>
              <c:numCache>
                <c:formatCode>General</c:formatCode>
                <c:ptCount val="1"/>
                <c:pt idx="0">
                  <c:v>4.32204687272426e-17</c:v>
                </c:pt>
              </c:numCache>
            </c:numRef>
          </c:xVal>
          <c:yVal>
            <c:numRef>
              <c:f>'Hypersphere Data'!$F$135</c:f>
              <c:numCache>
                <c:formatCode>General</c:formatCode>
                <c:ptCount val="1"/>
                <c:pt idx="0">
                  <c:v>-0.705843819741894</c:v>
                </c:pt>
              </c:numCache>
            </c:numRef>
          </c:yVal>
          <c:smooth val="0"/>
        </c:ser>
        <c:ser>
          <c:idx val="12"/>
          <c:order val="12"/>
          <c:tx>
            <c:strRef>
              <c:f>'Hypersphere Data'!$D$136</c:f>
              <c:strCache>
                <c:ptCount val="1"/>
                <c:pt idx="0">
                  <c:v>S₁  6.63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85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Data'!$E$136</c:f>
              <c:numCache>
                <c:formatCode>General</c:formatCode>
                <c:ptCount val="1"/>
                <c:pt idx="0">
                  <c:v>-0.636044560432061</c:v>
                </c:pt>
              </c:numCache>
            </c:numRef>
          </c:xVal>
          <c:yVal>
            <c:numRef>
              <c:f>'Hypersphere Data'!$F$136</c:f>
              <c:numCache>
                <c:formatCode>General</c:formatCode>
                <c:ptCount val="1"/>
                <c:pt idx="0">
                  <c:v>-0.367220498182048</c:v>
                </c:pt>
              </c:numCache>
            </c:numRef>
          </c:yVal>
          <c:smooth val="0"/>
        </c:ser>
        <c:ser>
          <c:idx val="13"/>
          <c:order val="13"/>
          <c:tx>
            <c:strRef>
              <c:f>'Hypersphere Data'!$D$137</c:f>
              <c:strCache>
                <c:ptCount val="1"/>
                <c:pt idx="0">
                  <c:v>S₅  7.85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85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Data'!$E$137</c:f>
              <c:numCache>
                <c:formatCode>General</c:formatCode>
                <c:ptCount val="1"/>
                <c:pt idx="0">
                  <c:v>-0.753317031315852</c:v>
                </c:pt>
              </c:numCache>
            </c:numRef>
          </c:xVal>
          <c:yVal>
            <c:numRef>
              <c:f>'Hypersphere Data'!$F$137</c:f>
              <c:numCache>
                <c:formatCode>General</c:formatCode>
                <c:ptCount val="1"/>
                <c:pt idx="0">
                  <c:v>0.434927790815336</c:v>
                </c:pt>
              </c:numCache>
            </c:numRef>
          </c:yVal>
          <c:smooth val="0"/>
        </c:ser>
        <c:ser>
          <c:idx val="14"/>
          <c:order val="14"/>
          <c:tx>
            <c:strRef>
              <c:f>'Hypersphere Data'!$D$138</c:f>
              <c:strCache>
                <c:ptCount val="1"/>
                <c:pt idx="0">
                  <c:v>S₄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850" b="1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Data'!$E$138</c:f>
              <c:numCache>
                <c:formatCode>General</c:formatCode>
                <c:ptCount val="1"/>
                <c:pt idx="0">
                  <c:v>0.0</c:v>
                </c:pt>
              </c:numCache>
            </c:numRef>
          </c:xVal>
          <c:yVal>
            <c:numRef>
              <c:f>'Hypersphere Data'!$F$138</c:f>
              <c:numCache>
                <c:formatCode>General</c:formatCode>
                <c:ptCount val="1"/>
                <c:pt idx="0">
                  <c:v>0.0</c:v>
                </c:pt>
              </c:numCache>
            </c:numRef>
          </c:yVal>
          <c:smooth val="0"/>
        </c:ser>
        <c:ser>
          <c:idx val="15"/>
          <c:order val="15"/>
          <c:tx>
            <c:strRef>
              <c:f>'Hypersphere Data'!$D$139</c:f>
              <c:strCache>
                <c:ptCount val="1"/>
                <c:pt idx="0">
                  <c:v>g = 1  ·  d = 0.253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1F3864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Data'!$E$139</c:f>
              <c:numCache>
                <c:formatCode>General</c:formatCode>
                <c:ptCount val="1"/>
                <c:pt idx="0">
                  <c:v>-1.2</c:v>
                </c:pt>
              </c:numCache>
            </c:numRef>
          </c:xVal>
          <c:yVal>
            <c:numRef>
              <c:f>'Hypersphere Data'!$F$139</c:f>
              <c:numCache>
                <c:formatCode>General</c:formatCode>
                <c:ptCount val="1"/>
                <c:pt idx="0">
                  <c:v>1.18</c:v>
                </c:pt>
              </c:numCache>
            </c:numRef>
          </c:yVal>
          <c:smooth val="0"/>
        </c:ser>
        <c:ser>
          <c:idx val="16"/>
          <c:order val="16"/>
          <c:tx>
            <c:strRef>
              <c:f>'Hypersphere Data'!$D$140</c:f>
              <c:strCache>
                <c:ptCount val="1"/>
                <c:pt idx="0">
                  <c:v>class 2  ·  queue 7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1F3864"/>
                    </a:solidFill>
                    <a:latin typeface="Calibri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Data'!$E$140</c:f>
              <c:numCache>
                <c:formatCode>General</c:formatCode>
                <c:ptCount val="1"/>
                <c:pt idx="0">
                  <c:v>1.2</c:v>
                </c:pt>
              </c:numCache>
            </c:numRef>
          </c:xVal>
          <c:yVal>
            <c:numRef>
              <c:f>'Hypersphere Data'!$F$140</c:f>
              <c:numCache>
                <c:formatCode>General</c:formatCode>
                <c:ptCount val="1"/>
                <c:pt idx="0">
                  <c:v>1.18</c:v>
                </c:pt>
              </c:numCache>
            </c:numRef>
          </c:yVal>
          <c:smooth val="0"/>
        </c:ser>
        <c:ser>
          <c:idx val="17"/>
          <c:order val="17"/>
          <c:tx>
            <c:strRef>
              <c:f>'Hypersphere Data'!$U$129</c:f>
              <c:strCache>
                <c:ptCount val="1"/>
                <c:pt idx="0">
                  <c:v>r = 3.71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50" b="1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Data'!$V$129</c:f>
              <c:numCache>
                <c:formatCode>General</c:formatCode>
                <c:ptCount val="1"/>
                <c:pt idx="0">
                  <c:v>0.410830391190726</c:v>
                </c:pt>
              </c:numCache>
            </c:numRef>
          </c:xVal>
          <c:yVal>
            <c:numRef>
              <c:f>'Hypersphere Data'!$W$129</c:f>
              <c:numCache>
                <c:formatCode>General</c:formatCode>
                <c:ptCount val="1"/>
                <c:pt idx="0">
                  <c:v>0.0</c:v>
                </c:pt>
              </c:numCache>
            </c:numRef>
          </c:yVal>
          <c:smooth val="0"/>
        </c:ser>
        <c:ser>
          <c:idx val="18"/>
          <c:order val="18"/>
          <c:tx>
            <c:strRef>
              <c:f>'Hypersphere Data'!$U$130</c:f>
              <c:strCache>
                <c:ptCount val="1"/>
                <c:pt idx="0">
                  <c:v>z = 6.22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50" b="1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Data'!$V$130</c:f>
              <c:numCache>
                <c:formatCode>General</c:formatCode>
                <c:ptCount val="1"/>
                <c:pt idx="0">
                  <c:v>-0.689043341516823</c:v>
                </c:pt>
              </c:numCache>
            </c:numRef>
          </c:xVal>
          <c:yVal>
            <c:numRef>
              <c:f>'Hypersphere Data'!$W$130</c:f>
              <c:numCache>
                <c:formatCode>General</c:formatCode>
                <c:ptCount val="1"/>
                <c:pt idx="0">
                  <c:v>0.0</c:v>
                </c:pt>
              </c:numCache>
            </c:numRef>
          </c:yVal>
          <c:smooth val="0"/>
        </c:ser>
        <c:axId val="9101"/>
        <c:axId val="9102"/>
      </c:scatterChart>
      <c:valAx>
        <c:axId val="9101"/>
        <c:scaling>
          <c:orientation val="minMax"/>
          <c:max val="1.24"/>
          <c:min val="-1.24"/>
        </c:scaling>
        <c:delete val="1"/>
        <c:axPos val="b"/>
        <c:numFmt formatCode="General" sourceLinked="0"/>
        <c:majorTickMark val="none"/>
        <c:minorTickMark val="none"/>
        <c:tickLblPos val="none"/>
        <c:crossAx val="9102"/>
        <c:crosses val="autoZero"/>
        <c:crossBetween val="midCat"/>
      </c:valAx>
      <c:valAx>
        <c:axId val="9102"/>
        <c:scaling>
          <c:orientation val="minMax"/>
          <c:max val="1.24"/>
          <c:min val="-1.24"/>
        </c:scaling>
        <c:delete val="1"/>
        <c:axPos val="l"/>
        <c:numFmt formatCode="General" sourceLinked="0"/>
        <c:majorTickMark val="none"/>
        <c:minorTickMark val="none"/>
        <c:tickLblPos val="none"/>
        <c:crossAx val="9101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/>
          <a:lstStyle/>
          <a:p>
            <a:pPr>
              <a:defRPr sz="1050" b="1">
                <a:solidFill>
                  <a:srgbClr val="1F3864"/>
                </a:solidFill>
                <a:latin typeface="Calibri"/>
              </a:defRPr>
            </a:pPr>
            <a:r>
              <a:rPr lang="en-US" sz="1050" b="1">
                <a:solidFill>
                  <a:srgbClr val="1F3864"/>
                </a:solidFill>
                <a:latin typeface="Calibri"/>
              </a:rPr>
              <a:t>Hyperspheres of S₅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0349"/>
          <c:y val="0.1223"/>
          <c:w val="0.9302"/>
          <c:h val="0.8511"/>
        </c:manualLayout>
      </c:layout>
      <c:scatterChart>
        <c:scatterStyle val="lineMarker"/>
        <c:varyColors val="0"/>
        <c:ser>
          <c:idx val="0"/>
          <c:order val="0"/>
          <c:tx>
            <c:v>enemy sphere r(Sᵢ)</c:v>
          </c:tx>
          <c:spPr>
            <a:ln w="22225" cap="rnd">
              <a:solidFill>
                <a:srgbClr val="595959"/>
              </a:solidFill>
              <a:round/>
            </a:ln>
          </c:spPr>
          <c:marker>
            <c:symbol val="none"/>
          </c:marker>
          <c:xVal>
            <c:numRef>
              <c:f>'Hypersphere Data'!$AA$151:$AA$175</c:f>
              <c:numCache>
                <c:formatCode>General</c:formatCode>
                <c:ptCount val="25"/>
                <c:pt idx="0">
                  <c:v>0.788133411409551</c:v>
                </c:pt>
                <c:pt idx="1">
                  <c:v>0.761278416641793</c:v>
                </c:pt>
                <c:pt idx="2">
                  <c:v>0.682543555851964</c:v>
                </c:pt>
                <c:pt idx="3">
                  <c:v>0.557294479687381</c:v>
                </c:pt>
                <c:pt idx="4">
                  <c:v>0.394066705704776</c:v>
                </c:pt>
                <c:pt idx="5">
                  <c:v>0.203983936954412</c:v>
                </c:pt>
                <c:pt idx="6">
                  <c:v>4.82592529791895e-17</c:v>
                </c:pt>
                <c:pt idx="7">
                  <c:v>-0.203983936954412</c:v>
                </c:pt>
                <c:pt idx="8">
                  <c:v>-0.394066705704775</c:v>
                </c:pt>
                <c:pt idx="9">
                  <c:v>-0.557294479687381</c:v>
                </c:pt>
                <c:pt idx="10">
                  <c:v>-0.682543555851964</c:v>
                </c:pt>
                <c:pt idx="11">
                  <c:v>-0.761278416641793</c:v>
                </c:pt>
                <c:pt idx="12">
                  <c:v>-0.788133411409551</c:v>
                </c:pt>
                <c:pt idx="13">
                  <c:v>-0.761278416641793</c:v>
                </c:pt>
                <c:pt idx="14">
                  <c:v>-0.682543555851964</c:v>
                </c:pt>
                <c:pt idx="15">
                  <c:v>-0.557294479687381</c:v>
                </c:pt>
                <c:pt idx="16">
                  <c:v>-0.394066705704776</c:v>
                </c:pt>
                <c:pt idx="17">
                  <c:v>-0.203983936954412</c:v>
                </c:pt>
                <c:pt idx="18">
                  <c:v>-1.44777758937569e-16</c:v>
                </c:pt>
                <c:pt idx="19">
                  <c:v>0.203983936954412</c:v>
                </c:pt>
                <c:pt idx="20">
                  <c:v>0.394066705704776</c:v>
                </c:pt>
                <c:pt idx="21">
                  <c:v>0.557294479687381</c:v>
                </c:pt>
                <c:pt idx="22">
                  <c:v>0.682543555851964</c:v>
                </c:pt>
                <c:pt idx="23">
                  <c:v>0.761278416641793</c:v>
                </c:pt>
                <c:pt idx="24">
                  <c:v>0.788133411409551</c:v>
                </c:pt>
              </c:numCache>
            </c:numRef>
          </c:xVal>
          <c:yVal>
            <c:numRef>
              <c:f>'Hypersphere Data'!$AB$151:$AB$175</c:f>
              <c:numCache>
                <c:formatCode>General</c:formatCode>
                <c:ptCount val="25"/>
                <c:pt idx="0">
                  <c:v>0.0</c:v>
                </c:pt>
                <c:pt idx="1">
                  <c:v>0.203983936954412</c:v>
                </c:pt>
                <c:pt idx="2">
                  <c:v>0.394066705704776</c:v>
                </c:pt>
                <c:pt idx="3">
                  <c:v>0.557294479687381</c:v>
                </c:pt>
                <c:pt idx="4">
                  <c:v>0.682543555851964</c:v>
                </c:pt>
                <c:pt idx="5">
                  <c:v>0.761278416641793</c:v>
                </c:pt>
                <c:pt idx="6">
                  <c:v>0.788133411409551</c:v>
                </c:pt>
                <c:pt idx="7">
                  <c:v>0.761278416641793</c:v>
                </c:pt>
                <c:pt idx="8">
                  <c:v>0.682543555851964</c:v>
                </c:pt>
                <c:pt idx="9">
                  <c:v>0.557294479687381</c:v>
                </c:pt>
                <c:pt idx="10">
                  <c:v>0.394066705704776</c:v>
                </c:pt>
                <c:pt idx="11">
                  <c:v>0.203983936954412</c:v>
                </c:pt>
                <c:pt idx="12">
                  <c:v>9.65185059583791e-17</c:v>
                </c:pt>
                <c:pt idx="13">
                  <c:v>-0.203983936954412</c:v>
                </c:pt>
                <c:pt idx="14">
                  <c:v>-0.394066705704775</c:v>
                </c:pt>
                <c:pt idx="15">
                  <c:v>-0.55729447968738</c:v>
                </c:pt>
                <c:pt idx="16">
                  <c:v>-0.682543555851964</c:v>
                </c:pt>
                <c:pt idx="17">
                  <c:v>-0.761278416641793</c:v>
                </c:pt>
                <c:pt idx="18">
                  <c:v>-0.788133411409551</c:v>
                </c:pt>
                <c:pt idx="19">
                  <c:v>-0.761278416641793</c:v>
                </c:pt>
                <c:pt idx="20">
                  <c:v>-0.682543555851964</c:v>
                </c:pt>
                <c:pt idx="21">
                  <c:v>-0.557294479687381</c:v>
                </c:pt>
                <c:pt idx="22">
                  <c:v>-0.394066705704776</c:v>
                </c:pt>
                <c:pt idx="23">
                  <c:v>-0.203983936954413</c:v>
                </c:pt>
                <c:pt idx="24">
                  <c:v>-1.93037011916758e-16</c:v>
                </c:pt>
              </c:numCache>
            </c:numRef>
          </c:yVal>
          <c:smooth val="1"/>
        </c:ser>
        <c:ser>
          <c:idx val="1"/>
          <c:order val="1"/>
          <c:tx>
            <c:v>k-sphere z(Sᵢ, k)</c:v>
          </c:tx>
          <c:spPr>
            <a:ln w="22225" cap="rnd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Data'!$AC$151:$AC$175</c:f>
              <c:numCache>
                <c:formatCode>General</c:formatCode>
                <c:ptCount val="25"/>
                <c:pt idx="0">
                  <c:v>0.788133411409551</c:v>
                </c:pt>
                <c:pt idx="1">
                  <c:v>0.761278416641793</c:v>
                </c:pt>
                <c:pt idx="2">
                  <c:v>0.682543555851964</c:v>
                </c:pt>
                <c:pt idx="3">
                  <c:v>0.557294479687381</c:v>
                </c:pt>
                <c:pt idx="4">
                  <c:v>0.394066705704776</c:v>
                </c:pt>
                <c:pt idx="5">
                  <c:v>0.203983936954412</c:v>
                </c:pt>
                <c:pt idx="6">
                  <c:v>4.82592529791895e-17</c:v>
                </c:pt>
                <c:pt idx="7">
                  <c:v>-0.203983936954412</c:v>
                </c:pt>
                <c:pt idx="8">
                  <c:v>-0.394066705704775</c:v>
                </c:pt>
                <c:pt idx="9">
                  <c:v>-0.557294479687381</c:v>
                </c:pt>
                <c:pt idx="10">
                  <c:v>-0.682543555851964</c:v>
                </c:pt>
                <c:pt idx="11">
                  <c:v>-0.761278416641793</c:v>
                </c:pt>
                <c:pt idx="12">
                  <c:v>-0.788133411409551</c:v>
                </c:pt>
                <c:pt idx="13">
                  <c:v>-0.761278416641793</c:v>
                </c:pt>
                <c:pt idx="14">
                  <c:v>-0.682543555851964</c:v>
                </c:pt>
                <c:pt idx="15">
                  <c:v>-0.557294479687381</c:v>
                </c:pt>
                <c:pt idx="16">
                  <c:v>-0.394066705704776</c:v>
                </c:pt>
                <c:pt idx="17">
                  <c:v>-0.203983936954412</c:v>
                </c:pt>
                <c:pt idx="18">
                  <c:v>-1.44777758937569e-16</c:v>
                </c:pt>
                <c:pt idx="19">
                  <c:v>0.203983936954412</c:v>
                </c:pt>
                <c:pt idx="20">
                  <c:v>0.394066705704776</c:v>
                </c:pt>
                <c:pt idx="21">
                  <c:v>0.557294479687381</c:v>
                </c:pt>
                <c:pt idx="22">
                  <c:v>0.682543555851964</c:v>
                </c:pt>
                <c:pt idx="23">
                  <c:v>0.761278416641793</c:v>
                </c:pt>
                <c:pt idx="24">
                  <c:v>0.788133411409551</c:v>
                </c:pt>
              </c:numCache>
            </c:numRef>
          </c:xVal>
          <c:yVal>
            <c:numRef>
              <c:f>'Hypersphere Data'!$AD$151:$AD$175</c:f>
              <c:numCache>
                <c:formatCode>General</c:formatCode>
                <c:ptCount val="25"/>
                <c:pt idx="0">
                  <c:v>0.0</c:v>
                </c:pt>
                <c:pt idx="1">
                  <c:v>0.203983936954412</c:v>
                </c:pt>
                <c:pt idx="2">
                  <c:v>0.394066705704776</c:v>
                </c:pt>
                <c:pt idx="3">
                  <c:v>0.557294479687381</c:v>
                </c:pt>
                <c:pt idx="4">
                  <c:v>0.682543555851964</c:v>
                </c:pt>
                <c:pt idx="5">
                  <c:v>0.761278416641793</c:v>
                </c:pt>
                <c:pt idx="6">
                  <c:v>0.788133411409551</c:v>
                </c:pt>
                <c:pt idx="7">
                  <c:v>0.761278416641793</c:v>
                </c:pt>
                <c:pt idx="8">
                  <c:v>0.682543555851964</c:v>
                </c:pt>
                <c:pt idx="9">
                  <c:v>0.557294479687381</c:v>
                </c:pt>
                <c:pt idx="10">
                  <c:v>0.394066705704776</c:v>
                </c:pt>
                <c:pt idx="11">
                  <c:v>0.203983936954412</c:v>
                </c:pt>
                <c:pt idx="12">
                  <c:v>9.65185059583791e-17</c:v>
                </c:pt>
                <c:pt idx="13">
                  <c:v>-0.203983936954412</c:v>
                </c:pt>
                <c:pt idx="14">
                  <c:v>-0.394066705704775</c:v>
                </c:pt>
                <c:pt idx="15">
                  <c:v>-0.55729447968738</c:v>
                </c:pt>
                <c:pt idx="16">
                  <c:v>-0.682543555851964</c:v>
                </c:pt>
                <c:pt idx="17">
                  <c:v>-0.761278416641793</c:v>
                </c:pt>
                <c:pt idx="18">
                  <c:v>-0.788133411409551</c:v>
                </c:pt>
                <c:pt idx="19">
                  <c:v>-0.761278416641793</c:v>
                </c:pt>
                <c:pt idx="20">
                  <c:v>-0.682543555851964</c:v>
                </c:pt>
                <c:pt idx="21">
                  <c:v>-0.557294479687381</c:v>
                </c:pt>
                <c:pt idx="22">
                  <c:v>-0.394066705704776</c:v>
                </c:pt>
                <c:pt idx="23">
                  <c:v>-0.203983936954413</c:v>
                </c:pt>
                <c:pt idx="24">
                  <c:v>-1.93037011916758e-16</c:v>
                </c:pt>
              </c:numCache>
            </c:numRef>
          </c:yVal>
          <c:smooth val="1"/>
        </c:ser>
        <c:ser>
          <c:idx val="2"/>
          <c:order val="2"/>
          <c:tx>
            <c:v>K1 · not counted</c:v>
          </c:tx>
          <c:spPr>
            <a:ln w="19050">
              <a:noFill/>
            </a:ln>
          </c:spPr>
          <c:marker>
            <c:symbol val="circle"/>
            <c:size val="8"/>
            <c:spPr>
              <a:solidFill>
                <a:srgbClr val="A9C4EB"/>
              </a:solidFill>
              <a:ln w="12700">
                <a:solidFill>
                  <a:srgbClr val="2F5597"/>
                </a:solidFill>
              </a:ln>
            </c:spPr>
          </c:marker>
          <c:xVal>
            <c:numRef>
              <c:f>'Hypersphere Data'!$K$151:$K$157</c:f>
              <c:numCache>
                <c:formatCode>General</c:formatCode>
                <c:ptCount val="7"/>
                <c:pt idx="2">
                  <c:v>4.96167411083016e-17</c:v>
                </c:pt>
                <c:pt idx="5">
                  <c:v>-0.866025403784439</c:v>
                </c:pt>
                <c:pt idx="6">
                  <c:v>0.682543555851964</c:v>
                </c:pt>
              </c:numCache>
            </c:numRef>
          </c:xVal>
          <c:yVal>
            <c:numRef>
              <c:f>'Hypersphere Data'!$L$151:$L$157</c:f>
              <c:numCache>
                <c:formatCode>General</c:formatCode>
                <c:ptCount val="7"/>
                <c:pt idx="2">
                  <c:v>-0.810302874965201</c:v>
                </c:pt>
                <c:pt idx="5">
                  <c:v>0.499999999999999</c:v>
                </c:pt>
                <c:pt idx="6">
                  <c:v>-0.394066705704776</c:v>
                </c:pt>
              </c:numCache>
            </c:numRef>
          </c:yVal>
          <c:smooth val="0"/>
        </c:ser>
        <c:ser>
          <c:idx val="3"/>
          <c:order val="3"/>
          <c:tx>
            <c:v>K2 · not counted</c:v>
          </c:tx>
          <c:spPr>
            <a:ln w="19050">
              <a:noFill/>
            </a:ln>
          </c:spPr>
          <c:marker>
            <c:symbol val="triangle"/>
            <c:size val="9"/>
            <c:spPr>
              <a:solidFill>
                <a:srgbClr val="F2A7A7"/>
              </a:solidFill>
              <a:ln w="12700">
                <a:solidFill>
                  <a:srgbClr val="C00000"/>
                </a:solidFill>
              </a:ln>
            </c:spPr>
          </c:marker>
          <c:xVal>
            <c:numRef>
              <c:f>'Hypersphere Data'!$O$151:$O$157</c:f>
              <c:numCache>
                <c:formatCode>General</c:formatCode>
                <c:ptCount val="7"/>
                <c:pt idx="3">
                  <c:v>-0.753317031315851</c:v>
                </c:pt>
              </c:numCache>
            </c:numRef>
          </c:xVal>
          <c:yVal>
            <c:numRef>
              <c:f>'Hypersphere Data'!$P$151:$P$157</c:f>
              <c:numCache>
                <c:formatCode>General</c:formatCode>
                <c:ptCount val="7"/>
                <c:pt idx="3">
                  <c:v>-0.434927790815337</c:v>
                </c:pt>
              </c:numCache>
            </c:numRef>
          </c:yVal>
          <c:smooth val="0"/>
        </c:ser>
        <c:ser>
          <c:idx val="4"/>
          <c:order val="4"/>
          <c:tx>
            <c:v>K1 · inside the enemy sphere (counted in g)</c:v>
          </c:tx>
          <c:spPr>
            <a:ln w="19050">
              <a:noFill/>
            </a:ln>
          </c:spPr>
          <c:marker>
            <c:symbol val="circle"/>
            <c:size val="8"/>
            <c:spPr>
              <a:solidFill>
                <a:srgbClr val="2F5597"/>
              </a:solidFill>
              <a:ln w="19050">
                <a:solidFill>
                  <a:srgbClr val="2F5597"/>
                </a:solidFill>
              </a:ln>
            </c:spPr>
          </c:marker>
          <c:xVal>
            <c:numRef>
              <c:f>'Hypersphere Data'!$I$151:$I$157</c:f>
              <c:numCache>
                <c:formatCode>General</c:formatCode>
                <c:ptCount val="7"/>
              </c:numCache>
            </c:numRef>
          </c:xVal>
          <c:yVal>
            <c:numRef>
              <c:f>'Hypersphere Data'!$J$151:$J$157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5"/>
          <c:order val="5"/>
          <c:tx>
            <c:v>K2 · inside the enemy sphere (counted in g)</c:v>
          </c:tx>
          <c:spPr>
            <a:ln w="19050">
              <a:noFill/>
            </a:ln>
          </c:spPr>
          <c:marker>
            <c:symbol val="triangle"/>
            <c:size val="9"/>
            <c:spPr>
              <a:solidFill>
                <a:srgbClr val="C00000"/>
              </a:solidFill>
              <a:ln w="19050">
                <a:solidFill>
                  <a:srgbClr val="C00000"/>
                </a:solidFill>
              </a:ln>
            </c:spPr>
          </c:marker>
          <c:xVal>
            <c:numRef>
              <c:f>'Hypersphere Data'!$M$151:$M$157</c:f>
              <c:numCache>
                <c:formatCode>General</c:formatCode>
                <c:ptCount val="7"/>
                <c:pt idx="0">
                  <c:v>3.29558247781348e-17</c:v>
                </c:pt>
                <c:pt idx="1">
                  <c:v>0.5858380357876</c:v>
                </c:pt>
              </c:numCache>
            </c:numRef>
          </c:xVal>
          <c:yVal>
            <c:numRef>
              <c:f>'Hypersphere Data'!$N$151:$N$157</c:f>
              <c:numCache>
                <c:formatCode>General</c:formatCode>
                <c:ptCount val="7"/>
                <c:pt idx="0">
                  <c:v>0.538209462533686</c:v>
                </c:pt>
                <c:pt idx="1">
                  <c:v>0.338233747663492</c:v>
                </c:pt>
              </c:numCache>
            </c:numRef>
          </c:yVal>
          <c:smooth val="0"/>
        </c:ser>
        <c:ser>
          <c:idx val="6"/>
          <c:order val="6"/>
          <c:tx>
            <c:v>centre Sᵢ (K1)</c:v>
          </c:tx>
          <c:spPr>
            <a:ln w="19050">
              <a:noFill/>
            </a:ln>
          </c:spPr>
          <c:marker>
            <c:symbol val="circle"/>
            <c:size val="13"/>
            <c:spPr>
              <a:solidFill>
                <a:srgbClr val="2F5597"/>
              </a:solidFill>
              <a:ln w="25400">
                <a:solidFill>
                  <a:srgbClr val="000000"/>
                </a:solidFill>
              </a:ln>
            </c:spPr>
          </c:marker>
          <c:xVal>
            <c:numRef>
              <c:f>'Hypersphere Data'!$Q$151:$Q$157</c:f>
              <c:numCache>
                <c:formatCode>General</c:formatCode>
                <c:ptCount val="7"/>
              </c:numCache>
            </c:numRef>
          </c:xVal>
          <c:yVal>
            <c:numRef>
              <c:f>'Hypersphere Data'!$R$151:$R$157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7"/>
          <c:order val="7"/>
          <c:tx>
            <c:v>centre Sᵢ (K2)</c:v>
          </c:tx>
          <c:spPr>
            <a:ln w="19050">
              <a:noFill/>
            </a:ln>
          </c:spPr>
          <c:marker>
            <c:symbol val="triangle"/>
            <c:size val="14"/>
            <c:spPr>
              <a:solidFill>
                <a:srgbClr val="C00000"/>
              </a:solidFill>
              <a:ln w="25400">
                <a:solidFill>
                  <a:srgbClr val="000000"/>
                </a:solidFill>
              </a:ln>
            </c:spPr>
          </c:marker>
          <c:xVal>
            <c:numRef>
              <c:f>'Hypersphere Data'!$S$151:$S$157</c:f>
              <c:numCache>
                <c:formatCode>General</c:formatCode>
                <c:ptCount val="7"/>
                <c:pt idx="4">
                  <c:v>0.0</c:v>
                </c:pt>
              </c:numCache>
            </c:numRef>
          </c:xVal>
          <c:yVal>
            <c:numRef>
              <c:f>'Hypersphere Data'!$T$151:$T$157</c:f>
              <c:numCache>
                <c:formatCode>General</c:formatCode>
                <c:ptCount val="7"/>
                <c:pt idx="4">
                  <c:v>0.0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'Hypersphere Data'!$D$161</c:f>
              <c:strCache>
                <c:ptCount val="1"/>
                <c:pt idx="0">
                  <c:v>S₁  4.86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85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Data'!$E$161</c:f>
              <c:numCache>
                <c:formatCode>General</c:formatCode>
                <c:ptCount val="1"/>
                <c:pt idx="0">
                  <c:v>3.29558247781348e-17</c:v>
                </c:pt>
              </c:numCache>
            </c:numRef>
          </c:xVal>
          <c:yVal>
            <c:numRef>
              <c:f>'Hypersphere Data'!$F$161</c:f>
              <c:numCache>
                <c:formatCode>General</c:formatCode>
                <c:ptCount val="1"/>
                <c:pt idx="0">
                  <c:v>0.538209462533686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'Hypersphere Data'!$D$162</c:f>
              <c:strCache>
                <c:ptCount val="1"/>
                <c:pt idx="0">
                  <c:v>S₂  6.10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85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Data'!$E$162</c:f>
              <c:numCache>
                <c:formatCode>General</c:formatCode>
                <c:ptCount val="1"/>
                <c:pt idx="0">
                  <c:v>0.5858380357876</c:v>
                </c:pt>
              </c:numCache>
            </c:numRef>
          </c:xVal>
          <c:yVal>
            <c:numRef>
              <c:f>'Hypersphere Data'!$F$162</c:f>
              <c:numCache>
                <c:formatCode>General</c:formatCode>
                <c:ptCount val="1"/>
                <c:pt idx="0">
                  <c:v>0.338233747663492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'Hypersphere Data'!$D$163</c:f>
              <c:strCache>
                <c:ptCount val="1"/>
                <c:pt idx="0">
                  <c:v>S₇  7.11 (r, z)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85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Data'!$E$163</c:f>
              <c:numCache>
                <c:formatCode>General</c:formatCode>
                <c:ptCount val="1"/>
                <c:pt idx="0">
                  <c:v>0.682543555851964</c:v>
                </c:pt>
              </c:numCache>
            </c:numRef>
          </c:xVal>
          <c:yVal>
            <c:numRef>
              <c:f>'Hypersphere Data'!$F$163</c:f>
              <c:numCache>
                <c:formatCode>General</c:formatCode>
                <c:ptCount val="1"/>
                <c:pt idx="0">
                  <c:v>-0.394066705704776</c:v>
                </c:pt>
              </c:numCache>
            </c:numRef>
          </c:yVal>
          <c:smooth val="0"/>
        </c:ser>
        <c:ser>
          <c:idx val="11"/>
          <c:order val="11"/>
          <c:tx>
            <c:strRef>
              <c:f>'Hypersphere Data'!$D$164</c:f>
              <c:strCache>
                <c:ptCount val="1"/>
                <c:pt idx="0">
                  <c:v>S₃  7.31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85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Data'!$E$164</c:f>
              <c:numCache>
                <c:formatCode>General</c:formatCode>
                <c:ptCount val="1"/>
                <c:pt idx="0">
                  <c:v>4.96167411083016e-17</c:v>
                </c:pt>
              </c:numCache>
            </c:numRef>
          </c:xVal>
          <c:yVal>
            <c:numRef>
              <c:f>'Hypersphere Data'!$F$164</c:f>
              <c:numCache>
                <c:formatCode>General</c:formatCode>
                <c:ptCount val="1"/>
                <c:pt idx="0">
                  <c:v>-0.810302874965201</c:v>
                </c:pt>
              </c:numCache>
            </c:numRef>
          </c:yVal>
          <c:smooth val="0"/>
        </c:ser>
        <c:ser>
          <c:idx val="12"/>
          <c:order val="12"/>
          <c:tx>
            <c:strRef>
              <c:f>'Hypersphere Data'!$D$165</c:f>
              <c:strCache>
                <c:ptCount val="1"/>
                <c:pt idx="0">
                  <c:v>S₄  7.85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85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Data'!$E$165</c:f>
              <c:numCache>
                <c:formatCode>General</c:formatCode>
                <c:ptCount val="1"/>
                <c:pt idx="0">
                  <c:v>-0.753317031315851</c:v>
                </c:pt>
              </c:numCache>
            </c:numRef>
          </c:xVal>
          <c:yVal>
            <c:numRef>
              <c:f>'Hypersphere Data'!$F$165</c:f>
              <c:numCache>
                <c:formatCode>General</c:formatCode>
                <c:ptCount val="1"/>
                <c:pt idx="0">
                  <c:v>-0.434927790815337</c:v>
                </c:pt>
              </c:numCache>
            </c:numRef>
          </c:yVal>
          <c:smooth val="0"/>
        </c:ser>
        <c:ser>
          <c:idx val="13"/>
          <c:order val="13"/>
          <c:tx>
            <c:strRef>
              <c:f>'Hypersphere Data'!$D$166</c:f>
              <c:strCache>
                <c:ptCount val="1"/>
                <c:pt idx="0">
                  <c:v>S₆  9.02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85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Data'!$E$166</c:f>
              <c:numCache>
                <c:formatCode>General</c:formatCode>
                <c:ptCount val="1"/>
                <c:pt idx="0">
                  <c:v>-0.866025403784439</c:v>
                </c:pt>
              </c:numCache>
            </c:numRef>
          </c:xVal>
          <c:yVal>
            <c:numRef>
              <c:f>'Hypersphere Data'!$F$166</c:f>
              <c:numCache>
                <c:formatCode>General</c:formatCode>
                <c:ptCount val="1"/>
                <c:pt idx="0">
                  <c:v>0.499999999999999</c:v>
                </c:pt>
              </c:numCache>
            </c:numRef>
          </c:yVal>
          <c:smooth val="0"/>
        </c:ser>
        <c:ser>
          <c:idx val="14"/>
          <c:order val="14"/>
          <c:tx>
            <c:strRef>
              <c:f>'Hypersphere Data'!$D$167</c:f>
              <c:strCache>
                <c:ptCount val="1"/>
                <c:pt idx="0">
                  <c:v>S₅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850" b="1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Data'!$E$167</c:f>
              <c:numCache>
                <c:formatCode>General</c:formatCode>
                <c:ptCount val="1"/>
                <c:pt idx="0">
                  <c:v>0.0</c:v>
                </c:pt>
              </c:numCache>
            </c:numRef>
          </c:xVal>
          <c:yVal>
            <c:numRef>
              <c:f>'Hypersphere Data'!$F$167</c:f>
              <c:numCache>
                <c:formatCode>General</c:formatCode>
                <c:ptCount val="1"/>
                <c:pt idx="0">
                  <c:v>0.0</c:v>
                </c:pt>
              </c:numCache>
            </c:numRef>
          </c:yVal>
          <c:smooth val="0"/>
        </c:ser>
        <c:ser>
          <c:idx val="15"/>
          <c:order val="15"/>
          <c:tx>
            <c:strRef>
              <c:f>'Hypersphere Data'!$D$168</c:f>
              <c:strCache>
                <c:ptCount val="1"/>
                <c:pt idx="0">
                  <c:v>g = 3  ·  d = 0.000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1F3864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Data'!$E$168</c:f>
              <c:numCache>
                <c:formatCode>General</c:formatCode>
                <c:ptCount val="1"/>
                <c:pt idx="0">
                  <c:v>-1.2</c:v>
                </c:pt>
              </c:numCache>
            </c:numRef>
          </c:xVal>
          <c:yVal>
            <c:numRef>
              <c:f>'Hypersphere Data'!$F$168</c:f>
              <c:numCache>
                <c:formatCode>General</c:formatCode>
                <c:ptCount val="1"/>
                <c:pt idx="0">
                  <c:v>1.18</c:v>
                </c:pt>
              </c:numCache>
            </c:numRef>
          </c:yVal>
          <c:smooth val="0"/>
        </c:ser>
        <c:ser>
          <c:idx val="16"/>
          <c:order val="16"/>
          <c:tx>
            <c:strRef>
              <c:f>'Hypersphere Data'!$D$169</c:f>
              <c:strCache>
                <c:ptCount val="1"/>
                <c:pt idx="0">
                  <c:v>class 2  ·  queue 3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1F3864"/>
                    </a:solidFill>
                    <a:latin typeface="Calibri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Data'!$E$169</c:f>
              <c:numCache>
                <c:formatCode>General</c:formatCode>
                <c:ptCount val="1"/>
                <c:pt idx="0">
                  <c:v>1.2</c:v>
                </c:pt>
              </c:numCache>
            </c:numRef>
          </c:xVal>
          <c:yVal>
            <c:numRef>
              <c:f>'Hypersphere Data'!$F$169</c:f>
              <c:numCache>
                <c:formatCode>General</c:formatCode>
                <c:ptCount val="1"/>
                <c:pt idx="0">
                  <c:v>1.18</c:v>
                </c:pt>
              </c:numCache>
            </c:numRef>
          </c:yVal>
          <c:smooth val="0"/>
        </c:ser>
        <c:ser>
          <c:idx val="17"/>
          <c:order val="17"/>
          <c:tx>
            <c:strRef>
              <c:f>'Hypersphere Data'!$U$158</c:f>
              <c:strCache>
                <c:ptCount val="1"/>
                <c:pt idx="0">
                  <c:v>r = 7.11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50" b="1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Data'!$V$158</c:f>
              <c:numCache>
                <c:formatCode>General</c:formatCode>
                <c:ptCount val="1"/>
                <c:pt idx="0">
                  <c:v>0.788133411409551</c:v>
                </c:pt>
              </c:numCache>
            </c:numRef>
          </c:xVal>
          <c:yVal>
            <c:numRef>
              <c:f>'Hypersphere Data'!$W$158</c:f>
              <c:numCache>
                <c:formatCode>General</c:formatCode>
                <c:ptCount val="1"/>
                <c:pt idx="0">
                  <c:v>0.0</c:v>
                </c:pt>
              </c:numCache>
            </c:numRef>
          </c:yVal>
          <c:smooth val="0"/>
        </c:ser>
        <c:ser>
          <c:idx val="18"/>
          <c:order val="18"/>
          <c:tx>
            <c:strRef>
              <c:f>'Hypersphere Data'!$U$159</c:f>
              <c:strCache>
                <c:ptCount val="1"/>
                <c:pt idx="0">
                  <c:v>z = 7.11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50" b="1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Data'!$V$159</c:f>
              <c:numCache>
                <c:formatCode>General</c:formatCode>
                <c:ptCount val="1"/>
                <c:pt idx="0">
                  <c:v>-0.788133411409551</c:v>
                </c:pt>
              </c:numCache>
            </c:numRef>
          </c:xVal>
          <c:yVal>
            <c:numRef>
              <c:f>'Hypersphere Data'!$W$159</c:f>
              <c:numCache>
                <c:formatCode>General</c:formatCode>
                <c:ptCount val="1"/>
                <c:pt idx="0">
                  <c:v>0.0</c:v>
                </c:pt>
              </c:numCache>
            </c:numRef>
          </c:yVal>
          <c:smooth val="0"/>
        </c:ser>
        <c:axId val="9101"/>
        <c:axId val="9102"/>
      </c:scatterChart>
      <c:valAx>
        <c:axId val="9101"/>
        <c:scaling>
          <c:orientation val="minMax"/>
          <c:max val="1.24"/>
          <c:min val="-1.24"/>
        </c:scaling>
        <c:delete val="1"/>
        <c:axPos val="b"/>
        <c:numFmt formatCode="General" sourceLinked="0"/>
        <c:majorTickMark val="none"/>
        <c:minorTickMark val="none"/>
        <c:tickLblPos val="none"/>
        <c:crossAx val="9102"/>
        <c:crosses val="autoZero"/>
        <c:crossBetween val="midCat"/>
      </c:valAx>
      <c:valAx>
        <c:axId val="9102"/>
        <c:scaling>
          <c:orientation val="minMax"/>
          <c:max val="1.24"/>
          <c:min val="-1.24"/>
        </c:scaling>
        <c:delete val="1"/>
        <c:axPos val="l"/>
        <c:numFmt formatCode="General" sourceLinked="0"/>
        <c:majorTickMark val="none"/>
        <c:minorTickMark val="none"/>
        <c:tickLblPos val="none"/>
        <c:crossAx val="9101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/>
          <a:lstStyle/>
          <a:p>
            <a:pPr>
              <a:defRPr sz="1050" b="1">
                <a:solidFill>
                  <a:srgbClr val="1F3864"/>
                </a:solidFill>
                <a:latin typeface="Calibri"/>
              </a:defRPr>
            </a:pPr>
            <a:r>
              <a:rPr lang="en-US" sz="1050" b="1">
                <a:solidFill>
                  <a:srgbClr val="1F3864"/>
                </a:solidFill>
                <a:latin typeface="Calibri"/>
              </a:rPr>
              <a:t>Hyperspheres of S₆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0349"/>
          <c:y val="0.1223"/>
          <c:w val="0.9302"/>
          <c:h val="0.8511"/>
        </c:manualLayout>
      </c:layout>
      <c:scatterChart>
        <c:scatterStyle val="lineMarker"/>
        <c:varyColors val="0"/>
        <c:ser>
          <c:idx val="0"/>
          <c:order val="0"/>
          <c:tx>
            <c:v>enemy sphere r(Sᵢ)</c:v>
          </c:tx>
          <c:spPr>
            <a:ln w="22225" cap="rnd">
              <a:solidFill>
                <a:srgbClr val="595959"/>
              </a:solidFill>
              <a:round/>
            </a:ln>
          </c:spPr>
          <c:marker>
            <c:symbol val="none"/>
          </c:marker>
          <c:xVal>
            <c:numRef>
              <c:f>'Hypersphere Data'!$AA$180:$AA$204</c:f>
              <c:numCache>
                <c:formatCode>General</c:formatCode>
                <c:ptCount val="25"/>
                <c:pt idx="0">
                  <c:v>0.410830391190726</c:v>
                </c:pt>
                <c:pt idx="1">
                  <c:v>0.396831685075563</c:v>
                </c:pt>
                <c:pt idx="2">
                  <c:v>0.355789555417867</c:v>
                </c:pt>
                <c:pt idx="3">
                  <c:v>0.290500955528484</c:v>
                </c:pt>
                <c:pt idx="4">
                  <c:v>0.205415195595363</c:v>
                </c:pt>
                <c:pt idx="5">
                  <c:v>0.106330729547079</c:v>
                </c:pt>
                <c:pt idx="6">
                  <c:v>2.51561061782089e-17</c:v>
                </c:pt>
                <c:pt idx="7">
                  <c:v>-0.106330729547079</c:v>
                </c:pt>
                <c:pt idx="8">
                  <c:v>-0.205415195595363</c:v>
                </c:pt>
                <c:pt idx="9">
                  <c:v>-0.290500955528484</c:v>
                </c:pt>
                <c:pt idx="10">
                  <c:v>-0.355789555417867</c:v>
                </c:pt>
                <c:pt idx="11">
                  <c:v>-0.396831685075563</c:v>
                </c:pt>
                <c:pt idx="12">
                  <c:v>-0.410830391190726</c:v>
                </c:pt>
                <c:pt idx="13">
                  <c:v>-0.396831685075563</c:v>
                </c:pt>
                <c:pt idx="14">
                  <c:v>-0.355789555417867</c:v>
                </c:pt>
                <c:pt idx="15">
                  <c:v>-0.290500955528484</c:v>
                </c:pt>
                <c:pt idx="16">
                  <c:v>-0.205415195595363</c:v>
                </c:pt>
                <c:pt idx="17">
                  <c:v>-0.106330729547079</c:v>
                </c:pt>
                <c:pt idx="18">
                  <c:v>-7.54683185346266e-17</c:v>
                </c:pt>
                <c:pt idx="19">
                  <c:v>0.106330729547078</c:v>
                </c:pt>
                <c:pt idx="20">
                  <c:v>0.205415195595363</c:v>
                </c:pt>
                <c:pt idx="21">
                  <c:v>0.290500955528484</c:v>
                </c:pt>
                <c:pt idx="22">
                  <c:v>0.355789555417867</c:v>
                </c:pt>
                <c:pt idx="23">
                  <c:v>0.396831685075563</c:v>
                </c:pt>
                <c:pt idx="24">
                  <c:v>0.410830391190726</c:v>
                </c:pt>
              </c:numCache>
            </c:numRef>
          </c:xVal>
          <c:yVal>
            <c:numRef>
              <c:f>'Hypersphere Data'!$AB$180:$AB$204</c:f>
              <c:numCache>
                <c:formatCode>General</c:formatCode>
                <c:ptCount val="25"/>
                <c:pt idx="0">
                  <c:v>0.0</c:v>
                </c:pt>
                <c:pt idx="1">
                  <c:v>0.106330729547079</c:v>
                </c:pt>
                <c:pt idx="2">
                  <c:v>0.205415195595363</c:v>
                </c:pt>
                <c:pt idx="3">
                  <c:v>0.290500955528484</c:v>
                </c:pt>
                <c:pt idx="4">
                  <c:v>0.355789555417867</c:v>
                </c:pt>
                <c:pt idx="5">
                  <c:v>0.396831685075563</c:v>
                </c:pt>
                <c:pt idx="6">
                  <c:v>0.410830391190726</c:v>
                </c:pt>
                <c:pt idx="7">
                  <c:v>0.396831685075563</c:v>
                </c:pt>
                <c:pt idx="8">
                  <c:v>0.355789555417867</c:v>
                </c:pt>
                <c:pt idx="9">
                  <c:v>0.290500955528484</c:v>
                </c:pt>
                <c:pt idx="10">
                  <c:v>0.205415195595363</c:v>
                </c:pt>
                <c:pt idx="11">
                  <c:v>0.106330729547079</c:v>
                </c:pt>
                <c:pt idx="12">
                  <c:v>5.03122123564177e-17</c:v>
                </c:pt>
                <c:pt idx="13">
                  <c:v>-0.106330729547079</c:v>
                </c:pt>
                <c:pt idx="14">
                  <c:v>-0.205415195595363</c:v>
                </c:pt>
                <c:pt idx="15">
                  <c:v>-0.290500955528484</c:v>
                </c:pt>
                <c:pt idx="16">
                  <c:v>-0.355789555417867</c:v>
                </c:pt>
                <c:pt idx="17">
                  <c:v>-0.396831685075563</c:v>
                </c:pt>
                <c:pt idx="18">
                  <c:v>-0.410830391190726</c:v>
                </c:pt>
                <c:pt idx="19">
                  <c:v>-0.396831685075563</c:v>
                </c:pt>
                <c:pt idx="20">
                  <c:v>-0.355789555417867</c:v>
                </c:pt>
                <c:pt idx="21">
                  <c:v>-0.290500955528484</c:v>
                </c:pt>
                <c:pt idx="22">
                  <c:v>-0.205415195595363</c:v>
                </c:pt>
                <c:pt idx="23">
                  <c:v>-0.106330729547079</c:v>
                </c:pt>
                <c:pt idx="24">
                  <c:v>-1.00624424712835e-16</c:v>
                </c:pt>
              </c:numCache>
            </c:numRef>
          </c:yVal>
          <c:smooth val="1"/>
        </c:ser>
        <c:ser>
          <c:idx val="1"/>
          <c:order val="1"/>
          <c:tx>
            <c:v>k-sphere z(Sᵢ, k)</c:v>
          </c:tx>
          <c:spPr>
            <a:ln w="22225" cap="rnd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Data'!$AC$180:$AC$204</c:f>
              <c:numCache>
                <c:formatCode>General</c:formatCode>
                <c:ptCount val="25"/>
                <c:pt idx="0">
                  <c:v>0.578189331241069</c:v>
                </c:pt>
                <c:pt idx="1">
                  <c:v>0.558488007530553</c:v>
                </c:pt>
                <c:pt idx="2">
                  <c:v>0.500726649051901</c:v>
                </c:pt>
                <c:pt idx="3">
                  <c:v>0.408841596930275</c:v>
                </c:pt>
                <c:pt idx="4">
                  <c:v>0.289094665620534</c:v>
                </c:pt>
                <c:pt idx="5">
                  <c:v>0.149646410600278</c:v>
                </c:pt>
                <c:pt idx="6">
                  <c:v>3.54038856902762e-17</c:v>
                </c:pt>
                <c:pt idx="7">
                  <c:v>-0.149646410600278</c:v>
                </c:pt>
                <c:pt idx="8">
                  <c:v>-0.289094665620534</c:v>
                </c:pt>
                <c:pt idx="9">
                  <c:v>-0.408841596930275</c:v>
                </c:pt>
                <c:pt idx="10">
                  <c:v>-0.500726649051901</c:v>
                </c:pt>
                <c:pt idx="11">
                  <c:v>-0.558488007530553</c:v>
                </c:pt>
                <c:pt idx="12">
                  <c:v>-0.578189331241069</c:v>
                </c:pt>
                <c:pt idx="13">
                  <c:v>-0.558488007530553</c:v>
                </c:pt>
                <c:pt idx="14">
                  <c:v>-0.500726649051901</c:v>
                </c:pt>
                <c:pt idx="15">
                  <c:v>-0.408841596930275</c:v>
                </c:pt>
                <c:pt idx="16">
                  <c:v>-0.289094665620535</c:v>
                </c:pt>
                <c:pt idx="17">
                  <c:v>-0.149646410600278</c:v>
                </c:pt>
                <c:pt idx="18">
                  <c:v>-1.06211657070829e-16</c:v>
                </c:pt>
                <c:pt idx="19">
                  <c:v>0.149646410600278</c:v>
                </c:pt>
                <c:pt idx="20">
                  <c:v>0.289094665620534</c:v>
                </c:pt>
                <c:pt idx="21">
                  <c:v>0.408841596930275</c:v>
                </c:pt>
                <c:pt idx="22">
                  <c:v>0.500726649051901</c:v>
                </c:pt>
                <c:pt idx="23">
                  <c:v>0.558488007530553</c:v>
                </c:pt>
                <c:pt idx="24">
                  <c:v>0.578189331241069</c:v>
                </c:pt>
              </c:numCache>
            </c:numRef>
          </c:xVal>
          <c:yVal>
            <c:numRef>
              <c:f>'Hypersphere Data'!$AD$180:$AD$204</c:f>
              <c:numCache>
                <c:formatCode>General</c:formatCode>
                <c:ptCount val="25"/>
                <c:pt idx="0">
                  <c:v>0.0</c:v>
                </c:pt>
                <c:pt idx="1">
                  <c:v>0.149646410600278</c:v>
                </c:pt>
                <c:pt idx="2">
                  <c:v>0.289094665620534</c:v>
                </c:pt>
                <c:pt idx="3">
                  <c:v>0.408841596930275</c:v>
                </c:pt>
                <c:pt idx="4">
                  <c:v>0.500726649051901</c:v>
                </c:pt>
                <c:pt idx="5">
                  <c:v>0.558488007530553</c:v>
                </c:pt>
                <c:pt idx="6">
                  <c:v>0.578189331241069</c:v>
                </c:pt>
                <c:pt idx="7">
                  <c:v>0.558488007530553</c:v>
                </c:pt>
                <c:pt idx="8">
                  <c:v>0.500726649051901</c:v>
                </c:pt>
                <c:pt idx="9">
                  <c:v>0.408841596930275</c:v>
                </c:pt>
                <c:pt idx="10">
                  <c:v>0.289094665620534</c:v>
                </c:pt>
                <c:pt idx="11">
                  <c:v>0.149646410600279</c:v>
                </c:pt>
                <c:pt idx="12">
                  <c:v>7.08077713805524e-17</c:v>
                </c:pt>
                <c:pt idx="13">
                  <c:v>-0.149646410600279</c:v>
                </c:pt>
                <c:pt idx="14">
                  <c:v>-0.289094665620534</c:v>
                </c:pt>
                <c:pt idx="15">
                  <c:v>-0.408841596930274</c:v>
                </c:pt>
                <c:pt idx="16">
                  <c:v>-0.500726649051901</c:v>
                </c:pt>
                <c:pt idx="17">
                  <c:v>-0.558488007530553</c:v>
                </c:pt>
                <c:pt idx="18">
                  <c:v>-0.578189331241069</c:v>
                </c:pt>
                <c:pt idx="19">
                  <c:v>-0.558488007530553</c:v>
                </c:pt>
                <c:pt idx="20">
                  <c:v>-0.500726649051901</c:v>
                </c:pt>
                <c:pt idx="21">
                  <c:v>-0.408841596930275</c:v>
                </c:pt>
                <c:pt idx="22">
                  <c:v>-0.289094665620535</c:v>
                </c:pt>
                <c:pt idx="23">
                  <c:v>-0.149646410600279</c:v>
                </c:pt>
                <c:pt idx="24">
                  <c:v>-1.41615542761105e-16</c:v>
                </c:pt>
              </c:numCache>
            </c:numRef>
          </c:yVal>
          <c:smooth val="1"/>
        </c:ser>
        <c:ser>
          <c:idx val="2"/>
          <c:order val="2"/>
          <c:tx>
            <c:v>K1 · not counted</c:v>
          </c:tx>
          <c:spPr>
            <a:ln w="19050">
              <a:noFill/>
            </a:ln>
          </c:spPr>
          <c:marker>
            <c:symbol val="circle"/>
            <c:size val="8"/>
            <c:spPr>
              <a:solidFill>
                <a:srgbClr val="A9C4EB"/>
              </a:solidFill>
              <a:ln w="12700">
                <a:solidFill>
                  <a:srgbClr val="2F5597"/>
                </a:solidFill>
              </a:ln>
            </c:spPr>
          </c:marker>
          <c:xVal>
            <c:numRef>
              <c:f>'Hypersphere Data'!$K$180:$K$186</c:f>
              <c:numCache>
                <c:formatCode>General</c:formatCode>
                <c:ptCount val="7"/>
                <c:pt idx="2">
                  <c:v>0.500726649051901</c:v>
                </c:pt>
                <c:pt idx="6">
                  <c:v>0.482890054154274</c:v>
                </c:pt>
              </c:numCache>
            </c:numRef>
          </c:xVal>
          <c:yVal>
            <c:numRef>
              <c:f>'Hypersphere Data'!$L$180:$L$186</c:f>
              <c:numCache>
                <c:formatCode>General</c:formatCode>
                <c:ptCount val="7"/>
                <c:pt idx="2">
                  <c:v>-0.289094665620534</c:v>
                </c:pt>
                <c:pt idx="6">
                  <c:v>0.278796702754963</c:v>
                </c:pt>
              </c:numCache>
            </c:numRef>
          </c:yVal>
          <c:smooth val="0"/>
        </c:ser>
        <c:ser>
          <c:idx val="3"/>
          <c:order val="3"/>
          <c:tx>
            <c:v>K2 · not counted</c:v>
          </c:tx>
          <c:spPr>
            <a:ln w="19050">
              <a:noFill/>
            </a:ln>
          </c:spPr>
          <c:marker>
            <c:symbol val="triangle"/>
            <c:size val="9"/>
            <c:spPr>
              <a:solidFill>
                <a:srgbClr val="F2A7A7"/>
              </a:solidFill>
              <a:ln w="12700">
                <a:solidFill>
                  <a:srgbClr val="C00000"/>
                </a:solidFill>
              </a:ln>
            </c:spPr>
          </c:marker>
          <c:xVal>
            <c:numRef>
              <c:f>'Hypersphere Data'!$O$180:$O$186</c:f>
              <c:numCache>
                <c:formatCode>General</c:formatCode>
                <c:ptCount val="7"/>
                <c:pt idx="0">
                  <c:v>4.61546963867079e-17</c:v>
                </c:pt>
                <c:pt idx="1">
                  <c:v>-0.839101987376665</c:v>
                </c:pt>
                <c:pt idx="3">
                  <c:v>2.51561061782089e-17</c:v>
                </c:pt>
                <c:pt idx="4">
                  <c:v>-0.866025403784439</c:v>
                </c:pt>
              </c:numCache>
            </c:numRef>
          </c:xVal>
          <c:yVal>
            <c:numRef>
              <c:f>'Hypersphere Data'!$P$180:$P$186</c:f>
              <c:numCache>
                <c:formatCode>General</c:formatCode>
                <c:ptCount val="7"/>
                <c:pt idx="0">
                  <c:v>-0.753763393965389</c:v>
                </c:pt>
                <c:pt idx="1">
                  <c:v>-0.484455758289468</c:v>
                </c:pt>
                <c:pt idx="3">
                  <c:v>0.410830391190726</c:v>
                </c:pt>
                <c:pt idx="4">
                  <c:v>0.499999999999999</c:v>
                </c:pt>
              </c:numCache>
            </c:numRef>
          </c:yVal>
          <c:smooth val="0"/>
        </c:ser>
        <c:ser>
          <c:idx val="4"/>
          <c:order val="4"/>
          <c:tx>
            <c:v>K1 · inside the enemy sphere (counted in g)</c:v>
          </c:tx>
          <c:spPr>
            <a:ln w="19050">
              <a:noFill/>
            </a:ln>
          </c:spPr>
          <c:marker>
            <c:symbol val="circle"/>
            <c:size val="8"/>
            <c:spPr>
              <a:solidFill>
                <a:srgbClr val="2F5597"/>
              </a:solidFill>
              <a:ln w="19050">
                <a:solidFill>
                  <a:srgbClr val="2F5597"/>
                </a:solidFill>
              </a:ln>
            </c:spPr>
          </c:marker>
          <c:xVal>
            <c:numRef>
              <c:f>'Hypersphere Data'!$I$180:$I$186</c:f>
              <c:numCache>
                <c:formatCode>General</c:formatCode>
                <c:ptCount val="7"/>
              </c:numCache>
            </c:numRef>
          </c:xVal>
          <c:yVal>
            <c:numRef>
              <c:f>'Hypersphere Data'!$J$180:$J$186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5"/>
          <c:order val="5"/>
          <c:tx>
            <c:v>K2 · inside the enemy sphere (counted in g)</c:v>
          </c:tx>
          <c:spPr>
            <a:ln w="19050">
              <a:noFill/>
            </a:ln>
          </c:spPr>
          <c:marker>
            <c:symbol val="triangle"/>
            <c:size val="9"/>
            <c:spPr>
              <a:solidFill>
                <a:srgbClr val="C00000"/>
              </a:solidFill>
              <a:ln w="19050">
                <a:solidFill>
                  <a:srgbClr val="C00000"/>
                </a:solidFill>
              </a:ln>
            </c:spPr>
          </c:marker>
          <c:xVal>
            <c:numRef>
              <c:f>'Hypersphere Data'!$M$180:$M$186</c:f>
              <c:numCache>
                <c:formatCode>General</c:formatCode>
                <c:ptCount val="7"/>
              </c:numCache>
            </c:numRef>
          </c:xVal>
          <c:yVal>
            <c:numRef>
              <c:f>'Hypersphere Data'!$N$180:$N$186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6"/>
          <c:order val="6"/>
          <c:tx>
            <c:v>centre Sᵢ (K1)</c:v>
          </c:tx>
          <c:spPr>
            <a:ln w="19050">
              <a:noFill/>
            </a:ln>
          </c:spPr>
          <c:marker>
            <c:symbol val="circle"/>
            <c:size val="13"/>
            <c:spPr>
              <a:solidFill>
                <a:srgbClr val="2F5597"/>
              </a:solidFill>
              <a:ln w="25400">
                <a:solidFill>
                  <a:srgbClr val="000000"/>
                </a:solidFill>
              </a:ln>
            </c:spPr>
          </c:marker>
          <c:xVal>
            <c:numRef>
              <c:f>'Hypersphere Data'!$Q$180:$Q$186</c:f>
              <c:numCache>
                <c:formatCode>General</c:formatCode>
                <c:ptCount val="7"/>
                <c:pt idx="5">
                  <c:v>0.0</c:v>
                </c:pt>
              </c:numCache>
            </c:numRef>
          </c:xVal>
          <c:yVal>
            <c:numRef>
              <c:f>'Hypersphere Data'!$R$180:$R$186</c:f>
              <c:numCache>
                <c:formatCode>General</c:formatCode>
                <c:ptCount val="7"/>
                <c:pt idx="5">
                  <c:v>0.0</c:v>
                </c:pt>
              </c:numCache>
            </c:numRef>
          </c:yVal>
          <c:smooth val="0"/>
        </c:ser>
        <c:ser>
          <c:idx val="7"/>
          <c:order val="7"/>
          <c:tx>
            <c:v>centre Sᵢ (K2)</c:v>
          </c:tx>
          <c:spPr>
            <a:ln w="19050">
              <a:noFill/>
            </a:ln>
          </c:spPr>
          <c:marker>
            <c:symbol val="triangle"/>
            <c:size val="14"/>
            <c:spPr>
              <a:solidFill>
                <a:srgbClr val="C00000"/>
              </a:solidFill>
              <a:ln w="25400">
                <a:solidFill>
                  <a:srgbClr val="000000"/>
                </a:solidFill>
              </a:ln>
            </c:spPr>
          </c:marker>
          <c:xVal>
            <c:numRef>
              <c:f>'Hypersphere Data'!$S$180:$S$186</c:f>
              <c:numCache>
                <c:formatCode>General</c:formatCode>
                <c:ptCount val="7"/>
              </c:numCache>
            </c:numRef>
          </c:xVal>
          <c:yVal>
            <c:numRef>
              <c:f>'Hypersphere Data'!$T$180:$T$186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8"/>
          <c:order val="8"/>
          <c:tx>
            <c:strRef>
              <c:f>'Hypersphere Data'!$D$190</c:f>
              <c:strCache>
                <c:ptCount val="1"/>
                <c:pt idx="0">
                  <c:v>S₄  3.71 (r)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85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Data'!$E$190</c:f>
              <c:numCache>
                <c:formatCode>General</c:formatCode>
                <c:ptCount val="1"/>
                <c:pt idx="0">
                  <c:v>2.51561061782089e-17</c:v>
                </c:pt>
              </c:numCache>
            </c:numRef>
          </c:xVal>
          <c:yVal>
            <c:numRef>
              <c:f>'Hypersphere Data'!$F$190</c:f>
              <c:numCache>
                <c:formatCode>General</c:formatCode>
                <c:ptCount val="1"/>
                <c:pt idx="0">
                  <c:v>0.410830391190726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'Hypersphere Data'!$D$191</c:f>
              <c:strCache>
                <c:ptCount val="1"/>
                <c:pt idx="0">
                  <c:v>S₇  5.03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85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Data'!$E$191</c:f>
              <c:numCache>
                <c:formatCode>General</c:formatCode>
                <c:ptCount val="1"/>
                <c:pt idx="0">
                  <c:v>0.482890054154274</c:v>
                </c:pt>
              </c:numCache>
            </c:numRef>
          </c:xVal>
          <c:yVal>
            <c:numRef>
              <c:f>'Hypersphere Data'!$F$191</c:f>
              <c:numCache>
                <c:formatCode>General</c:formatCode>
                <c:ptCount val="1"/>
                <c:pt idx="0">
                  <c:v>0.278796702754963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'Hypersphere Data'!$D$192</c:f>
              <c:strCache>
                <c:ptCount val="1"/>
                <c:pt idx="0">
                  <c:v>S₃  5.22 (z)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85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Data'!$E$192</c:f>
              <c:numCache>
                <c:formatCode>General</c:formatCode>
                <c:ptCount val="1"/>
                <c:pt idx="0">
                  <c:v>0.500726649051901</c:v>
                </c:pt>
              </c:numCache>
            </c:numRef>
          </c:xVal>
          <c:yVal>
            <c:numRef>
              <c:f>'Hypersphere Data'!$F$192</c:f>
              <c:numCache>
                <c:formatCode>General</c:formatCode>
                <c:ptCount val="1"/>
                <c:pt idx="0">
                  <c:v>-0.289094665620534</c:v>
                </c:pt>
              </c:numCache>
            </c:numRef>
          </c:yVal>
          <c:smooth val="0"/>
        </c:ser>
        <c:ser>
          <c:idx val="11"/>
          <c:order val="11"/>
          <c:tx>
            <c:strRef>
              <c:f>'Hypersphere Data'!$D$193</c:f>
              <c:strCache>
                <c:ptCount val="1"/>
                <c:pt idx="0">
                  <c:v>S₁  6.80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85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Data'!$E$193</c:f>
              <c:numCache>
                <c:formatCode>General</c:formatCode>
                <c:ptCount val="1"/>
                <c:pt idx="0">
                  <c:v>4.61546963867079e-17</c:v>
                </c:pt>
              </c:numCache>
            </c:numRef>
          </c:xVal>
          <c:yVal>
            <c:numRef>
              <c:f>'Hypersphere Data'!$F$193</c:f>
              <c:numCache>
                <c:formatCode>General</c:formatCode>
                <c:ptCount val="1"/>
                <c:pt idx="0">
                  <c:v>-0.753763393965389</c:v>
                </c:pt>
              </c:numCache>
            </c:numRef>
          </c:yVal>
          <c:smooth val="0"/>
        </c:ser>
        <c:ser>
          <c:idx val="12"/>
          <c:order val="12"/>
          <c:tx>
            <c:strRef>
              <c:f>'Hypersphere Data'!$D$194</c:f>
              <c:strCache>
                <c:ptCount val="1"/>
                <c:pt idx="0">
                  <c:v>S₂  8.74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85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Data'!$E$194</c:f>
              <c:numCache>
                <c:formatCode>General</c:formatCode>
                <c:ptCount val="1"/>
                <c:pt idx="0">
                  <c:v>-0.839101987376665</c:v>
                </c:pt>
              </c:numCache>
            </c:numRef>
          </c:xVal>
          <c:yVal>
            <c:numRef>
              <c:f>'Hypersphere Data'!$F$194</c:f>
              <c:numCache>
                <c:formatCode>General</c:formatCode>
                <c:ptCount val="1"/>
                <c:pt idx="0">
                  <c:v>-0.484455758289468</c:v>
                </c:pt>
              </c:numCache>
            </c:numRef>
          </c:yVal>
          <c:smooth val="0"/>
        </c:ser>
        <c:ser>
          <c:idx val="13"/>
          <c:order val="13"/>
          <c:tx>
            <c:strRef>
              <c:f>'Hypersphere Data'!$D$195</c:f>
              <c:strCache>
                <c:ptCount val="1"/>
                <c:pt idx="0">
                  <c:v>S₅  9.02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85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Data'!$E$195</c:f>
              <c:numCache>
                <c:formatCode>General</c:formatCode>
                <c:ptCount val="1"/>
                <c:pt idx="0">
                  <c:v>-0.866025403784439</c:v>
                </c:pt>
              </c:numCache>
            </c:numRef>
          </c:xVal>
          <c:yVal>
            <c:numRef>
              <c:f>'Hypersphere Data'!$F$195</c:f>
              <c:numCache>
                <c:formatCode>General</c:formatCode>
                <c:ptCount val="1"/>
                <c:pt idx="0">
                  <c:v>0.499999999999999</c:v>
                </c:pt>
              </c:numCache>
            </c:numRef>
          </c:yVal>
          <c:smooth val="0"/>
        </c:ser>
        <c:ser>
          <c:idx val="14"/>
          <c:order val="14"/>
          <c:tx>
            <c:strRef>
              <c:f>'Hypersphere Data'!$D$196</c:f>
              <c:strCache>
                <c:ptCount val="1"/>
                <c:pt idx="0">
                  <c:v>S₆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850" b="1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Data'!$E$196</c:f>
              <c:numCache>
                <c:formatCode>General</c:formatCode>
                <c:ptCount val="1"/>
                <c:pt idx="0">
                  <c:v>0.0</c:v>
                </c:pt>
              </c:numCache>
            </c:numRef>
          </c:xVal>
          <c:yVal>
            <c:numRef>
              <c:f>'Hypersphere Data'!$F$196</c:f>
              <c:numCache>
                <c:formatCode>General</c:formatCode>
                <c:ptCount val="1"/>
                <c:pt idx="0">
                  <c:v>0.0</c:v>
                </c:pt>
              </c:numCache>
            </c:numRef>
          </c:yVal>
          <c:smooth val="0"/>
        </c:ser>
        <c:ser>
          <c:idx val="15"/>
          <c:order val="15"/>
          <c:tx>
            <c:strRef>
              <c:f>'Hypersphere Data'!$D$197</c:f>
              <c:strCache>
                <c:ptCount val="1"/>
                <c:pt idx="0">
                  <c:v>g = 1  ·  d = 0.169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1F3864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Data'!$E$197</c:f>
              <c:numCache>
                <c:formatCode>General</c:formatCode>
                <c:ptCount val="1"/>
                <c:pt idx="0">
                  <c:v>-1.2</c:v>
                </c:pt>
              </c:numCache>
            </c:numRef>
          </c:xVal>
          <c:yVal>
            <c:numRef>
              <c:f>'Hypersphere Data'!$F$197</c:f>
              <c:numCache>
                <c:formatCode>General</c:formatCode>
                <c:ptCount val="1"/>
                <c:pt idx="0">
                  <c:v>1.18</c:v>
                </c:pt>
              </c:numCache>
            </c:numRef>
          </c:yVal>
          <c:smooth val="0"/>
        </c:ser>
        <c:ser>
          <c:idx val="16"/>
          <c:order val="16"/>
          <c:tx>
            <c:strRef>
              <c:f>'Hypersphere Data'!$D$198</c:f>
              <c:strCache>
                <c:ptCount val="1"/>
                <c:pt idx="0">
                  <c:v>class 1  ·  queue 6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1F3864"/>
                    </a:solidFill>
                    <a:latin typeface="Calibri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Data'!$E$198</c:f>
              <c:numCache>
                <c:formatCode>General</c:formatCode>
                <c:ptCount val="1"/>
                <c:pt idx="0">
                  <c:v>1.2</c:v>
                </c:pt>
              </c:numCache>
            </c:numRef>
          </c:xVal>
          <c:yVal>
            <c:numRef>
              <c:f>'Hypersphere Data'!$F$198</c:f>
              <c:numCache>
                <c:formatCode>General</c:formatCode>
                <c:ptCount val="1"/>
                <c:pt idx="0">
                  <c:v>1.18</c:v>
                </c:pt>
              </c:numCache>
            </c:numRef>
          </c:yVal>
          <c:smooth val="0"/>
        </c:ser>
        <c:ser>
          <c:idx val="17"/>
          <c:order val="17"/>
          <c:tx>
            <c:strRef>
              <c:f>'Hypersphere Data'!$U$187</c:f>
              <c:strCache>
                <c:ptCount val="1"/>
                <c:pt idx="0">
                  <c:v>r = 3.71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50" b="1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Data'!$V$187</c:f>
              <c:numCache>
                <c:formatCode>General</c:formatCode>
                <c:ptCount val="1"/>
                <c:pt idx="0">
                  <c:v>0.410830391190726</c:v>
                </c:pt>
              </c:numCache>
            </c:numRef>
          </c:xVal>
          <c:yVal>
            <c:numRef>
              <c:f>'Hypersphere Data'!$W$187</c:f>
              <c:numCache>
                <c:formatCode>General</c:formatCode>
                <c:ptCount val="1"/>
                <c:pt idx="0">
                  <c:v>0.0</c:v>
                </c:pt>
              </c:numCache>
            </c:numRef>
          </c:yVal>
          <c:smooth val="0"/>
        </c:ser>
        <c:ser>
          <c:idx val="18"/>
          <c:order val="18"/>
          <c:tx>
            <c:strRef>
              <c:f>'Hypersphere Data'!$U$188</c:f>
              <c:strCache>
                <c:ptCount val="1"/>
                <c:pt idx="0">
                  <c:v>z = 5.22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50" b="1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Data'!$V$188</c:f>
              <c:numCache>
                <c:formatCode>General</c:formatCode>
                <c:ptCount val="1"/>
                <c:pt idx="0">
                  <c:v>-0.578189331241069</c:v>
                </c:pt>
              </c:numCache>
            </c:numRef>
          </c:xVal>
          <c:yVal>
            <c:numRef>
              <c:f>'Hypersphere Data'!$W$188</c:f>
              <c:numCache>
                <c:formatCode>General</c:formatCode>
                <c:ptCount val="1"/>
                <c:pt idx="0">
                  <c:v>0.0</c:v>
                </c:pt>
              </c:numCache>
            </c:numRef>
          </c:yVal>
          <c:smooth val="0"/>
        </c:ser>
        <c:axId val="9101"/>
        <c:axId val="9102"/>
      </c:scatterChart>
      <c:valAx>
        <c:axId val="9101"/>
        <c:scaling>
          <c:orientation val="minMax"/>
          <c:max val="1.24"/>
          <c:min val="-1.24"/>
        </c:scaling>
        <c:delete val="1"/>
        <c:axPos val="b"/>
        <c:numFmt formatCode="General" sourceLinked="0"/>
        <c:majorTickMark val="none"/>
        <c:minorTickMark val="none"/>
        <c:tickLblPos val="none"/>
        <c:crossAx val="9102"/>
        <c:crosses val="autoZero"/>
        <c:crossBetween val="midCat"/>
      </c:valAx>
      <c:valAx>
        <c:axId val="9102"/>
        <c:scaling>
          <c:orientation val="minMax"/>
          <c:max val="1.24"/>
          <c:min val="-1.24"/>
        </c:scaling>
        <c:delete val="1"/>
        <c:axPos val="l"/>
        <c:numFmt formatCode="General" sourceLinked="0"/>
        <c:majorTickMark val="none"/>
        <c:minorTickMark val="none"/>
        <c:tickLblPos val="none"/>
        <c:crossAx val="9101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/>
          <a:lstStyle/>
          <a:p>
            <a:pPr>
              <a:defRPr sz="1050" b="1">
                <a:solidFill>
                  <a:srgbClr val="1F3864"/>
                </a:solidFill>
                <a:latin typeface="Calibri"/>
              </a:defRPr>
            </a:pPr>
            <a:r>
              <a:rPr lang="en-US" sz="1050" b="1">
                <a:solidFill>
                  <a:srgbClr val="1F3864"/>
                </a:solidFill>
                <a:latin typeface="Calibri"/>
              </a:rPr>
              <a:t>Hyperspheres of S₇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0349"/>
          <c:y val="0.1223"/>
          <c:w val="0.9302"/>
          <c:h val="0.8511"/>
        </c:manualLayout>
      </c:layout>
      <c:scatterChart>
        <c:scatterStyle val="lineMarker"/>
        <c:varyColors val="0"/>
        <c:ser>
          <c:idx val="0"/>
          <c:order val="0"/>
          <c:tx>
            <c:v>enemy sphere r(Sᵢ)</c:v>
          </c:tx>
          <c:spPr>
            <a:ln w="22225" cap="rnd">
              <a:solidFill>
                <a:srgbClr val="595959"/>
              </a:solidFill>
              <a:round/>
            </a:ln>
          </c:spPr>
          <c:marker>
            <c:symbol val="none"/>
          </c:marker>
          <c:xVal>
            <c:numRef>
              <c:f>'Hypersphere Data'!$AA$209:$AA$233</c:f>
              <c:numCache>
                <c:formatCode>General</c:formatCode>
                <c:ptCount val="25"/>
                <c:pt idx="0">
                  <c:v>0.433422859119315</c:v>
                </c:pt>
                <c:pt idx="1">
                  <c:v>0.418654333327395</c:v>
                </c:pt>
                <c:pt idx="2">
                  <c:v>0.375355206578211</c:v>
                </c:pt>
                <c:pt idx="3">
                  <c:v>0.306476242804529</c:v>
                </c:pt>
                <c:pt idx="4">
                  <c:v>0.216711429559658</c:v>
                </c:pt>
                <c:pt idx="5">
                  <c:v>0.112178090522866</c:v>
                </c:pt>
                <c:pt idx="6">
                  <c:v>2.65394958548882e-17</c:v>
                </c:pt>
                <c:pt idx="7">
                  <c:v>-0.112178090522865</c:v>
                </c:pt>
                <c:pt idx="8">
                  <c:v>-0.216711429559657</c:v>
                </c:pt>
                <c:pt idx="9">
                  <c:v>-0.306476242804529</c:v>
                </c:pt>
                <c:pt idx="10">
                  <c:v>-0.375355206578211</c:v>
                </c:pt>
                <c:pt idx="11">
                  <c:v>-0.418654333327395</c:v>
                </c:pt>
                <c:pt idx="12">
                  <c:v>-0.433422859119315</c:v>
                </c:pt>
                <c:pt idx="13">
                  <c:v>-0.418654333327395</c:v>
                </c:pt>
                <c:pt idx="14">
                  <c:v>-0.375355206578211</c:v>
                </c:pt>
                <c:pt idx="15">
                  <c:v>-0.30647624280453</c:v>
                </c:pt>
                <c:pt idx="16">
                  <c:v>-0.216711429559658</c:v>
                </c:pt>
                <c:pt idx="17">
                  <c:v>-0.112178090522865</c:v>
                </c:pt>
                <c:pt idx="18">
                  <c:v>-7.96184875646645e-17</c:v>
                </c:pt>
                <c:pt idx="19">
                  <c:v>0.112178090522865</c:v>
                </c:pt>
                <c:pt idx="20">
                  <c:v>0.216711429559658</c:v>
                </c:pt>
                <c:pt idx="21">
                  <c:v>0.306476242804529</c:v>
                </c:pt>
                <c:pt idx="22">
                  <c:v>0.375355206578211</c:v>
                </c:pt>
                <c:pt idx="23">
                  <c:v>0.418654333327395</c:v>
                </c:pt>
                <c:pt idx="24">
                  <c:v>0.433422859119315</c:v>
                </c:pt>
              </c:numCache>
            </c:numRef>
          </c:xVal>
          <c:yVal>
            <c:numRef>
              <c:f>'Hypersphere Data'!$AB$209:$AB$233</c:f>
              <c:numCache>
                <c:formatCode>General</c:formatCode>
                <c:ptCount val="25"/>
                <c:pt idx="0">
                  <c:v>0.0</c:v>
                </c:pt>
                <c:pt idx="1">
                  <c:v>0.112178090522866</c:v>
                </c:pt>
                <c:pt idx="2">
                  <c:v>0.216711429559658</c:v>
                </c:pt>
                <c:pt idx="3">
                  <c:v>0.306476242804529</c:v>
                </c:pt>
                <c:pt idx="4">
                  <c:v>0.375355206578211</c:v>
                </c:pt>
                <c:pt idx="5">
                  <c:v>0.418654333327395</c:v>
                </c:pt>
                <c:pt idx="6">
                  <c:v>0.433422859119315</c:v>
                </c:pt>
                <c:pt idx="7">
                  <c:v>0.418654333327395</c:v>
                </c:pt>
                <c:pt idx="8">
                  <c:v>0.375355206578211</c:v>
                </c:pt>
                <c:pt idx="9">
                  <c:v>0.306476242804529</c:v>
                </c:pt>
                <c:pt idx="10">
                  <c:v>0.216711429559658</c:v>
                </c:pt>
                <c:pt idx="11">
                  <c:v>0.112178090522866</c:v>
                </c:pt>
                <c:pt idx="12">
                  <c:v>5.30789917097763e-17</c:v>
                </c:pt>
                <c:pt idx="13">
                  <c:v>-0.112178090522866</c:v>
                </c:pt>
                <c:pt idx="14">
                  <c:v>-0.216711429559657</c:v>
                </c:pt>
                <c:pt idx="15">
                  <c:v>-0.306476242804529</c:v>
                </c:pt>
                <c:pt idx="16">
                  <c:v>-0.375355206578211</c:v>
                </c:pt>
                <c:pt idx="17">
                  <c:v>-0.418654333327395</c:v>
                </c:pt>
                <c:pt idx="18">
                  <c:v>-0.433422859119315</c:v>
                </c:pt>
                <c:pt idx="19">
                  <c:v>-0.418654333327395</c:v>
                </c:pt>
                <c:pt idx="20">
                  <c:v>-0.375355206578211</c:v>
                </c:pt>
                <c:pt idx="21">
                  <c:v>-0.306476242804529</c:v>
                </c:pt>
                <c:pt idx="22">
                  <c:v>-0.216711429559658</c:v>
                </c:pt>
                <c:pt idx="23">
                  <c:v>-0.112178090522866</c:v>
                </c:pt>
                <c:pt idx="24">
                  <c:v>-1.06157983419553e-16</c:v>
                </c:pt>
              </c:numCache>
            </c:numRef>
          </c:yVal>
          <c:smooth val="1"/>
        </c:ser>
        <c:ser>
          <c:idx val="1"/>
          <c:order val="1"/>
          <c:tx>
            <c:v>k-sphere z(Sᵢ, k)</c:v>
          </c:tx>
          <c:spPr>
            <a:ln w="22225" cap="rnd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Data'!$AC$209:$AC$233</c:f>
              <c:numCache>
                <c:formatCode>General</c:formatCode>
                <c:ptCount val="25"/>
                <c:pt idx="0">
                  <c:v>0.557593405509926</c:v>
                </c:pt>
                <c:pt idx="1">
                  <c:v>0.538593870950511</c:v>
                </c:pt>
                <c:pt idx="2">
                  <c:v>0.482890054154274</c:v>
                </c:pt>
                <c:pt idx="3">
                  <c:v>0.394278078180969</c:v>
                </c:pt>
                <c:pt idx="4">
                  <c:v>0.278796702754963</c:v>
                </c:pt>
                <c:pt idx="5">
                  <c:v>0.144315792769542</c:v>
                </c:pt>
                <c:pt idx="6">
                  <c:v>3.41427489641701e-17</c:v>
                </c:pt>
                <c:pt idx="7">
                  <c:v>-0.144315792769542</c:v>
                </c:pt>
                <c:pt idx="8">
                  <c:v>-0.278796702754963</c:v>
                </c:pt>
                <c:pt idx="9">
                  <c:v>-0.394278078180969</c:v>
                </c:pt>
                <c:pt idx="10">
                  <c:v>-0.482890054154274</c:v>
                </c:pt>
                <c:pt idx="11">
                  <c:v>-0.538593870950511</c:v>
                </c:pt>
                <c:pt idx="12">
                  <c:v>-0.557593405509926</c:v>
                </c:pt>
                <c:pt idx="13">
                  <c:v>-0.538593870950511</c:v>
                </c:pt>
                <c:pt idx="14">
                  <c:v>-0.482890054154274</c:v>
                </c:pt>
                <c:pt idx="15">
                  <c:v>-0.394278078180969</c:v>
                </c:pt>
                <c:pt idx="16">
                  <c:v>-0.278796702754963</c:v>
                </c:pt>
                <c:pt idx="17">
                  <c:v>-0.144315792769542</c:v>
                </c:pt>
                <c:pt idx="18">
                  <c:v>-1.0242824689251e-16</c:v>
                </c:pt>
                <c:pt idx="19">
                  <c:v>0.144315792769541</c:v>
                </c:pt>
                <c:pt idx="20">
                  <c:v>0.278796702754963</c:v>
                </c:pt>
                <c:pt idx="21">
                  <c:v>0.394278078180969</c:v>
                </c:pt>
                <c:pt idx="22">
                  <c:v>0.482890054154274</c:v>
                </c:pt>
                <c:pt idx="23">
                  <c:v>0.538593870950511</c:v>
                </c:pt>
                <c:pt idx="24">
                  <c:v>0.557593405509926</c:v>
                </c:pt>
              </c:numCache>
            </c:numRef>
          </c:xVal>
          <c:yVal>
            <c:numRef>
              <c:f>'Hypersphere Data'!$AD$209:$AD$233</c:f>
              <c:numCache>
                <c:formatCode>General</c:formatCode>
                <c:ptCount val="25"/>
                <c:pt idx="0">
                  <c:v>0.0</c:v>
                </c:pt>
                <c:pt idx="1">
                  <c:v>0.144315792769542</c:v>
                </c:pt>
                <c:pt idx="2">
                  <c:v>0.278796702754963</c:v>
                </c:pt>
                <c:pt idx="3">
                  <c:v>0.394278078180969</c:v>
                </c:pt>
                <c:pt idx="4">
                  <c:v>0.482890054154274</c:v>
                </c:pt>
                <c:pt idx="5">
                  <c:v>0.538593870950511</c:v>
                </c:pt>
                <c:pt idx="6">
                  <c:v>0.557593405509926</c:v>
                </c:pt>
                <c:pt idx="7">
                  <c:v>0.538593870950511</c:v>
                </c:pt>
                <c:pt idx="8">
                  <c:v>0.482890054154274</c:v>
                </c:pt>
                <c:pt idx="9">
                  <c:v>0.394278078180969</c:v>
                </c:pt>
                <c:pt idx="10">
                  <c:v>0.278796702754963</c:v>
                </c:pt>
                <c:pt idx="11">
                  <c:v>0.144315792769542</c:v>
                </c:pt>
                <c:pt idx="12">
                  <c:v>6.82854979283403e-17</c:v>
                </c:pt>
                <c:pt idx="13">
                  <c:v>-0.144315792769542</c:v>
                </c:pt>
                <c:pt idx="14">
                  <c:v>-0.278796702754963</c:v>
                </c:pt>
                <c:pt idx="15">
                  <c:v>-0.394278078180969</c:v>
                </c:pt>
                <c:pt idx="16">
                  <c:v>-0.482890054154274</c:v>
                </c:pt>
                <c:pt idx="17">
                  <c:v>-0.538593870950511</c:v>
                </c:pt>
                <c:pt idx="18">
                  <c:v>-0.557593405509926</c:v>
                </c:pt>
                <c:pt idx="19">
                  <c:v>-0.538593870950511</c:v>
                </c:pt>
                <c:pt idx="20">
                  <c:v>-0.482890054154274</c:v>
                </c:pt>
                <c:pt idx="21">
                  <c:v>-0.394278078180969</c:v>
                </c:pt>
                <c:pt idx="22">
                  <c:v>-0.278796702754963</c:v>
                </c:pt>
                <c:pt idx="23">
                  <c:v>-0.144315792769542</c:v>
                </c:pt>
                <c:pt idx="24">
                  <c:v>-1.36570995856681e-16</c:v>
                </c:pt>
              </c:numCache>
            </c:numRef>
          </c:yVal>
          <c:smooth val="1"/>
        </c:ser>
        <c:ser>
          <c:idx val="2"/>
          <c:order val="2"/>
          <c:tx>
            <c:v>K1 · not counted</c:v>
          </c:tx>
          <c:spPr>
            <a:ln w="19050">
              <a:noFill/>
            </a:ln>
          </c:spPr>
          <c:marker>
            <c:symbol val="circle"/>
            <c:size val="8"/>
            <c:spPr>
              <a:solidFill>
                <a:srgbClr val="A9C4EB"/>
              </a:solidFill>
              <a:ln w="12700">
                <a:solidFill>
                  <a:srgbClr val="2F5597"/>
                </a:solidFill>
              </a:ln>
            </c:spPr>
          </c:marker>
          <c:xVal>
            <c:numRef>
              <c:f>'Hypersphere Data'!$K$209:$K$215</c:f>
              <c:numCache>
                <c:formatCode>General</c:formatCode>
                <c:ptCount val="7"/>
                <c:pt idx="5">
                  <c:v>0.482890054154274</c:v>
                </c:pt>
              </c:numCache>
            </c:numRef>
          </c:xVal>
          <c:yVal>
            <c:numRef>
              <c:f>'Hypersphere Data'!$L$209:$L$215</c:f>
              <c:numCache>
                <c:formatCode>General</c:formatCode>
                <c:ptCount val="7"/>
                <c:pt idx="5">
                  <c:v>-0.278796702754963</c:v>
                </c:pt>
              </c:numCache>
            </c:numRef>
          </c:yVal>
          <c:smooth val="0"/>
        </c:ser>
        <c:ser>
          <c:idx val="3"/>
          <c:order val="3"/>
          <c:tx>
            <c:v>K2 · not counted</c:v>
          </c:tx>
          <c:spPr>
            <a:ln w="19050">
              <a:noFill/>
            </a:ln>
          </c:spPr>
          <c:marker>
            <c:symbol val="triangle"/>
            <c:size val="9"/>
            <c:spPr>
              <a:solidFill>
                <a:srgbClr val="F2A7A7"/>
              </a:solidFill>
              <a:ln w="12700">
                <a:solidFill>
                  <a:srgbClr val="C00000"/>
                </a:solidFill>
              </a:ln>
            </c:spPr>
          </c:marker>
          <c:xVal>
            <c:numRef>
              <c:f>'Hypersphere Data'!$O$209:$O$215</c:f>
              <c:numCache>
                <c:formatCode>General</c:formatCode>
                <c:ptCount val="7"/>
                <c:pt idx="0">
                  <c:v>3.99675010589605e-17</c:v>
                </c:pt>
                <c:pt idx="1">
                  <c:v>-0.747219910307207</c:v>
                </c:pt>
                <c:pt idx="3">
                  <c:v>0.375355206578211</c:v>
                </c:pt>
                <c:pt idx="4">
                  <c:v>-0.682543555851964</c:v>
                </c:pt>
              </c:numCache>
            </c:numRef>
          </c:xVal>
          <c:yVal>
            <c:numRef>
              <c:f>'Hypersphere Data'!$P$209:$P$215</c:f>
              <c:numCache>
                <c:formatCode>General</c:formatCode>
                <c:ptCount val="7"/>
                <c:pt idx="0">
                  <c:v>-0.652718826142974</c:v>
                </c:pt>
                <c:pt idx="1">
                  <c:v>0.431407616359713</c:v>
                </c:pt>
                <c:pt idx="3">
                  <c:v>0.216711429559658</c:v>
                </c:pt>
                <c:pt idx="4">
                  <c:v>-0.394066705704776</c:v>
                </c:pt>
              </c:numCache>
            </c:numRef>
          </c:yVal>
          <c:smooth val="0"/>
        </c:ser>
        <c:ser>
          <c:idx val="4"/>
          <c:order val="4"/>
          <c:tx>
            <c:v>K1 · inside the enemy sphere (counted in g)</c:v>
          </c:tx>
          <c:spPr>
            <a:ln w="19050">
              <a:noFill/>
            </a:ln>
          </c:spPr>
          <c:marker>
            <c:symbol val="circle"/>
            <c:size val="8"/>
            <c:spPr>
              <a:solidFill>
                <a:srgbClr val="2F5597"/>
              </a:solidFill>
              <a:ln w="19050">
                <a:solidFill>
                  <a:srgbClr val="2F5597"/>
                </a:solidFill>
              </a:ln>
            </c:spPr>
          </c:marker>
          <c:xVal>
            <c:numRef>
              <c:f>'Hypersphere Data'!$I$209:$I$215</c:f>
              <c:numCache>
                <c:formatCode>General</c:formatCode>
                <c:ptCount val="7"/>
                <c:pt idx="2">
                  <c:v>1.8898541386124e-17</c:v>
                </c:pt>
              </c:numCache>
            </c:numRef>
          </c:xVal>
          <c:yVal>
            <c:numRef>
              <c:f>'Hypersphere Data'!$J$209:$J$215</c:f>
              <c:numCache>
                <c:formatCode>General</c:formatCode>
                <c:ptCount val="7"/>
                <c:pt idx="2">
                  <c:v>0.308636602803059</c:v>
                </c:pt>
              </c:numCache>
            </c:numRef>
          </c:yVal>
          <c:smooth val="0"/>
        </c:ser>
        <c:ser>
          <c:idx val="5"/>
          <c:order val="5"/>
          <c:tx>
            <c:v>K2 · inside the enemy sphere (counted in g)</c:v>
          </c:tx>
          <c:spPr>
            <a:ln w="19050">
              <a:noFill/>
            </a:ln>
          </c:spPr>
          <c:marker>
            <c:symbol val="triangle"/>
            <c:size val="9"/>
            <c:spPr>
              <a:solidFill>
                <a:srgbClr val="C00000"/>
              </a:solidFill>
              <a:ln w="19050">
                <a:solidFill>
                  <a:srgbClr val="C00000"/>
                </a:solidFill>
              </a:ln>
            </c:spPr>
          </c:marker>
          <c:xVal>
            <c:numRef>
              <c:f>'Hypersphere Data'!$M$209:$M$215</c:f>
              <c:numCache>
                <c:formatCode>General</c:formatCode>
                <c:ptCount val="7"/>
              </c:numCache>
            </c:numRef>
          </c:xVal>
          <c:yVal>
            <c:numRef>
              <c:f>'Hypersphere Data'!$N$209:$N$215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6"/>
          <c:order val="6"/>
          <c:tx>
            <c:v>centre Sᵢ (K1)</c:v>
          </c:tx>
          <c:spPr>
            <a:ln w="19050">
              <a:noFill/>
            </a:ln>
          </c:spPr>
          <c:marker>
            <c:symbol val="circle"/>
            <c:size val="13"/>
            <c:spPr>
              <a:solidFill>
                <a:srgbClr val="2F5597"/>
              </a:solidFill>
              <a:ln w="25400">
                <a:solidFill>
                  <a:srgbClr val="000000"/>
                </a:solidFill>
              </a:ln>
            </c:spPr>
          </c:marker>
          <c:xVal>
            <c:numRef>
              <c:f>'Hypersphere Data'!$Q$209:$Q$215</c:f>
              <c:numCache>
                <c:formatCode>General</c:formatCode>
                <c:ptCount val="7"/>
                <c:pt idx="6">
                  <c:v>0.0</c:v>
                </c:pt>
              </c:numCache>
            </c:numRef>
          </c:xVal>
          <c:yVal>
            <c:numRef>
              <c:f>'Hypersphere Data'!$R$209:$R$215</c:f>
              <c:numCache>
                <c:formatCode>General</c:formatCode>
                <c:ptCount val="7"/>
                <c:pt idx="6">
                  <c:v>0.0</c:v>
                </c:pt>
              </c:numCache>
            </c:numRef>
          </c:yVal>
          <c:smooth val="0"/>
        </c:ser>
        <c:ser>
          <c:idx val="7"/>
          <c:order val="7"/>
          <c:tx>
            <c:v>centre Sᵢ (K2)</c:v>
          </c:tx>
          <c:spPr>
            <a:ln w="19050">
              <a:noFill/>
            </a:ln>
          </c:spPr>
          <c:marker>
            <c:symbol val="triangle"/>
            <c:size val="14"/>
            <c:spPr>
              <a:solidFill>
                <a:srgbClr val="C00000"/>
              </a:solidFill>
              <a:ln w="25400">
                <a:solidFill>
                  <a:srgbClr val="000000"/>
                </a:solidFill>
              </a:ln>
            </c:spPr>
          </c:marker>
          <c:xVal>
            <c:numRef>
              <c:f>'Hypersphere Data'!$S$209:$S$215</c:f>
              <c:numCache>
                <c:formatCode>General</c:formatCode>
                <c:ptCount val="7"/>
              </c:numCache>
            </c:numRef>
          </c:xVal>
          <c:yVal>
            <c:numRef>
              <c:f>'Hypersphere Data'!$T$209:$T$215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8"/>
          <c:order val="8"/>
          <c:tx>
            <c:strRef>
              <c:f>'Hypersphere Data'!$D$219</c:f>
              <c:strCache>
                <c:ptCount val="1"/>
                <c:pt idx="0">
                  <c:v>S₃  2.78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85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Data'!$E$219</c:f>
              <c:numCache>
                <c:formatCode>General</c:formatCode>
                <c:ptCount val="1"/>
                <c:pt idx="0">
                  <c:v>1.8898541386124e-17</c:v>
                </c:pt>
              </c:numCache>
            </c:numRef>
          </c:xVal>
          <c:yVal>
            <c:numRef>
              <c:f>'Hypersphere Data'!$F$219</c:f>
              <c:numCache>
                <c:formatCode>General</c:formatCode>
                <c:ptCount val="1"/>
                <c:pt idx="0">
                  <c:v>0.308636602803059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'Hypersphere Data'!$D$220</c:f>
              <c:strCache>
                <c:ptCount val="1"/>
                <c:pt idx="0">
                  <c:v>S₄  3.91 (r)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85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Data'!$E$220</c:f>
              <c:numCache>
                <c:formatCode>General</c:formatCode>
                <c:ptCount val="1"/>
                <c:pt idx="0">
                  <c:v>0.375355206578211</c:v>
                </c:pt>
              </c:numCache>
            </c:numRef>
          </c:xVal>
          <c:yVal>
            <c:numRef>
              <c:f>'Hypersphere Data'!$F$220</c:f>
              <c:numCache>
                <c:formatCode>General</c:formatCode>
                <c:ptCount val="1"/>
                <c:pt idx="0">
                  <c:v>0.216711429559658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'Hypersphere Data'!$D$221</c:f>
              <c:strCache>
                <c:ptCount val="1"/>
                <c:pt idx="0">
                  <c:v>S₆  5.03 (z)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85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Data'!$E$221</c:f>
              <c:numCache>
                <c:formatCode>General</c:formatCode>
                <c:ptCount val="1"/>
                <c:pt idx="0">
                  <c:v>0.482890054154274</c:v>
                </c:pt>
              </c:numCache>
            </c:numRef>
          </c:xVal>
          <c:yVal>
            <c:numRef>
              <c:f>'Hypersphere Data'!$F$221</c:f>
              <c:numCache>
                <c:formatCode>General</c:formatCode>
                <c:ptCount val="1"/>
                <c:pt idx="0">
                  <c:v>-0.278796702754963</c:v>
                </c:pt>
              </c:numCache>
            </c:numRef>
          </c:yVal>
          <c:smooth val="0"/>
        </c:ser>
        <c:ser>
          <c:idx val="11"/>
          <c:order val="11"/>
          <c:tx>
            <c:strRef>
              <c:f>'Hypersphere Data'!$D$222</c:f>
              <c:strCache>
                <c:ptCount val="1"/>
                <c:pt idx="0">
                  <c:v>S₁  5.89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85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Data'!$E$222</c:f>
              <c:numCache>
                <c:formatCode>General</c:formatCode>
                <c:ptCount val="1"/>
                <c:pt idx="0">
                  <c:v>3.99675010589605e-17</c:v>
                </c:pt>
              </c:numCache>
            </c:numRef>
          </c:xVal>
          <c:yVal>
            <c:numRef>
              <c:f>'Hypersphere Data'!$F$222</c:f>
              <c:numCache>
                <c:formatCode>General</c:formatCode>
                <c:ptCount val="1"/>
                <c:pt idx="0">
                  <c:v>-0.652718826142974</c:v>
                </c:pt>
              </c:numCache>
            </c:numRef>
          </c:yVal>
          <c:smooth val="0"/>
        </c:ser>
        <c:ser>
          <c:idx val="12"/>
          <c:order val="12"/>
          <c:tx>
            <c:strRef>
              <c:f>'Hypersphere Data'!$D$223</c:f>
              <c:strCache>
                <c:ptCount val="1"/>
                <c:pt idx="0">
                  <c:v>S₅  7.11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85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Data'!$E$223</c:f>
              <c:numCache>
                <c:formatCode>General</c:formatCode>
                <c:ptCount val="1"/>
                <c:pt idx="0">
                  <c:v>-0.682543555851964</c:v>
                </c:pt>
              </c:numCache>
            </c:numRef>
          </c:xVal>
          <c:yVal>
            <c:numRef>
              <c:f>'Hypersphere Data'!$F$223</c:f>
              <c:numCache>
                <c:formatCode>General</c:formatCode>
                <c:ptCount val="1"/>
                <c:pt idx="0">
                  <c:v>-0.394066705704776</c:v>
                </c:pt>
              </c:numCache>
            </c:numRef>
          </c:yVal>
          <c:smooth val="0"/>
        </c:ser>
        <c:ser>
          <c:idx val="13"/>
          <c:order val="13"/>
          <c:tx>
            <c:strRef>
              <c:f>'Hypersphere Data'!$D$224</c:f>
              <c:strCache>
                <c:ptCount val="1"/>
                <c:pt idx="0">
                  <c:v>S₂  7.79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85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Data'!$E$224</c:f>
              <c:numCache>
                <c:formatCode>General</c:formatCode>
                <c:ptCount val="1"/>
                <c:pt idx="0">
                  <c:v>-0.747219910307207</c:v>
                </c:pt>
              </c:numCache>
            </c:numRef>
          </c:xVal>
          <c:yVal>
            <c:numRef>
              <c:f>'Hypersphere Data'!$F$224</c:f>
              <c:numCache>
                <c:formatCode>General</c:formatCode>
                <c:ptCount val="1"/>
                <c:pt idx="0">
                  <c:v>0.431407616359713</c:v>
                </c:pt>
              </c:numCache>
            </c:numRef>
          </c:yVal>
          <c:smooth val="0"/>
        </c:ser>
        <c:ser>
          <c:idx val="14"/>
          <c:order val="14"/>
          <c:tx>
            <c:strRef>
              <c:f>'Hypersphere Data'!$D$225</c:f>
              <c:strCache>
                <c:ptCount val="1"/>
                <c:pt idx="0">
                  <c:v>S₇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850" b="1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Data'!$E$225</c:f>
              <c:numCache>
                <c:formatCode>General</c:formatCode>
                <c:ptCount val="1"/>
                <c:pt idx="0">
                  <c:v>0.0</c:v>
                </c:pt>
              </c:numCache>
            </c:numRef>
          </c:xVal>
          <c:yVal>
            <c:numRef>
              <c:f>'Hypersphere Data'!$F$225</c:f>
              <c:numCache>
                <c:formatCode>General</c:formatCode>
                <c:ptCount val="1"/>
                <c:pt idx="0">
                  <c:v>0.0</c:v>
                </c:pt>
              </c:numCache>
            </c:numRef>
          </c:yVal>
          <c:smooth val="0"/>
        </c:ser>
        <c:ser>
          <c:idx val="15"/>
          <c:order val="15"/>
          <c:tx>
            <c:strRef>
              <c:f>'Hypersphere Data'!$D$226</c:f>
              <c:strCache>
                <c:ptCount val="1"/>
                <c:pt idx="0">
                  <c:v>g = 2  ·  d = 0.125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1F3864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Data'!$E$226</c:f>
              <c:numCache>
                <c:formatCode>General</c:formatCode>
                <c:ptCount val="1"/>
                <c:pt idx="0">
                  <c:v>-1.2</c:v>
                </c:pt>
              </c:numCache>
            </c:numRef>
          </c:xVal>
          <c:yVal>
            <c:numRef>
              <c:f>'Hypersphere Data'!$F$226</c:f>
              <c:numCache>
                <c:formatCode>General</c:formatCode>
                <c:ptCount val="1"/>
                <c:pt idx="0">
                  <c:v>1.18</c:v>
                </c:pt>
              </c:numCache>
            </c:numRef>
          </c:yVal>
          <c:smooth val="0"/>
        </c:ser>
        <c:ser>
          <c:idx val="16"/>
          <c:order val="16"/>
          <c:tx>
            <c:strRef>
              <c:f>'Hypersphere Data'!$D$227</c:f>
              <c:strCache>
                <c:ptCount val="1"/>
                <c:pt idx="0">
                  <c:v>class 1  ·  queue 5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1F3864"/>
                    </a:solidFill>
                    <a:latin typeface="Calibri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Data'!$E$227</c:f>
              <c:numCache>
                <c:formatCode>General</c:formatCode>
                <c:ptCount val="1"/>
                <c:pt idx="0">
                  <c:v>1.2</c:v>
                </c:pt>
              </c:numCache>
            </c:numRef>
          </c:xVal>
          <c:yVal>
            <c:numRef>
              <c:f>'Hypersphere Data'!$F$227</c:f>
              <c:numCache>
                <c:formatCode>General</c:formatCode>
                <c:ptCount val="1"/>
                <c:pt idx="0">
                  <c:v>1.18</c:v>
                </c:pt>
              </c:numCache>
            </c:numRef>
          </c:yVal>
          <c:smooth val="0"/>
        </c:ser>
        <c:ser>
          <c:idx val="17"/>
          <c:order val="17"/>
          <c:tx>
            <c:strRef>
              <c:f>'Hypersphere Data'!$U$216</c:f>
              <c:strCache>
                <c:ptCount val="1"/>
                <c:pt idx="0">
                  <c:v>r = 3.91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50" b="1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Data'!$V$216</c:f>
              <c:numCache>
                <c:formatCode>General</c:formatCode>
                <c:ptCount val="1"/>
                <c:pt idx="0">
                  <c:v>0.433422859119315</c:v>
                </c:pt>
              </c:numCache>
            </c:numRef>
          </c:xVal>
          <c:yVal>
            <c:numRef>
              <c:f>'Hypersphere Data'!$W$216</c:f>
              <c:numCache>
                <c:formatCode>General</c:formatCode>
                <c:ptCount val="1"/>
                <c:pt idx="0">
                  <c:v>0.0</c:v>
                </c:pt>
              </c:numCache>
            </c:numRef>
          </c:yVal>
          <c:smooth val="0"/>
        </c:ser>
        <c:ser>
          <c:idx val="18"/>
          <c:order val="18"/>
          <c:tx>
            <c:strRef>
              <c:f>'Hypersphere Data'!$U$217</c:f>
              <c:strCache>
                <c:ptCount val="1"/>
                <c:pt idx="0">
                  <c:v>z = 5.03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50" b="1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Data'!$V$217</c:f>
              <c:numCache>
                <c:formatCode>General</c:formatCode>
                <c:ptCount val="1"/>
                <c:pt idx="0">
                  <c:v>-0.557593405509926</c:v>
                </c:pt>
              </c:numCache>
            </c:numRef>
          </c:xVal>
          <c:yVal>
            <c:numRef>
              <c:f>'Hypersphere Data'!$W$217</c:f>
              <c:numCache>
                <c:formatCode>General</c:formatCode>
                <c:ptCount val="1"/>
                <c:pt idx="0">
                  <c:v>0.0</c:v>
                </c:pt>
              </c:numCache>
            </c:numRef>
          </c:yVal>
          <c:smooth val="0"/>
        </c:ser>
        <c:axId val="9101"/>
        <c:axId val="9102"/>
      </c:scatterChart>
      <c:valAx>
        <c:axId val="9101"/>
        <c:scaling>
          <c:orientation val="minMax"/>
          <c:max val="1.24"/>
          <c:min val="-1.24"/>
        </c:scaling>
        <c:delete val="1"/>
        <c:axPos val="b"/>
        <c:numFmt formatCode="General" sourceLinked="0"/>
        <c:majorTickMark val="none"/>
        <c:minorTickMark val="none"/>
        <c:tickLblPos val="none"/>
        <c:crossAx val="9102"/>
        <c:crosses val="autoZero"/>
        <c:crossBetween val="midCat"/>
      </c:valAx>
      <c:valAx>
        <c:axId val="9102"/>
        <c:scaling>
          <c:orientation val="minMax"/>
          <c:max val="1.24"/>
          <c:min val="-1.24"/>
        </c:scaling>
        <c:delete val="1"/>
        <c:axPos val="l"/>
        <c:numFmt formatCode="General" sourceLinked="0"/>
        <c:majorTickMark val="none"/>
        <c:minorTickMark val="none"/>
        <c:tickLblPos val="none"/>
        <c:crossAx val="9101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/>
          <a:lstStyle/>
          <a:p>
            <a:pPr>
              <a:defRPr sz="1200" b="1">
                <a:solidFill>
                  <a:srgbClr val="1F3864"/>
                </a:solidFill>
                <a:latin typeface="Calibri"/>
              </a:defRPr>
            </a:pPr>
            <a:r>
              <a:rPr lang="en-US" sz="1200" b="1">
                <a:solidFill>
                  <a:srgbClr val="1F3864"/>
                </a:solidFill>
                <a:latin typeface="Calibri"/>
              </a:rPr>
              <a:t>Step 2 queue as a spiral — d(Sᵢ) in queue order, clockwise from the top (centre = processed first)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v>d(Sᵢ)</c:v>
          </c:tx>
          <c:spPr>
            <a:ln w="28575" cap="rnd">
              <a:solidFill>
                <a:srgbClr val="C55A11"/>
              </a:solidFill>
              <a:round/>
            </a:ln>
          </c:spPr>
          <c:marker>
            <c:symbol val="circle"/>
            <c:size val="8"/>
            <c:spPr>
              <a:solidFill>
                <a:srgbClr val="C55A11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'Priority Queue'!$B$5:$B$11</c:f>
              <c:strCache>
                <c:ptCount val="7"/>
                <c:pt idx="0">
                  <c:v>S₁</c:v>
                </c:pt>
                <c:pt idx="1">
                  <c:v>S₃</c:v>
                </c:pt>
                <c:pt idx="2">
                  <c:v>S₅</c:v>
                </c:pt>
                <c:pt idx="3">
                  <c:v>S₂</c:v>
                </c:pt>
                <c:pt idx="4">
                  <c:v>S₇</c:v>
                </c:pt>
                <c:pt idx="5">
                  <c:v>S₆</c:v>
                </c:pt>
                <c:pt idx="6">
                  <c:v>S₄</c:v>
                </c:pt>
              </c:strCache>
            </c:strRef>
          </c:cat>
          <c:val>
            <c:numRef>
              <c:f>'Priority Queue'!$E$5:$E$11</c:f>
              <c:numCache>
                <c:formatCode>General</c:formatCod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0.0795428388</c:v>
                </c:pt>
                <c:pt idx="4">
                  <c:v>0.1252961741</c:v>
                </c:pt>
                <c:pt idx="5">
                  <c:v>0.1692169896</c:v>
                </c:pt>
                <c:pt idx="6">
                  <c:v>0.2529498997</c:v>
                </c:pt>
              </c:numCache>
            </c:numRef>
          </c:val>
        </c:ser>
        <c:axId val="8001"/>
        <c:axId val="8002"/>
      </c:radarChart>
      <c:catAx>
        <c:axId val="8001"/>
        <c:scaling>
          <c:orientation val="minMax"/>
        </c:scaling>
        <c:delete val="0"/>
        <c:axPos val="b"/>
        <c:majorGridlines>
          <c:spPr>
            <a:ln w="6350">
              <a:solidFill>
                <a:srgbClr val="D9D9D9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50" b="1">
                <a:solidFill>
                  <a:srgbClr val="262626"/>
                </a:solidFill>
                <a:latin typeface="Calibri"/>
              </a:defRPr>
            </a:pPr>
            <a:endParaRPr lang="en-US"/>
          </a:p>
        </c:txPr>
        <c:crossAx val="8002"/>
        <c:crosses val="autoZero"/>
        <c:auto val="1"/>
        <c:lblAlgn val="ctr"/>
        <c:lblOffset val="100"/>
        <c:noMultiLvlLbl val="0"/>
      </c:catAx>
      <c:valAx>
        <c:axId val="8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numFmt formatCode="0.00" sourceLinked="0"/>
        <c:majorTickMark val="cross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900" b="0">
                <a:solidFill>
                  <a:srgbClr val="7F7F7F"/>
                </a:solidFill>
                <a:latin typeface="Calibri"/>
              </a:defRPr>
            </a:pPr>
            <a:endParaRPr lang="en-US"/>
          </a:p>
        </c:txPr>
        <c:crossAx val="8001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strRef>
          <c:f>'ERDR Iterations'!$A$5</c:f>
          <c:strCache>
            <c:ptCount val="1"/>
            <c:pt idx="0">
              <c:v>Iteration 1  ·  Step 3 selects S₁  ·  L = {S₁, S₂, S₅}  ·  |L| &gt; 1 → Step 5 corrects g</c:v>
            </c:pt>
          </c:strCache>
        </c:strRef>
      </c:tx>
      <c:overlay val="0"/>
      <c:txPr>
        <a:bodyPr/>
        <a:lstStyle/>
        <a:p>
          <a:pPr>
            <a:defRPr sz="1000" b="1">
              <a:solidFill>
                <a:srgbClr val="1F3864"/>
              </a:solidFill>
              <a:latin typeface="Calibri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v>r(Sⱼ) — enemy radius of Sⱼ</c:v>
          </c:tx>
          <c:spPr>
            <a:ln w="28575" cap="rnd">
              <a:solidFill>
                <a:srgbClr val="2F5597"/>
              </a:solidFill>
              <a:round/>
            </a:ln>
          </c:spPr>
          <c:marker>
            <c:symbol val="circle"/>
            <c:size val="8"/>
            <c:spPr>
              <a:solidFill>
                <a:srgbClr val="2F5597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Iterations'!$B$6:$H$6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Iterations'!$B$16:$H$16</c:f>
              <c:numCache>
                <c:formatCode>General</c:formatCode>
                <c:ptCount val="7"/>
                <c:pt idx="0">
                  <c:v>5.60708061</c:v>
                </c:pt>
                <c:pt idx="1">
                  <c:v>7.4699698919</c:v>
                </c:pt>
                <c:pt idx="2">
                  <c:v>5.60708061</c:v>
                </c:pt>
                <c:pt idx="3">
                  <c:v>3.7071187508</c:v>
                </c:pt>
                <c:pt idx="4">
                  <c:v>7.1117040273</c:v>
                </c:pt>
                <c:pt idx="5">
                  <c:v>3.7071187508</c:v>
                </c:pt>
                <c:pt idx="6">
                  <c:v>3.9109813746</c:v>
                </c:pt>
              </c:numCache>
            </c:numRef>
          </c:val>
        </c:ser>
        <c:ser>
          <c:idx val="1"/>
          <c:order val="1"/>
          <c:tx>
            <c:v>ρ(Sⱼ, Sᵢ) — distance from Sⱼ to the selected Sᵢ</c:v>
          </c:tx>
          <c:spPr>
            <a:ln w="28575" cap="rnd">
              <a:solidFill>
                <a:srgbClr val="C55A11"/>
              </a:solidFill>
              <a:prstDash val="dash"/>
              <a:round/>
            </a:ln>
          </c:spPr>
          <c:marker>
            <c:symbol val="diamond"/>
            <c:size val="8"/>
            <c:spPr>
              <a:solidFill>
                <a:srgbClr val="C55A11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Iterations'!$B$6:$H$6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Iterations'!$B$15:$H$15</c:f>
              <c:numCache>
                <c:formatCode>General</c:formatCode>
                <c:ptCount val="7"/>
                <c:pt idx="0">
                  <c:v>0.0</c:v>
                </c:pt>
                <c:pt idx="1">
                  <c:v>4.6606100796</c:v>
                </c:pt>
                <c:pt idx="2">
                  <c:v>5.60708061</c:v>
                </c:pt>
                <c:pt idx="3">
                  <c:v>6.6272117335</c:v>
                </c:pt>
                <c:pt idx="4">
                  <c:v>4.8565209225</c:v>
                </c:pt>
                <c:pt idx="5">
                  <c:v>6.8015669516</c:v>
                </c:pt>
                <c:pt idx="6">
                  <c:v>5.8897935773</c:v>
                </c:pt>
              </c:numCache>
            </c:numRef>
          </c:val>
        </c:ser>
        <c:axId val="8001"/>
        <c:axId val="8002"/>
      </c:radarChart>
      <c:catAx>
        <c:axId val="8001"/>
        <c:scaling>
          <c:orientation val="minMax"/>
        </c:scaling>
        <c:delete val="0"/>
        <c:axPos val="b"/>
        <c:majorGridlines>
          <c:spPr>
            <a:ln w="6350">
              <a:solidFill>
                <a:srgbClr val="D9D9D9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50" b="1">
                <a:solidFill>
                  <a:srgbClr val="262626"/>
                </a:solidFill>
                <a:latin typeface="Calibri"/>
              </a:defRPr>
            </a:pPr>
            <a:endParaRPr lang="en-US"/>
          </a:p>
        </c:txPr>
        <c:crossAx val="8002"/>
        <c:crosses val="autoZero"/>
        <c:auto val="1"/>
        <c:lblAlgn val="ctr"/>
        <c:lblOffset val="100"/>
        <c:noMultiLvlLbl val="0"/>
      </c:catAx>
      <c:valAx>
        <c:axId val="8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numFmt formatCode="0" sourceLinked="0"/>
        <c:majorTickMark val="cross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900" b="0">
                <a:solidFill>
                  <a:srgbClr val="7F7F7F"/>
                </a:solidFill>
                <a:latin typeface="Calibri"/>
              </a:defRPr>
            </a:pPr>
            <a:endParaRPr lang="en-US"/>
          </a:p>
        </c:txPr>
        <c:crossAx val="8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000" b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/>
          <a:lstStyle/>
          <a:p>
            <a:pPr>
              <a:defRPr sz="1200" b="1">
                <a:solidFill>
                  <a:srgbClr val="1F3864"/>
                </a:solidFill>
                <a:latin typeface="Calibri"/>
              </a:defRPr>
            </a:pPr>
            <a:r>
              <a:rPr lang="en-US" sz="1200" b="1">
                <a:solidFill>
                  <a:srgbClr val="1F3864"/>
                </a:solidFill>
                <a:latin typeface="Calibri"/>
              </a:rPr>
              <a:t>Iteration 1 · Step 5 — counters g(Sⱼ) before and after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v>g before the iteration</c:v>
          </c:tx>
          <c:spPr>
            <a:ln w="28575" cap="rnd">
              <a:solidFill>
                <a:srgbClr val="70AD47"/>
              </a:solidFill>
              <a:prstDash val="dash"/>
              <a:round/>
            </a:ln>
          </c:spPr>
          <c:marker>
            <c:symbol val="circle"/>
            <c:size val="8"/>
            <c:spPr>
              <a:solidFill>
                <a:srgbClr val="70AD47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Iterations'!$B$6:$H$6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Iterations'!$B$10:$H$10</c:f>
              <c:numCache>
                <c:formatCode>General</c:formatCode>
                <c:ptCount val="7"/>
                <c:pt idx="0">
                  <c:v>3.0</c:v>
                </c:pt>
                <c:pt idx="1">
                  <c:v>4.0</c:v>
                </c:pt>
                <c:pt idx="2">
                  <c:v>3.0</c:v>
                </c:pt>
                <c:pt idx="3">
                  <c:v>1.0</c:v>
                </c:pt>
                <c:pt idx="4">
                  <c:v>3.0</c:v>
                </c:pt>
                <c:pt idx="5">
                  <c:v>1.0</c:v>
                </c:pt>
                <c:pt idx="6">
                  <c:v>2.0</c:v>
                </c:pt>
              </c:numCache>
            </c:numRef>
          </c:val>
        </c:ser>
        <c:ser>
          <c:idx val="1"/>
          <c:order val="1"/>
          <c:tx>
            <c:v>g after the iteration</c:v>
          </c:tx>
          <c:spPr>
            <a:ln w="28575" cap="rnd">
              <a:solidFill>
                <a:srgbClr val="375623"/>
              </a:solidFill>
              <a:round/>
            </a:ln>
          </c:spPr>
          <c:marker>
            <c:symbol val="square"/>
            <c:size val="8"/>
            <c:spPr>
              <a:solidFill>
                <a:srgbClr val="375623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Iterations'!$B$6:$H$6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Iterations'!$B$23:$H$23</c:f>
              <c:numCache>
                <c:formatCode>General</c:formatCode>
                <c:ptCount val="7"/>
                <c:pt idx="0">
                  <c:v>2.0</c:v>
                </c:pt>
                <c:pt idx="1">
                  <c:v>3.0</c:v>
                </c:pt>
                <c:pt idx="2">
                  <c:v>3.0</c:v>
                </c:pt>
                <c:pt idx="3">
                  <c:v>1.0</c:v>
                </c:pt>
                <c:pt idx="4">
                  <c:v>2.0</c:v>
                </c:pt>
                <c:pt idx="5">
                  <c:v>1.0</c:v>
                </c:pt>
                <c:pt idx="6">
                  <c:v>2.0</c:v>
                </c:pt>
              </c:numCache>
            </c:numRef>
          </c:val>
        </c:ser>
        <c:axId val="8001"/>
        <c:axId val="8002"/>
      </c:radarChart>
      <c:catAx>
        <c:axId val="8001"/>
        <c:scaling>
          <c:orientation val="minMax"/>
        </c:scaling>
        <c:delete val="0"/>
        <c:axPos val="b"/>
        <c:majorGridlines>
          <c:spPr>
            <a:ln w="6350">
              <a:solidFill>
                <a:srgbClr val="D9D9D9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50" b="1">
                <a:solidFill>
                  <a:srgbClr val="262626"/>
                </a:solidFill>
                <a:latin typeface="Calibri"/>
              </a:defRPr>
            </a:pPr>
            <a:endParaRPr lang="en-US"/>
          </a:p>
        </c:txPr>
        <c:crossAx val="8002"/>
        <c:crosses val="autoZero"/>
        <c:auto val="1"/>
        <c:lblAlgn val="ctr"/>
        <c:lblOffset val="100"/>
        <c:noMultiLvlLbl val="0"/>
      </c:catAx>
      <c:valAx>
        <c:axId val="8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numFmt formatCode="0" sourceLinked="0"/>
        <c:majorTickMark val="cross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900" b="0">
                <a:solidFill>
                  <a:srgbClr val="7F7F7F"/>
                </a:solidFill>
                <a:latin typeface="Calibri"/>
              </a:defRPr>
            </a:pPr>
            <a:endParaRPr lang="en-US"/>
          </a:p>
        </c:txPr>
        <c:crossAx val="8001"/>
        <c:crosses val="autoZero"/>
        <c:crossBetween val="between"/>
        <c:majorUnit val="1"/>
      </c:valAx>
    </c:plotArea>
    <c:legend>
      <c:legendPos val="b"/>
      <c:overlay val="0"/>
      <c:txPr>
        <a:bodyPr/>
        <a:lstStyle/>
        <a:p>
          <a:pPr>
            <a:defRPr sz="1000" b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strRef>
          <c:f>'ERDR Iterations'!$A$31</c:f>
          <c:strCache>
            <c:ptCount val="1"/>
            <c:pt idx="0">
              <c:v>Iteration 2  ·  Step 3 selects S₃  ·  L = {S₃, S₇}  ·  |L| &gt; 1 → Step 5 corrects g</c:v>
            </c:pt>
          </c:strCache>
        </c:strRef>
      </c:tx>
      <c:overlay val="0"/>
      <c:txPr>
        <a:bodyPr/>
        <a:lstStyle/>
        <a:p>
          <a:pPr>
            <a:defRPr sz="1000" b="1">
              <a:solidFill>
                <a:srgbClr val="1F3864"/>
              </a:solidFill>
              <a:latin typeface="Calibri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v>r(Sⱼ) — enemy radius of Sⱼ</c:v>
          </c:tx>
          <c:spPr>
            <a:ln w="28575" cap="rnd">
              <a:solidFill>
                <a:srgbClr val="2F5597"/>
              </a:solidFill>
              <a:round/>
            </a:ln>
          </c:spPr>
          <c:marker>
            <c:symbol val="circle"/>
            <c:size val="8"/>
            <c:spPr>
              <a:solidFill>
                <a:srgbClr val="2F5597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Iterations'!$B$32:$H$32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Iterations'!$B$42:$H$42</c:f>
              <c:numCache>
                <c:formatCode>General</c:formatCode>
                <c:ptCount val="7"/>
                <c:pt idx="0">
                  <c:v>5.60708061</c:v>
                </c:pt>
                <c:pt idx="1">
                  <c:v>7.4699698919</c:v>
                </c:pt>
                <c:pt idx="2">
                  <c:v>5.60708061</c:v>
                </c:pt>
                <c:pt idx="3">
                  <c:v>3.7071187508</c:v>
                </c:pt>
                <c:pt idx="4">
                  <c:v>7.1117040273</c:v>
                </c:pt>
                <c:pt idx="5">
                  <c:v>3.7071187508</c:v>
                </c:pt>
                <c:pt idx="6">
                  <c:v>3.9109813746</c:v>
                </c:pt>
              </c:numCache>
            </c:numRef>
          </c:val>
        </c:ser>
        <c:ser>
          <c:idx val="1"/>
          <c:order val="1"/>
          <c:tx>
            <c:v>ρ(Sⱼ, Sᵢ) — distance from Sⱼ to the selected Sᵢ</c:v>
          </c:tx>
          <c:spPr>
            <a:ln w="28575" cap="rnd">
              <a:solidFill>
                <a:srgbClr val="C55A11"/>
              </a:solidFill>
              <a:prstDash val="dash"/>
              <a:round/>
            </a:ln>
          </c:spPr>
          <c:marker>
            <c:symbol val="diamond"/>
            <c:size val="8"/>
            <c:spPr>
              <a:solidFill>
                <a:srgbClr val="C55A11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Iterations'!$B$32:$H$32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Iterations'!$B$41:$H$41</c:f>
              <c:numCache>
                <c:formatCode>General</c:formatCode>
                <c:ptCount val="7"/>
                <c:pt idx="0">
                  <c:v>5.60708061</c:v>
                </c:pt>
                <c:pt idx="1">
                  <c:v>7.4699698919</c:v>
                </c:pt>
                <c:pt idx="2">
                  <c:v>0.0</c:v>
                </c:pt>
                <c:pt idx="3">
                  <c:v>6.2175670209</c:v>
                </c:pt>
                <c:pt idx="4">
                  <c:v>7.3117496807</c:v>
                </c:pt>
                <c:pt idx="5">
                  <c:v>5.2172783643</c:v>
                </c:pt>
                <c:pt idx="6">
                  <c:v>2.7849754107</c:v>
                </c:pt>
              </c:numCache>
            </c:numRef>
          </c:val>
        </c:ser>
        <c:axId val="8001"/>
        <c:axId val="8002"/>
      </c:radarChart>
      <c:catAx>
        <c:axId val="8001"/>
        <c:scaling>
          <c:orientation val="minMax"/>
        </c:scaling>
        <c:delete val="0"/>
        <c:axPos val="b"/>
        <c:majorGridlines>
          <c:spPr>
            <a:ln w="6350">
              <a:solidFill>
                <a:srgbClr val="D9D9D9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50" b="1">
                <a:solidFill>
                  <a:srgbClr val="262626"/>
                </a:solidFill>
                <a:latin typeface="Calibri"/>
              </a:defRPr>
            </a:pPr>
            <a:endParaRPr lang="en-US"/>
          </a:p>
        </c:txPr>
        <c:crossAx val="8002"/>
        <c:crosses val="autoZero"/>
        <c:auto val="1"/>
        <c:lblAlgn val="ctr"/>
        <c:lblOffset val="100"/>
        <c:noMultiLvlLbl val="0"/>
      </c:catAx>
      <c:valAx>
        <c:axId val="8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numFmt formatCode="0" sourceLinked="0"/>
        <c:majorTickMark val="cross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900" b="0">
                <a:solidFill>
                  <a:srgbClr val="7F7F7F"/>
                </a:solidFill>
                <a:latin typeface="Calibri"/>
              </a:defRPr>
            </a:pPr>
            <a:endParaRPr lang="en-US"/>
          </a:p>
        </c:txPr>
        <c:crossAx val="8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000" b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/>
          <a:lstStyle/>
          <a:p>
            <a:pPr>
              <a:defRPr sz="1200" b="1">
                <a:solidFill>
                  <a:srgbClr val="1F3864"/>
                </a:solidFill>
                <a:latin typeface="Calibri"/>
              </a:defRPr>
            </a:pPr>
            <a:r>
              <a:rPr lang="en-US" sz="1200" b="1">
                <a:solidFill>
                  <a:srgbClr val="1F3864"/>
                </a:solidFill>
                <a:latin typeface="Calibri"/>
              </a:rPr>
              <a:t>Iteration 2 · Step 5 — counters g(Sⱼ) before and after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v>g before the iteration</c:v>
          </c:tx>
          <c:spPr>
            <a:ln w="28575" cap="rnd">
              <a:solidFill>
                <a:srgbClr val="70AD47"/>
              </a:solidFill>
              <a:prstDash val="dash"/>
              <a:round/>
            </a:ln>
          </c:spPr>
          <c:marker>
            <c:symbol val="circle"/>
            <c:size val="8"/>
            <c:spPr>
              <a:solidFill>
                <a:srgbClr val="70AD47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Iterations'!$B$32:$H$32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Iterations'!$B$36:$H$36</c:f>
              <c:numCache>
                <c:formatCode>General</c:formatCode>
                <c:ptCount val="7"/>
                <c:pt idx="0">
                  <c:v>2.0</c:v>
                </c:pt>
                <c:pt idx="1">
                  <c:v>3.0</c:v>
                </c:pt>
                <c:pt idx="2">
                  <c:v>3.0</c:v>
                </c:pt>
                <c:pt idx="3">
                  <c:v>1.0</c:v>
                </c:pt>
                <c:pt idx="4">
                  <c:v>2.0</c:v>
                </c:pt>
                <c:pt idx="5">
                  <c:v>1.0</c:v>
                </c:pt>
                <c:pt idx="6">
                  <c:v>2.0</c:v>
                </c:pt>
              </c:numCache>
            </c:numRef>
          </c:val>
        </c:ser>
        <c:ser>
          <c:idx val="1"/>
          <c:order val="1"/>
          <c:tx>
            <c:v>g after the iteration</c:v>
          </c:tx>
          <c:spPr>
            <a:ln w="28575" cap="rnd">
              <a:solidFill>
                <a:srgbClr val="375623"/>
              </a:solidFill>
              <a:round/>
            </a:ln>
          </c:spPr>
          <c:marker>
            <c:symbol val="square"/>
            <c:size val="8"/>
            <c:spPr>
              <a:solidFill>
                <a:srgbClr val="375623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Iterations'!$B$32:$H$32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Iterations'!$B$49:$H$49</c:f>
              <c:numCache>
                <c:formatCode>General</c:formatCode>
                <c:ptCount val="7"/>
                <c:pt idx="0">
                  <c:v>2.0</c:v>
                </c:pt>
                <c:pt idx="1">
                  <c:v>3.0</c:v>
                </c:pt>
                <c:pt idx="2">
                  <c:v>2.0</c:v>
                </c:pt>
                <c:pt idx="3">
                  <c:v>1.0</c:v>
                </c:pt>
                <c:pt idx="4">
                  <c:v>2.0</c:v>
                </c:pt>
                <c:pt idx="5">
                  <c:v>1.0</c:v>
                </c:pt>
                <c:pt idx="6">
                  <c:v>1.0</c:v>
                </c:pt>
              </c:numCache>
            </c:numRef>
          </c:val>
        </c:ser>
        <c:axId val="8001"/>
        <c:axId val="8002"/>
      </c:radarChart>
      <c:catAx>
        <c:axId val="8001"/>
        <c:scaling>
          <c:orientation val="minMax"/>
        </c:scaling>
        <c:delete val="0"/>
        <c:axPos val="b"/>
        <c:majorGridlines>
          <c:spPr>
            <a:ln w="6350">
              <a:solidFill>
                <a:srgbClr val="D9D9D9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50" b="1">
                <a:solidFill>
                  <a:srgbClr val="262626"/>
                </a:solidFill>
                <a:latin typeface="Calibri"/>
              </a:defRPr>
            </a:pPr>
            <a:endParaRPr lang="en-US"/>
          </a:p>
        </c:txPr>
        <c:crossAx val="8002"/>
        <c:crosses val="autoZero"/>
        <c:auto val="1"/>
        <c:lblAlgn val="ctr"/>
        <c:lblOffset val="100"/>
        <c:noMultiLvlLbl val="0"/>
      </c:catAx>
      <c:valAx>
        <c:axId val="8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numFmt formatCode="0" sourceLinked="0"/>
        <c:majorTickMark val="cross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900" b="0">
                <a:solidFill>
                  <a:srgbClr val="7F7F7F"/>
                </a:solidFill>
                <a:latin typeface="Calibri"/>
              </a:defRPr>
            </a:pPr>
            <a:endParaRPr lang="en-US"/>
          </a:p>
        </c:txPr>
        <c:crossAx val="8001"/>
        <c:crosses val="autoZero"/>
        <c:crossBetween val="between"/>
        <c:majorUnit val="1"/>
      </c:valAx>
    </c:plotArea>
    <c:legend>
      <c:legendPos val="b"/>
      <c:overlay val="0"/>
      <c:txPr>
        <a:bodyPr/>
        <a:lstStyle/>
        <a:p>
          <a:pPr>
            <a:defRPr sz="1000" b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strRef>
          <c:f>'ERDR Iterations'!$A$57</c:f>
          <c:strCache>
            <c:ptCount val="1"/>
            <c:pt idx="0">
              <c:v>Iteration 3  ·  Step 3 selects S₅  ·  L = {S₁, S₂, S₅}  ·  |L| &gt; 1 → Step 5 corrects g</c:v>
            </c:pt>
          </c:strCache>
        </c:strRef>
      </c:tx>
      <c:overlay val="0"/>
      <c:txPr>
        <a:bodyPr/>
        <a:lstStyle/>
        <a:p>
          <a:pPr>
            <a:defRPr sz="1000" b="1">
              <a:solidFill>
                <a:srgbClr val="1F3864"/>
              </a:solidFill>
              <a:latin typeface="Calibri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v>r(Sⱼ) — enemy radius of Sⱼ</c:v>
          </c:tx>
          <c:spPr>
            <a:ln w="28575" cap="rnd">
              <a:solidFill>
                <a:srgbClr val="2F5597"/>
              </a:solidFill>
              <a:round/>
            </a:ln>
          </c:spPr>
          <c:marker>
            <c:symbol val="circle"/>
            <c:size val="8"/>
            <c:spPr>
              <a:solidFill>
                <a:srgbClr val="2F5597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Iterations'!$B$58:$H$58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Iterations'!$B$68:$H$68</c:f>
              <c:numCache>
                <c:formatCode>General</c:formatCode>
                <c:ptCount val="7"/>
                <c:pt idx="0">
                  <c:v>5.60708061</c:v>
                </c:pt>
                <c:pt idx="1">
                  <c:v>7.4699698919</c:v>
                </c:pt>
                <c:pt idx="2">
                  <c:v>5.60708061</c:v>
                </c:pt>
                <c:pt idx="3">
                  <c:v>3.7071187508</c:v>
                </c:pt>
                <c:pt idx="4">
                  <c:v>7.1117040273</c:v>
                </c:pt>
                <c:pt idx="5">
                  <c:v>3.7071187508</c:v>
                </c:pt>
                <c:pt idx="6">
                  <c:v>3.9109813746</c:v>
                </c:pt>
              </c:numCache>
            </c:numRef>
          </c:val>
        </c:ser>
        <c:ser>
          <c:idx val="1"/>
          <c:order val="1"/>
          <c:tx>
            <c:v>ρ(Sⱼ, Sᵢ) — distance from Sⱼ to the selected Sᵢ</c:v>
          </c:tx>
          <c:spPr>
            <a:ln w="28575" cap="rnd">
              <a:solidFill>
                <a:srgbClr val="C55A11"/>
              </a:solidFill>
              <a:prstDash val="dash"/>
              <a:round/>
            </a:ln>
          </c:spPr>
          <c:marker>
            <c:symbol val="diamond"/>
            <c:size val="8"/>
            <c:spPr>
              <a:solidFill>
                <a:srgbClr val="C55A11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Iterations'!$B$58:$H$58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Iterations'!$B$67:$H$67</c:f>
              <c:numCache>
                <c:formatCode>General</c:formatCode>
                <c:ptCount val="7"/>
                <c:pt idx="0">
                  <c:v>4.8565209225</c:v>
                </c:pt>
                <c:pt idx="1">
                  <c:v>6.104089157</c:v>
                </c:pt>
                <c:pt idx="2">
                  <c:v>7.3117496807</c:v>
                </c:pt>
                <c:pt idx="3">
                  <c:v>7.8491221835</c:v>
                </c:pt>
                <c:pt idx="4">
                  <c:v>0.0</c:v>
                </c:pt>
                <c:pt idx="5">
                  <c:v>9.0234774016</c:v>
                </c:pt>
                <c:pt idx="6">
                  <c:v>7.1117040273</c:v>
                </c:pt>
              </c:numCache>
            </c:numRef>
          </c:val>
        </c:ser>
        <c:axId val="8001"/>
        <c:axId val="8002"/>
      </c:radarChart>
      <c:catAx>
        <c:axId val="8001"/>
        <c:scaling>
          <c:orientation val="minMax"/>
        </c:scaling>
        <c:delete val="0"/>
        <c:axPos val="b"/>
        <c:majorGridlines>
          <c:spPr>
            <a:ln w="6350">
              <a:solidFill>
                <a:srgbClr val="D9D9D9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50" b="1">
                <a:solidFill>
                  <a:srgbClr val="262626"/>
                </a:solidFill>
                <a:latin typeface="Calibri"/>
              </a:defRPr>
            </a:pPr>
            <a:endParaRPr lang="en-US"/>
          </a:p>
        </c:txPr>
        <c:crossAx val="8002"/>
        <c:crosses val="autoZero"/>
        <c:auto val="1"/>
        <c:lblAlgn val="ctr"/>
        <c:lblOffset val="100"/>
        <c:noMultiLvlLbl val="0"/>
      </c:catAx>
      <c:valAx>
        <c:axId val="8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numFmt formatCode="0" sourceLinked="0"/>
        <c:majorTickMark val="cross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900" b="0">
                <a:solidFill>
                  <a:srgbClr val="7F7F7F"/>
                </a:solidFill>
                <a:latin typeface="Calibri"/>
              </a:defRPr>
            </a:pPr>
            <a:endParaRPr lang="en-US"/>
          </a:p>
        </c:txPr>
        <c:crossAx val="8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000" b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/>
          <a:lstStyle/>
          <a:p>
            <a:pPr>
              <a:defRPr sz="1200" b="1">
                <a:solidFill>
                  <a:srgbClr val="1F3864"/>
                </a:solidFill>
                <a:latin typeface="Calibri"/>
              </a:defRPr>
            </a:pPr>
            <a:r>
              <a:rPr lang="en-US" sz="1200" b="1">
                <a:solidFill>
                  <a:srgbClr val="1F3864"/>
                </a:solidFill>
                <a:latin typeface="Calibri"/>
              </a:rPr>
              <a:t>Iteration 3 · Step 5 — counters g(Sⱼ) before and after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v>g before the iteration</c:v>
          </c:tx>
          <c:spPr>
            <a:ln w="28575" cap="rnd">
              <a:solidFill>
                <a:srgbClr val="70AD47"/>
              </a:solidFill>
              <a:prstDash val="dash"/>
              <a:round/>
            </a:ln>
          </c:spPr>
          <c:marker>
            <c:symbol val="circle"/>
            <c:size val="8"/>
            <c:spPr>
              <a:solidFill>
                <a:srgbClr val="70AD47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Iterations'!$B$58:$H$58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Iterations'!$B$62:$H$62</c:f>
              <c:numCache>
                <c:formatCode>General</c:formatCode>
                <c:ptCount val="7"/>
                <c:pt idx="0">
                  <c:v>2.0</c:v>
                </c:pt>
                <c:pt idx="1">
                  <c:v>3.0</c:v>
                </c:pt>
                <c:pt idx="2">
                  <c:v>2.0</c:v>
                </c:pt>
                <c:pt idx="3">
                  <c:v>1.0</c:v>
                </c:pt>
                <c:pt idx="4">
                  <c:v>2.0</c:v>
                </c:pt>
                <c:pt idx="5">
                  <c:v>1.0</c:v>
                </c:pt>
                <c:pt idx="6">
                  <c:v>1.0</c:v>
                </c:pt>
              </c:numCache>
            </c:numRef>
          </c:val>
        </c:ser>
        <c:ser>
          <c:idx val="1"/>
          <c:order val="1"/>
          <c:tx>
            <c:v>g after the iteration</c:v>
          </c:tx>
          <c:spPr>
            <a:ln w="28575" cap="rnd">
              <a:solidFill>
                <a:srgbClr val="375623"/>
              </a:solidFill>
              <a:round/>
            </a:ln>
          </c:spPr>
          <c:marker>
            <c:symbol val="square"/>
            <c:size val="8"/>
            <c:spPr>
              <a:solidFill>
                <a:srgbClr val="375623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Iterations'!$B$58:$H$58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Iterations'!$B$75:$H$75</c:f>
              <c:numCache>
                <c:formatCode>General</c:formatCode>
                <c:ptCount val="7"/>
                <c:pt idx="0">
                  <c:v>1.0</c:v>
                </c:pt>
                <c:pt idx="1">
                  <c:v>2.0</c:v>
                </c:pt>
                <c:pt idx="2">
                  <c:v>2.0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</c:numCache>
            </c:numRef>
          </c:val>
        </c:ser>
        <c:axId val="8001"/>
        <c:axId val="8002"/>
      </c:radarChart>
      <c:catAx>
        <c:axId val="8001"/>
        <c:scaling>
          <c:orientation val="minMax"/>
        </c:scaling>
        <c:delete val="0"/>
        <c:axPos val="b"/>
        <c:majorGridlines>
          <c:spPr>
            <a:ln w="6350">
              <a:solidFill>
                <a:srgbClr val="D9D9D9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50" b="1">
                <a:solidFill>
                  <a:srgbClr val="262626"/>
                </a:solidFill>
                <a:latin typeface="Calibri"/>
              </a:defRPr>
            </a:pPr>
            <a:endParaRPr lang="en-US"/>
          </a:p>
        </c:txPr>
        <c:crossAx val="8002"/>
        <c:crosses val="autoZero"/>
        <c:auto val="1"/>
        <c:lblAlgn val="ctr"/>
        <c:lblOffset val="100"/>
        <c:noMultiLvlLbl val="0"/>
      </c:catAx>
      <c:valAx>
        <c:axId val="8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numFmt formatCode="0" sourceLinked="0"/>
        <c:majorTickMark val="cross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900" b="0">
                <a:solidFill>
                  <a:srgbClr val="7F7F7F"/>
                </a:solidFill>
                <a:latin typeface="Calibri"/>
              </a:defRPr>
            </a:pPr>
            <a:endParaRPr lang="en-US"/>
          </a:p>
        </c:txPr>
        <c:crossAx val="8001"/>
        <c:crosses val="autoZero"/>
        <c:crossBetween val="between"/>
        <c:majorUnit val="1"/>
      </c:valAx>
    </c:plotArea>
    <c:legend>
      <c:legendPos val="b"/>
      <c:overlay val="0"/>
      <c:txPr>
        <a:bodyPr/>
        <a:lstStyle/>
        <a:p>
          <a:pPr>
            <a:defRPr sz="1000" b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strRef>
          <c:f>'ERDR Iterations'!$A$83</c:f>
          <c:strCache>
            <c:ptCount val="1"/>
            <c:pt idx="0">
              <c:v>Iteration 4  ·  Step 3 selects S₂  ·  L = {S₂}  ·  |L| = 1 → Sᵢ moves to D</c:v>
            </c:pt>
          </c:strCache>
        </c:strRef>
      </c:tx>
      <c:overlay val="0"/>
      <c:txPr>
        <a:bodyPr/>
        <a:lstStyle/>
        <a:p>
          <a:pPr>
            <a:defRPr sz="1000" b="1">
              <a:solidFill>
                <a:srgbClr val="1F3864"/>
              </a:solidFill>
              <a:latin typeface="Calibri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v>r(Sⱼ) — enemy radius of Sⱼ</c:v>
          </c:tx>
          <c:spPr>
            <a:ln w="28575" cap="rnd">
              <a:solidFill>
                <a:srgbClr val="2F5597"/>
              </a:solidFill>
              <a:round/>
            </a:ln>
          </c:spPr>
          <c:marker>
            <c:symbol val="circle"/>
            <c:size val="8"/>
            <c:spPr>
              <a:solidFill>
                <a:srgbClr val="2F5597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Iterations'!$B$84:$H$84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Iterations'!$B$94:$H$94</c:f>
              <c:numCache>
                <c:formatCode>General</c:formatCode>
                <c:ptCount val="7"/>
                <c:pt idx="0">
                  <c:v>5.60708061</c:v>
                </c:pt>
                <c:pt idx="1">
                  <c:v>7.4699698919</c:v>
                </c:pt>
                <c:pt idx="2">
                  <c:v>5.60708061</c:v>
                </c:pt>
                <c:pt idx="3">
                  <c:v>3.7071187508</c:v>
                </c:pt>
                <c:pt idx="4">
                  <c:v>7.1117040273</c:v>
                </c:pt>
                <c:pt idx="5">
                  <c:v>3.7071187508</c:v>
                </c:pt>
                <c:pt idx="6">
                  <c:v>3.9109813746</c:v>
                </c:pt>
              </c:numCache>
            </c:numRef>
          </c:val>
        </c:ser>
        <c:ser>
          <c:idx val="1"/>
          <c:order val="1"/>
          <c:tx>
            <c:v>ρ(Sⱼ, Sᵢ) — distance from Sⱼ to the selected Sᵢ</c:v>
          </c:tx>
          <c:spPr>
            <a:ln w="28575" cap="rnd">
              <a:solidFill>
                <a:srgbClr val="C55A11"/>
              </a:solidFill>
              <a:prstDash val="dash"/>
              <a:round/>
            </a:ln>
          </c:spPr>
          <c:marker>
            <c:symbol val="diamond"/>
            <c:size val="8"/>
            <c:spPr>
              <a:solidFill>
                <a:srgbClr val="C55A11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Iterations'!$B$84:$H$84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Iterations'!$B$93:$H$93</c:f>
              <c:numCache>
                <c:formatCode>General</c:formatCode>
                <c:ptCount val="7"/>
                <c:pt idx="0">
                  <c:v>4.6606100796</c:v>
                </c:pt>
                <c:pt idx="1">
                  <c:v>0.0</c:v>
                </c:pt>
                <c:pt idx="2">
                  <c:v>7.4699698919</c:v>
                </c:pt>
                <c:pt idx="3">
                  <c:v>6.3691657565</c:v>
                </c:pt>
                <c:pt idx="4">
                  <c:v>6.104089157</c:v>
                </c:pt>
                <c:pt idx="5">
                  <c:v>8.742951174</c:v>
                </c:pt>
                <c:pt idx="6">
                  <c:v>7.7855937542</c:v>
                </c:pt>
              </c:numCache>
            </c:numRef>
          </c:val>
        </c:ser>
        <c:axId val="8001"/>
        <c:axId val="8002"/>
      </c:radarChart>
      <c:catAx>
        <c:axId val="8001"/>
        <c:scaling>
          <c:orientation val="minMax"/>
        </c:scaling>
        <c:delete val="0"/>
        <c:axPos val="b"/>
        <c:majorGridlines>
          <c:spPr>
            <a:ln w="6350">
              <a:solidFill>
                <a:srgbClr val="D9D9D9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50" b="1">
                <a:solidFill>
                  <a:srgbClr val="262626"/>
                </a:solidFill>
                <a:latin typeface="Calibri"/>
              </a:defRPr>
            </a:pPr>
            <a:endParaRPr lang="en-US"/>
          </a:p>
        </c:txPr>
        <c:crossAx val="8002"/>
        <c:crosses val="autoZero"/>
        <c:auto val="1"/>
        <c:lblAlgn val="ctr"/>
        <c:lblOffset val="100"/>
        <c:noMultiLvlLbl val="0"/>
      </c:catAx>
      <c:valAx>
        <c:axId val="8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numFmt formatCode="0" sourceLinked="0"/>
        <c:majorTickMark val="cross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900" b="0">
                <a:solidFill>
                  <a:srgbClr val="7F7F7F"/>
                </a:solidFill>
                <a:latin typeface="Calibri"/>
              </a:defRPr>
            </a:pPr>
            <a:endParaRPr lang="en-US"/>
          </a:p>
        </c:txPr>
        <c:crossAx val="8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000" b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/>
          <a:lstStyle/>
          <a:p>
            <a:pPr>
              <a:defRPr sz="1200" b="1">
                <a:solidFill>
                  <a:srgbClr val="1F3864"/>
                </a:solidFill>
                <a:latin typeface="Calibri"/>
              </a:defRPr>
            </a:pPr>
            <a:r>
              <a:rPr lang="en-US" sz="1200" b="1">
                <a:solidFill>
                  <a:srgbClr val="1F3864"/>
                </a:solidFill>
                <a:latin typeface="Calibri"/>
              </a:rPr>
              <a:t>Iteration 4 · Step 5 — counters g(Sⱼ) before and after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v>g before the iteration</c:v>
          </c:tx>
          <c:spPr>
            <a:ln w="28575" cap="rnd">
              <a:solidFill>
                <a:srgbClr val="70AD47"/>
              </a:solidFill>
              <a:prstDash val="dash"/>
              <a:round/>
            </a:ln>
          </c:spPr>
          <c:marker>
            <c:symbol val="circle"/>
            <c:size val="8"/>
            <c:spPr>
              <a:solidFill>
                <a:srgbClr val="70AD47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Iterations'!$B$84:$H$84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Iterations'!$B$88:$H$88</c:f>
              <c:numCache>
                <c:formatCode>General</c:formatCode>
                <c:ptCount val="7"/>
                <c:pt idx="0">
                  <c:v>1.0</c:v>
                </c:pt>
                <c:pt idx="1">
                  <c:v>2.0</c:v>
                </c:pt>
                <c:pt idx="2">
                  <c:v>2.0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</c:numCache>
            </c:numRef>
          </c:val>
        </c:ser>
        <c:ser>
          <c:idx val="1"/>
          <c:order val="1"/>
          <c:tx>
            <c:v>g after the iteration</c:v>
          </c:tx>
          <c:spPr>
            <a:ln w="28575" cap="rnd">
              <a:solidFill>
                <a:srgbClr val="375623"/>
              </a:solidFill>
              <a:round/>
            </a:ln>
          </c:spPr>
          <c:marker>
            <c:symbol val="square"/>
            <c:size val="8"/>
            <c:spPr>
              <a:solidFill>
                <a:srgbClr val="375623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Iterations'!$B$84:$H$84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Iterations'!$B$101:$H$101</c:f>
              <c:numCache>
                <c:formatCode>General</c:formatCode>
                <c:ptCount val="7"/>
                <c:pt idx="0">
                  <c:v>1.0</c:v>
                </c:pt>
                <c:pt idx="1">
                  <c:v>2.0</c:v>
                </c:pt>
                <c:pt idx="2">
                  <c:v>2.0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</c:numCache>
            </c:numRef>
          </c:val>
        </c:ser>
        <c:axId val="8001"/>
        <c:axId val="8002"/>
      </c:radarChart>
      <c:catAx>
        <c:axId val="8001"/>
        <c:scaling>
          <c:orientation val="minMax"/>
        </c:scaling>
        <c:delete val="0"/>
        <c:axPos val="b"/>
        <c:majorGridlines>
          <c:spPr>
            <a:ln w="6350">
              <a:solidFill>
                <a:srgbClr val="D9D9D9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50" b="1">
                <a:solidFill>
                  <a:srgbClr val="262626"/>
                </a:solidFill>
                <a:latin typeface="Calibri"/>
              </a:defRPr>
            </a:pPr>
            <a:endParaRPr lang="en-US"/>
          </a:p>
        </c:txPr>
        <c:crossAx val="8002"/>
        <c:crosses val="autoZero"/>
        <c:auto val="1"/>
        <c:lblAlgn val="ctr"/>
        <c:lblOffset val="100"/>
        <c:noMultiLvlLbl val="0"/>
      </c:catAx>
      <c:valAx>
        <c:axId val="8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numFmt formatCode="0" sourceLinked="0"/>
        <c:majorTickMark val="cross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900" b="0">
                <a:solidFill>
                  <a:srgbClr val="7F7F7F"/>
                </a:solidFill>
                <a:latin typeface="Calibri"/>
              </a:defRPr>
            </a:pPr>
            <a:endParaRPr lang="en-US"/>
          </a:p>
        </c:txPr>
        <c:crossAx val="8001"/>
        <c:crosses val="autoZero"/>
        <c:crossBetween val="between"/>
        <c:majorUnit val="1"/>
      </c:valAx>
    </c:plotArea>
    <c:legend>
      <c:legendPos val="b"/>
      <c:overlay val="0"/>
      <c:txPr>
        <a:bodyPr/>
        <a:lstStyle/>
        <a:p>
          <a:pPr>
            <a:defRPr sz="1000" b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strRef>
          <c:f>'ERDR Iterations'!$A$109</c:f>
          <c:strCache>
            <c:ptCount val="1"/>
            <c:pt idx="0">
              <c:v>Iteration 5  ·  Step 3 selects S₆  ·  L = {S₃}  ·  |L| = 1 → Sᵢ moves to D</c:v>
            </c:pt>
          </c:strCache>
        </c:strRef>
      </c:tx>
      <c:overlay val="0"/>
      <c:txPr>
        <a:bodyPr/>
        <a:lstStyle/>
        <a:p>
          <a:pPr>
            <a:defRPr sz="1000" b="1">
              <a:solidFill>
                <a:srgbClr val="1F3864"/>
              </a:solidFill>
              <a:latin typeface="Calibri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v>r(Sⱼ) — enemy radius of Sⱼ</c:v>
          </c:tx>
          <c:spPr>
            <a:ln w="28575" cap="rnd">
              <a:solidFill>
                <a:srgbClr val="2F5597"/>
              </a:solidFill>
              <a:round/>
            </a:ln>
          </c:spPr>
          <c:marker>
            <c:symbol val="circle"/>
            <c:size val="8"/>
            <c:spPr>
              <a:solidFill>
                <a:srgbClr val="2F5597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Iterations'!$B$110:$H$110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Iterations'!$B$120:$H$120</c:f>
              <c:numCache>
                <c:formatCode>General</c:formatCode>
                <c:ptCount val="7"/>
                <c:pt idx="0">
                  <c:v>5.60708061</c:v>
                </c:pt>
                <c:pt idx="1">
                  <c:v>7.4699698919</c:v>
                </c:pt>
                <c:pt idx="2">
                  <c:v>5.60708061</c:v>
                </c:pt>
                <c:pt idx="3">
                  <c:v>3.7071187508</c:v>
                </c:pt>
                <c:pt idx="4">
                  <c:v>7.1117040273</c:v>
                </c:pt>
                <c:pt idx="5">
                  <c:v>3.7071187508</c:v>
                </c:pt>
                <c:pt idx="6">
                  <c:v>3.9109813746</c:v>
                </c:pt>
              </c:numCache>
            </c:numRef>
          </c:val>
        </c:ser>
        <c:ser>
          <c:idx val="1"/>
          <c:order val="1"/>
          <c:tx>
            <c:v>ρ(Sⱼ, Sᵢ) — distance from Sⱼ to the selected Sᵢ</c:v>
          </c:tx>
          <c:spPr>
            <a:ln w="28575" cap="rnd">
              <a:solidFill>
                <a:srgbClr val="C55A11"/>
              </a:solidFill>
              <a:prstDash val="dash"/>
              <a:round/>
            </a:ln>
          </c:spPr>
          <c:marker>
            <c:symbol val="diamond"/>
            <c:size val="8"/>
            <c:spPr>
              <a:solidFill>
                <a:srgbClr val="C55A11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Iterations'!$B$110:$H$110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Iterations'!$B$119:$H$119</c:f>
              <c:numCache>
                <c:formatCode>General</c:formatCode>
                <c:ptCount val="7"/>
                <c:pt idx="0">
                  <c:v>6.8015669516</c:v>
                </c:pt>
                <c:pt idx="1">
                  <c:v>8.742951174</c:v>
                </c:pt>
                <c:pt idx="2">
                  <c:v>5.2172783643</c:v>
                </c:pt>
                <c:pt idx="3">
                  <c:v>3.7071187508</c:v>
                </c:pt>
                <c:pt idx="4">
                  <c:v>9.0234774016</c:v>
                </c:pt>
                <c:pt idx="5">
                  <c:v>0.0</c:v>
                </c:pt>
                <c:pt idx="6">
                  <c:v>5.0314314939</c:v>
                </c:pt>
              </c:numCache>
            </c:numRef>
          </c:val>
        </c:ser>
        <c:axId val="8001"/>
        <c:axId val="8002"/>
      </c:radarChart>
      <c:catAx>
        <c:axId val="8001"/>
        <c:scaling>
          <c:orientation val="minMax"/>
        </c:scaling>
        <c:delete val="0"/>
        <c:axPos val="b"/>
        <c:majorGridlines>
          <c:spPr>
            <a:ln w="6350">
              <a:solidFill>
                <a:srgbClr val="D9D9D9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50" b="1">
                <a:solidFill>
                  <a:srgbClr val="262626"/>
                </a:solidFill>
                <a:latin typeface="Calibri"/>
              </a:defRPr>
            </a:pPr>
            <a:endParaRPr lang="en-US"/>
          </a:p>
        </c:txPr>
        <c:crossAx val="8002"/>
        <c:crosses val="autoZero"/>
        <c:auto val="1"/>
        <c:lblAlgn val="ctr"/>
        <c:lblOffset val="100"/>
        <c:noMultiLvlLbl val="0"/>
      </c:catAx>
      <c:valAx>
        <c:axId val="8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numFmt formatCode="0" sourceLinked="0"/>
        <c:majorTickMark val="cross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900" b="0">
                <a:solidFill>
                  <a:srgbClr val="7F7F7F"/>
                </a:solidFill>
                <a:latin typeface="Calibri"/>
              </a:defRPr>
            </a:pPr>
            <a:endParaRPr lang="en-US"/>
          </a:p>
        </c:txPr>
        <c:crossAx val="8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000" b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/>
          <a:lstStyle/>
          <a:p>
            <a:pPr>
              <a:defRPr sz="1200" b="1">
                <a:solidFill>
                  <a:srgbClr val="1F3864"/>
                </a:solidFill>
                <a:latin typeface="Calibri"/>
              </a:defRPr>
            </a:pPr>
            <a:r>
              <a:rPr lang="en-US" sz="1200" b="1">
                <a:solidFill>
                  <a:srgbClr val="1F3864"/>
                </a:solidFill>
                <a:latin typeface="Calibri"/>
              </a:rPr>
              <a:t>Iteration 5 · Step 5 — counters g(Sⱼ) before and after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v>g before the iteration</c:v>
          </c:tx>
          <c:spPr>
            <a:ln w="28575" cap="rnd">
              <a:solidFill>
                <a:srgbClr val="70AD47"/>
              </a:solidFill>
              <a:prstDash val="dash"/>
              <a:round/>
            </a:ln>
          </c:spPr>
          <c:marker>
            <c:symbol val="circle"/>
            <c:size val="8"/>
            <c:spPr>
              <a:solidFill>
                <a:srgbClr val="70AD47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Iterations'!$B$110:$H$110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Iterations'!$B$114:$H$114</c:f>
              <c:numCache>
                <c:formatCode>General</c:formatCode>
                <c:ptCount val="7"/>
                <c:pt idx="0">
                  <c:v>1.0</c:v>
                </c:pt>
                <c:pt idx="1">
                  <c:v>2.0</c:v>
                </c:pt>
                <c:pt idx="2">
                  <c:v>2.0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</c:numCache>
            </c:numRef>
          </c:val>
        </c:ser>
        <c:ser>
          <c:idx val="1"/>
          <c:order val="1"/>
          <c:tx>
            <c:v>g after the iteration</c:v>
          </c:tx>
          <c:spPr>
            <a:ln w="28575" cap="rnd">
              <a:solidFill>
                <a:srgbClr val="375623"/>
              </a:solidFill>
              <a:round/>
            </a:ln>
          </c:spPr>
          <c:marker>
            <c:symbol val="square"/>
            <c:size val="8"/>
            <c:spPr>
              <a:solidFill>
                <a:srgbClr val="375623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Iterations'!$B$110:$H$110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Iterations'!$B$127:$H$127</c:f>
              <c:numCache>
                <c:formatCode>General</c:formatCode>
                <c:ptCount val="7"/>
                <c:pt idx="0">
                  <c:v>1.0</c:v>
                </c:pt>
                <c:pt idx="1">
                  <c:v>2.0</c:v>
                </c:pt>
                <c:pt idx="2">
                  <c:v>2.0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</c:numCache>
            </c:numRef>
          </c:val>
        </c:ser>
        <c:axId val="8001"/>
        <c:axId val="8002"/>
      </c:radarChart>
      <c:catAx>
        <c:axId val="8001"/>
        <c:scaling>
          <c:orientation val="minMax"/>
        </c:scaling>
        <c:delete val="0"/>
        <c:axPos val="b"/>
        <c:majorGridlines>
          <c:spPr>
            <a:ln w="6350">
              <a:solidFill>
                <a:srgbClr val="D9D9D9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50" b="1">
                <a:solidFill>
                  <a:srgbClr val="262626"/>
                </a:solidFill>
                <a:latin typeface="Calibri"/>
              </a:defRPr>
            </a:pPr>
            <a:endParaRPr lang="en-US"/>
          </a:p>
        </c:txPr>
        <c:crossAx val="8002"/>
        <c:crosses val="autoZero"/>
        <c:auto val="1"/>
        <c:lblAlgn val="ctr"/>
        <c:lblOffset val="100"/>
        <c:noMultiLvlLbl val="0"/>
      </c:catAx>
      <c:valAx>
        <c:axId val="8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numFmt formatCode="0" sourceLinked="0"/>
        <c:majorTickMark val="cross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900" b="0">
                <a:solidFill>
                  <a:srgbClr val="7F7F7F"/>
                </a:solidFill>
                <a:latin typeface="Calibri"/>
              </a:defRPr>
            </a:pPr>
            <a:endParaRPr lang="en-US"/>
          </a:p>
        </c:txPr>
        <c:crossAx val="8001"/>
        <c:crosses val="autoZero"/>
        <c:crossBetween val="between"/>
        <c:majorUnit val="1"/>
      </c:valAx>
    </c:plotArea>
    <c:legend>
      <c:legendPos val="b"/>
      <c:overlay val="0"/>
      <c:txPr>
        <a:bodyPr/>
        <a:lstStyle/>
        <a:p>
          <a:pPr>
            <a:defRPr sz="1000" b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strRef>
          <c:f>'ERDR Iterations'!$A$135</c:f>
          <c:strCache>
            <c:ptCount val="1"/>
            <c:pt idx="0">
              <c:v>Iteration 6  ·  Step 3 selects S₄  ·  L = ∅  ·  |L| = 0 → Sᵢ is only blocked and stays in F</c:v>
            </c:pt>
          </c:strCache>
        </c:strRef>
      </c:tx>
      <c:overlay val="0"/>
      <c:txPr>
        <a:bodyPr/>
        <a:lstStyle/>
        <a:p>
          <a:pPr>
            <a:defRPr sz="1000" b="1">
              <a:solidFill>
                <a:srgbClr val="1F3864"/>
              </a:solidFill>
              <a:latin typeface="Calibri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v>r(Sⱼ) — enemy radius of Sⱼ</c:v>
          </c:tx>
          <c:spPr>
            <a:ln w="28575" cap="rnd">
              <a:solidFill>
                <a:srgbClr val="2F5597"/>
              </a:solidFill>
              <a:round/>
            </a:ln>
          </c:spPr>
          <c:marker>
            <c:symbol val="circle"/>
            <c:size val="8"/>
            <c:spPr>
              <a:solidFill>
                <a:srgbClr val="2F5597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Iterations'!$B$136:$H$136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Iterations'!$B$146:$H$146</c:f>
              <c:numCache>
                <c:formatCode>General</c:formatCode>
                <c:ptCount val="7"/>
                <c:pt idx="0">
                  <c:v>5.60708061</c:v>
                </c:pt>
                <c:pt idx="1">
                  <c:v>7.4699698919</c:v>
                </c:pt>
                <c:pt idx="2">
                  <c:v>5.60708061</c:v>
                </c:pt>
                <c:pt idx="3">
                  <c:v>3.7071187508</c:v>
                </c:pt>
                <c:pt idx="4">
                  <c:v>7.1117040273</c:v>
                </c:pt>
                <c:pt idx="5">
                  <c:v>3.7071187508</c:v>
                </c:pt>
                <c:pt idx="6">
                  <c:v>3.9109813746</c:v>
                </c:pt>
              </c:numCache>
            </c:numRef>
          </c:val>
        </c:ser>
        <c:ser>
          <c:idx val="1"/>
          <c:order val="1"/>
          <c:tx>
            <c:v>ρ(Sⱼ, Sᵢ) — distance from Sⱼ to the selected Sᵢ</c:v>
          </c:tx>
          <c:spPr>
            <a:ln w="28575" cap="rnd">
              <a:solidFill>
                <a:srgbClr val="C55A11"/>
              </a:solidFill>
              <a:prstDash val="dash"/>
              <a:round/>
            </a:ln>
          </c:spPr>
          <c:marker>
            <c:symbol val="diamond"/>
            <c:size val="8"/>
            <c:spPr>
              <a:solidFill>
                <a:srgbClr val="C55A11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Iterations'!$B$136:$H$136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Iterations'!$B$145:$H$145</c:f>
              <c:numCache>
                <c:formatCode>General</c:formatCode>
                <c:ptCount val="7"/>
                <c:pt idx="0">
                  <c:v>6.6272117335</c:v>
                </c:pt>
                <c:pt idx="1">
                  <c:v>6.3691657565</c:v>
                </c:pt>
                <c:pt idx="2">
                  <c:v>6.2175670209</c:v>
                </c:pt>
                <c:pt idx="3">
                  <c:v>0.0</c:v>
                </c:pt>
                <c:pt idx="4">
                  <c:v>7.8491221835</c:v>
                </c:pt>
                <c:pt idx="5">
                  <c:v>3.7071187508</c:v>
                </c:pt>
                <c:pt idx="6">
                  <c:v>3.9109813746</c:v>
                </c:pt>
              </c:numCache>
            </c:numRef>
          </c:val>
        </c:ser>
        <c:axId val="8001"/>
        <c:axId val="8002"/>
      </c:radarChart>
      <c:catAx>
        <c:axId val="8001"/>
        <c:scaling>
          <c:orientation val="minMax"/>
        </c:scaling>
        <c:delete val="0"/>
        <c:axPos val="b"/>
        <c:majorGridlines>
          <c:spPr>
            <a:ln w="6350">
              <a:solidFill>
                <a:srgbClr val="D9D9D9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50" b="1">
                <a:solidFill>
                  <a:srgbClr val="262626"/>
                </a:solidFill>
                <a:latin typeface="Calibri"/>
              </a:defRPr>
            </a:pPr>
            <a:endParaRPr lang="en-US"/>
          </a:p>
        </c:txPr>
        <c:crossAx val="8002"/>
        <c:crosses val="autoZero"/>
        <c:auto val="1"/>
        <c:lblAlgn val="ctr"/>
        <c:lblOffset val="100"/>
        <c:noMultiLvlLbl val="0"/>
      </c:catAx>
      <c:valAx>
        <c:axId val="8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numFmt formatCode="0" sourceLinked="0"/>
        <c:majorTickMark val="cross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900" b="0">
                <a:solidFill>
                  <a:srgbClr val="7F7F7F"/>
                </a:solidFill>
                <a:latin typeface="Calibri"/>
              </a:defRPr>
            </a:pPr>
            <a:endParaRPr lang="en-US"/>
          </a:p>
        </c:txPr>
        <c:crossAx val="8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000" b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/>
          <a:lstStyle/>
          <a:p>
            <a:pPr>
              <a:defRPr sz="1200" b="1">
                <a:solidFill>
                  <a:srgbClr val="1F3864"/>
                </a:solidFill>
                <a:latin typeface="Calibri"/>
              </a:defRPr>
            </a:pPr>
            <a:r>
              <a:rPr lang="en-US" sz="1200" b="1">
                <a:solidFill>
                  <a:srgbClr val="1F3864"/>
                </a:solidFill>
                <a:latin typeface="Calibri"/>
              </a:rPr>
              <a:t>Iteration 6 · Step 5 — counters g(Sⱼ) before and after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v>g before the iteration</c:v>
          </c:tx>
          <c:spPr>
            <a:ln w="28575" cap="rnd">
              <a:solidFill>
                <a:srgbClr val="70AD47"/>
              </a:solidFill>
              <a:prstDash val="dash"/>
              <a:round/>
            </a:ln>
          </c:spPr>
          <c:marker>
            <c:symbol val="circle"/>
            <c:size val="8"/>
            <c:spPr>
              <a:solidFill>
                <a:srgbClr val="70AD47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Iterations'!$B$136:$H$136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Iterations'!$B$140:$H$140</c:f>
              <c:numCache>
                <c:formatCode>General</c:formatCode>
                <c:ptCount val="7"/>
                <c:pt idx="0">
                  <c:v>1.0</c:v>
                </c:pt>
                <c:pt idx="1">
                  <c:v>2.0</c:v>
                </c:pt>
                <c:pt idx="2">
                  <c:v>2.0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</c:numCache>
            </c:numRef>
          </c:val>
        </c:ser>
        <c:ser>
          <c:idx val="1"/>
          <c:order val="1"/>
          <c:tx>
            <c:v>g after the iteration</c:v>
          </c:tx>
          <c:spPr>
            <a:ln w="28575" cap="rnd">
              <a:solidFill>
                <a:srgbClr val="375623"/>
              </a:solidFill>
              <a:round/>
            </a:ln>
          </c:spPr>
          <c:marker>
            <c:symbol val="square"/>
            <c:size val="8"/>
            <c:spPr>
              <a:solidFill>
                <a:srgbClr val="375623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Iterations'!$B$136:$H$136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Iterations'!$B$153:$H$153</c:f>
              <c:numCache>
                <c:formatCode>General</c:formatCode>
                <c:ptCount val="7"/>
                <c:pt idx="0">
                  <c:v>1.0</c:v>
                </c:pt>
                <c:pt idx="1">
                  <c:v>2.0</c:v>
                </c:pt>
                <c:pt idx="2">
                  <c:v>2.0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</c:numCache>
            </c:numRef>
          </c:val>
        </c:ser>
        <c:axId val="8001"/>
        <c:axId val="8002"/>
      </c:radarChart>
      <c:catAx>
        <c:axId val="8001"/>
        <c:scaling>
          <c:orientation val="minMax"/>
        </c:scaling>
        <c:delete val="0"/>
        <c:axPos val="b"/>
        <c:majorGridlines>
          <c:spPr>
            <a:ln w="6350">
              <a:solidFill>
                <a:srgbClr val="D9D9D9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50" b="1">
                <a:solidFill>
                  <a:srgbClr val="262626"/>
                </a:solidFill>
                <a:latin typeface="Calibri"/>
              </a:defRPr>
            </a:pPr>
            <a:endParaRPr lang="en-US"/>
          </a:p>
        </c:txPr>
        <c:crossAx val="8002"/>
        <c:crosses val="autoZero"/>
        <c:auto val="1"/>
        <c:lblAlgn val="ctr"/>
        <c:lblOffset val="100"/>
        <c:noMultiLvlLbl val="0"/>
      </c:catAx>
      <c:valAx>
        <c:axId val="8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numFmt formatCode="0" sourceLinked="0"/>
        <c:majorTickMark val="cross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900" b="0">
                <a:solidFill>
                  <a:srgbClr val="7F7F7F"/>
                </a:solidFill>
                <a:latin typeface="Calibri"/>
              </a:defRPr>
            </a:pPr>
            <a:endParaRPr lang="en-US"/>
          </a:p>
        </c:txPr>
        <c:crossAx val="8001"/>
        <c:crosses val="autoZero"/>
        <c:crossBetween val="between"/>
        <c:majorUnit val="1"/>
      </c:valAx>
    </c:plotArea>
    <c:legend>
      <c:legendPos val="b"/>
      <c:overlay val="0"/>
      <c:txPr>
        <a:bodyPr/>
        <a:lstStyle/>
        <a:p>
          <a:pPr>
            <a:defRPr sz="1000" b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strRef>
          <c:f>'ERDR Iterations'!$A$161</c:f>
          <c:strCache>
            <c:ptCount val="1"/>
            <c:pt idx="0">
              <c:v>Iteration 7  ·  queue empty → Step 6 (stop)</c:v>
            </c:pt>
          </c:strCache>
        </c:strRef>
      </c:tx>
      <c:overlay val="0"/>
      <c:txPr>
        <a:bodyPr/>
        <a:lstStyle/>
        <a:p>
          <a:pPr>
            <a:defRPr sz="1000" b="1">
              <a:solidFill>
                <a:srgbClr val="1F3864"/>
              </a:solidFill>
              <a:latin typeface="Calibri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v>r(Sⱼ) — enemy radius of Sⱼ</c:v>
          </c:tx>
          <c:spPr>
            <a:ln w="28575" cap="rnd">
              <a:solidFill>
                <a:srgbClr val="2F5597"/>
              </a:solidFill>
              <a:round/>
            </a:ln>
          </c:spPr>
          <c:marker>
            <c:symbol val="circle"/>
            <c:size val="8"/>
            <c:spPr>
              <a:solidFill>
                <a:srgbClr val="2F5597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Iterations'!$B$162:$H$162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Iterations'!$B$172:$H$172</c:f>
              <c:numCache>
                <c:formatCode>General</c:formatCode>
                <c:ptCount val="7"/>
                <c:pt idx="0">
                  <c:v>5.60708061</c:v>
                </c:pt>
                <c:pt idx="1">
                  <c:v>7.4699698919</c:v>
                </c:pt>
                <c:pt idx="2">
                  <c:v>5.60708061</c:v>
                </c:pt>
                <c:pt idx="3">
                  <c:v>3.7071187508</c:v>
                </c:pt>
                <c:pt idx="4">
                  <c:v>7.1117040273</c:v>
                </c:pt>
                <c:pt idx="5">
                  <c:v>3.7071187508</c:v>
                </c:pt>
                <c:pt idx="6">
                  <c:v>3.9109813746</c:v>
                </c:pt>
              </c:numCache>
            </c:numRef>
          </c:val>
        </c:ser>
        <c:ser>
          <c:idx val="1"/>
          <c:order val="1"/>
          <c:tx>
            <c:v>ρ(Sⱼ, Sᵢ) — distance from Sⱼ to the selected Sᵢ</c:v>
          </c:tx>
          <c:spPr>
            <a:ln w="28575" cap="rnd">
              <a:solidFill>
                <a:srgbClr val="C55A11"/>
              </a:solidFill>
              <a:prstDash val="dash"/>
              <a:round/>
            </a:ln>
          </c:spPr>
          <c:marker>
            <c:symbol val="diamond"/>
            <c:size val="8"/>
            <c:spPr>
              <a:solidFill>
                <a:srgbClr val="C55A11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Iterations'!$B$162:$H$162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Iterations'!$B$171:$H$171</c:f>
              <c:numCache>
                <c:formatCode>General</c:formatCode>
                <c:ptCount val="7"/>
              </c:numCache>
            </c:numRef>
          </c:val>
        </c:ser>
        <c:axId val="8001"/>
        <c:axId val="8002"/>
      </c:radarChart>
      <c:catAx>
        <c:axId val="8001"/>
        <c:scaling>
          <c:orientation val="minMax"/>
        </c:scaling>
        <c:delete val="0"/>
        <c:axPos val="b"/>
        <c:majorGridlines>
          <c:spPr>
            <a:ln w="6350">
              <a:solidFill>
                <a:srgbClr val="D9D9D9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50" b="1">
                <a:solidFill>
                  <a:srgbClr val="262626"/>
                </a:solidFill>
                <a:latin typeface="Calibri"/>
              </a:defRPr>
            </a:pPr>
            <a:endParaRPr lang="en-US"/>
          </a:p>
        </c:txPr>
        <c:crossAx val="8002"/>
        <c:crosses val="autoZero"/>
        <c:auto val="1"/>
        <c:lblAlgn val="ctr"/>
        <c:lblOffset val="100"/>
        <c:noMultiLvlLbl val="0"/>
      </c:catAx>
      <c:valAx>
        <c:axId val="8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numFmt formatCode="0" sourceLinked="0"/>
        <c:majorTickMark val="cross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900" b="0">
                <a:solidFill>
                  <a:srgbClr val="7F7F7F"/>
                </a:solidFill>
                <a:latin typeface="Calibri"/>
              </a:defRPr>
            </a:pPr>
            <a:endParaRPr lang="en-US"/>
          </a:p>
        </c:txPr>
        <c:crossAx val="8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000" b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/>
          <a:lstStyle/>
          <a:p>
            <a:pPr>
              <a:defRPr sz="1200" b="1">
                <a:solidFill>
                  <a:srgbClr val="1F3864"/>
                </a:solidFill>
                <a:latin typeface="Calibri"/>
              </a:defRPr>
            </a:pPr>
            <a:r>
              <a:rPr lang="en-US" sz="1200" b="1">
                <a:solidFill>
                  <a:srgbClr val="1F3864"/>
                </a:solidFill>
                <a:latin typeface="Calibri"/>
              </a:rPr>
              <a:t>Iteration 7 · Step 5 — counters g(Sⱼ) before and after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v>g before the iteration</c:v>
          </c:tx>
          <c:spPr>
            <a:ln w="28575" cap="rnd">
              <a:solidFill>
                <a:srgbClr val="70AD47"/>
              </a:solidFill>
              <a:prstDash val="dash"/>
              <a:round/>
            </a:ln>
          </c:spPr>
          <c:marker>
            <c:symbol val="circle"/>
            <c:size val="8"/>
            <c:spPr>
              <a:solidFill>
                <a:srgbClr val="70AD47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Iterations'!$B$162:$H$162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Iterations'!$B$166:$H$166</c:f>
              <c:numCache>
                <c:formatCode>General</c:formatCode>
                <c:ptCount val="7"/>
                <c:pt idx="0">
                  <c:v>1.0</c:v>
                </c:pt>
                <c:pt idx="1">
                  <c:v>2.0</c:v>
                </c:pt>
                <c:pt idx="2">
                  <c:v>2.0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</c:numCache>
            </c:numRef>
          </c:val>
        </c:ser>
        <c:ser>
          <c:idx val="1"/>
          <c:order val="1"/>
          <c:tx>
            <c:v>g after the iteration</c:v>
          </c:tx>
          <c:spPr>
            <a:ln w="28575" cap="rnd">
              <a:solidFill>
                <a:srgbClr val="375623"/>
              </a:solidFill>
              <a:round/>
            </a:ln>
          </c:spPr>
          <c:marker>
            <c:symbol val="square"/>
            <c:size val="8"/>
            <c:spPr>
              <a:solidFill>
                <a:srgbClr val="375623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Iterations'!$B$162:$H$162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Iterations'!$B$179:$H$179</c:f>
              <c:numCache>
                <c:formatCode>General</c:formatCode>
                <c:ptCount val="7"/>
                <c:pt idx="0">
                  <c:v>1.0</c:v>
                </c:pt>
                <c:pt idx="1">
                  <c:v>2.0</c:v>
                </c:pt>
                <c:pt idx="2">
                  <c:v>2.0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</c:numCache>
            </c:numRef>
          </c:val>
        </c:ser>
        <c:axId val="8001"/>
        <c:axId val="8002"/>
      </c:radarChart>
      <c:catAx>
        <c:axId val="8001"/>
        <c:scaling>
          <c:orientation val="minMax"/>
        </c:scaling>
        <c:delete val="0"/>
        <c:axPos val="b"/>
        <c:majorGridlines>
          <c:spPr>
            <a:ln w="6350">
              <a:solidFill>
                <a:srgbClr val="D9D9D9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50" b="1">
                <a:solidFill>
                  <a:srgbClr val="262626"/>
                </a:solidFill>
                <a:latin typeface="Calibri"/>
              </a:defRPr>
            </a:pPr>
            <a:endParaRPr lang="en-US"/>
          </a:p>
        </c:txPr>
        <c:crossAx val="8002"/>
        <c:crosses val="autoZero"/>
        <c:auto val="1"/>
        <c:lblAlgn val="ctr"/>
        <c:lblOffset val="100"/>
        <c:noMultiLvlLbl val="0"/>
      </c:catAx>
      <c:valAx>
        <c:axId val="8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numFmt formatCode="0" sourceLinked="0"/>
        <c:majorTickMark val="cross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900" b="0">
                <a:solidFill>
                  <a:srgbClr val="7F7F7F"/>
                </a:solidFill>
                <a:latin typeface="Calibri"/>
              </a:defRPr>
            </a:pPr>
            <a:endParaRPr lang="en-US"/>
          </a:p>
        </c:txPr>
        <c:crossAx val="8001"/>
        <c:crosses val="autoZero"/>
        <c:crossBetween val="between"/>
        <c:majorUnit val="1"/>
      </c:valAx>
    </c:plotArea>
    <c:legend>
      <c:legendPos val="b"/>
      <c:overlay val="0"/>
      <c:txPr>
        <a:bodyPr/>
        <a:lstStyle/>
        <a:p>
          <a:pPr>
            <a:defRPr sz="1000" b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/>
          <a:lstStyle/>
          <a:p>
            <a:pPr>
              <a:defRPr sz="1050" b="1">
                <a:solidFill>
                  <a:srgbClr val="1F3864"/>
                </a:solidFill>
                <a:latin typeface="Calibri"/>
              </a:defRPr>
            </a:pPr>
            <a:r>
              <a:rPr lang="en-US" sz="1050" b="1">
                <a:solidFill>
                  <a:srgbClr val="1F3864"/>
                </a:solidFill>
                <a:latin typeface="Calibri"/>
              </a:rPr>
              <a:t>Iteration 1 · enemy spheres around the selected Sᵢ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0152"/>
          <c:y val="0.0812"/>
          <c:w val="0.6768"/>
          <c:h val="0.8701"/>
        </c:manualLayout>
      </c:layout>
      <c:scatterChart>
        <c:scatterStyle val="lineMarker"/>
        <c:varyColors val="0"/>
        <c:ser>
          <c:idx val="0"/>
          <c:order val="0"/>
          <c:tx>
            <c:v>own class in F, not in L</c:v>
          </c:tx>
          <c:spPr>
            <a:ln w="15875" cap="rnd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Data'!$AO$310:$AO$334</c:f>
              <c:numCache>
                <c:formatCode>General</c:formatCode>
                <c:ptCount val="25"/>
                <c:pt idx="0">
                  <c:v>0.391271976760327</c:v>
                </c:pt>
                <c:pt idx="1">
                  <c:v>0.375269665872201</c:v>
                </c:pt>
                <c:pt idx="2">
                  <c:v>0.328353264249781</c:v>
                </c:pt>
                <c:pt idx="3">
                  <c:v>0.253720047130614</c:v>
                </c:pt>
                <c:pt idx="4">
                  <c:v>0.15645614492415</c:v>
                </c:pt>
                <c:pt idx="5">
                  <c:v>0.0431899318295601</c:v>
                </c:pt>
                <c:pt idx="6">
                  <c:v>-0.0783596869120265</c:v>
                </c:pt>
                <c:pt idx="7">
                  <c:v>-0.199909305653613</c:v>
                </c:pt>
                <c:pt idx="8">
                  <c:v>-0.313175518748203</c:v>
                </c:pt>
                <c:pt idx="9">
                  <c:v>-0.410439420954668</c:v>
                </c:pt>
                <c:pt idx="10">
                  <c:v>-0.485072638073834</c:v>
                </c:pt>
                <c:pt idx="11">
                  <c:v>-0.531989039696254</c:v>
                </c:pt>
                <c:pt idx="12">
                  <c:v>-0.54799135058438</c:v>
                </c:pt>
                <c:pt idx="13">
                  <c:v>-0.531989039696254</c:v>
                </c:pt>
                <c:pt idx="14">
                  <c:v>-0.485072638073834</c:v>
                </c:pt>
                <c:pt idx="15">
                  <c:v>-0.410439420954668</c:v>
                </c:pt>
                <c:pt idx="16">
                  <c:v>-0.313175518748203</c:v>
                </c:pt>
                <c:pt idx="17">
                  <c:v>-0.199909305653613</c:v>
                </c:pt>
                <c:pt idx="18">
                  <c:v>-0.0783596869120266</c:v>
                </c:pt>
                <c:pt idx="19">
                  <c:v>0.0431899318295599</c:v>
                </c:pt>
                <c:pt idx="20">
                  <c:v>0.15645614492415</c:v>
                </c:pt>
                <c:pt idx="21">
                  <c:v>0.253720047130614</c:v>
                </c:pt>
                <c:pt idx="22">
                  <c:v>0.328353264249781</c:v>
                </c:pt>
                <c:pt idx="23">
                  <c:v>0.375269665872201</c:v>
                </c:pt>
                <c:pt idx="24">
                  <c:v>0.391271976760327</c:v>
                </c:pt>
              </c:numCache>
            </c:numRef>
          </c:xVal>
          <c:yVal>
            <c:numRef>
              <c:f>'Hypersphere Data'!$AQ$310:$AQ$334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"/>
          <c:order val="1"/>
          <c:tx>
            <c:v>own class in F, not in L</c:v>
          </c:tx>
          <c:spPr>
            <a:ln w="15875" cap="rnd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Data'!$AS$310:$AS$334</c:f>
              <c:numCache>
                <c:formatCode>General</c:formatCode>
                <c:ptCount val="25"/>
                <c:pt idx="0">
                  <c:v>0.547301799327135</c:v>
                </c:pt>
                <c:pt idx="1">
                  <c:v>0.525982901160782</c:v>
                </c:pt>
                <c:pt idx="2">
                  <c:v>0.463479054340616</c:v>
                </c:pt>
                <c:pt idx="3">
                  <c:v>0.364049792734939</c:v>
                </c:pt>
                <c:pt idx="4">
                  <c:v>0.234471056207554</c:v>
                </c:pt>
                <c:pt idx="5">
                  <c:v>0.0835734215138173</c:v>
                </c:pt>
                <c:pt idx="6">
                  <c:v>-0.0783596869120265</c:v>
                </c:pt>
                <c:pt idx="7">
                  <c:v>-0.24029279533787</c:v>
                </c:pt>
                <c:pt idx="8">
                  <c:v>-0.391190430031607</c:v>
                </c:pt>
                <c:pt idx="9">
                  <c:v>-0.520769166558992</c:v>
                </c:pt>
                <c:pt idx="10">
                  <c:v>-0.620198428164669</c:v>
                </c:pt>
                <c:pt idx="11">
                  <c:v>-0.682702274984835</c:v>
                </c:pt>
                <c:pt idx="12">
                  <c:v>-0.704021173151188</c:v>
                </c:pt>
                <c:pt idx="13">
                  <c:v>-0.682702274984836</c:v>
                </c:pt>
                <c:pt idx="14">
                  <c:v>-0.620198428164669</c:v>
                </c:pt>
                <c:pt idx="15">
                  <c:v>-0.520769166558992</c:v>
                </c:pt>
                <c:pt idx="16">
                  <c:v>-0.391190430031608</c:v>
                </c:pt>
                <c:pt idx="17">
                  <c:v>-0.24029279533787</c:v>
                </c:pt>
                <c:pt idx="18">
                  <c:v>-0.0783596869120266</c:v>
                </c:pt>
                <c:pt idx="19">
                  <c:v>0.083573421513817</c:v>
                </c:pt>
                <c:pt idx="20">
                  <c:v>0.234471056207554</c:v>
                </c:pt>
                <c:pt idx="21">
                  <c:v>0.364049792734939</c:v>
                </c:pt>
                <c:pt idx="22">
                  <c:v>0.463479054340615</c:v>
                </c:pt>
                <c:pt idx="23">
                  <c:v>0.525982901160782</c:v>
                </c:pt>
                <c:pt idx="24">
                  <c:v>0.547301799327135</c:v>
                </c:pt>
              </c:numCache>
            </c:numRef>
          </c:xVal>
          <c:yVal>
            <c:numRef>
              <c:f>'Hypersphere Data'!$AU$310:$AU$334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2"/>
          <c:order val="2"/>
          <c:tx>
            <c:v>own class in F, not in L</c:v>
          </c:tx>
          <c:spPr>
            <a:ln w="15875" cap="rnd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Data'!$AW$310:$AW$334</c:f>
              <c:numCache>
                <c:formatCode>General</c:formatCode>
                <c:ptCount val="25"/>
              </c:numCache>
            </c:numRef>
          </c:xVal>
          <c:yVal>
            <c:numRef>
              <c:f>'Hypersphere Data'!$AY$310:$AY$334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3"/>
          <c:order val="3"/>
          <c:tx>
            <c:v>own class in F, not in L</c:v>
          </c:tx>
          <c:spPr>
            <a:ln w="15875" cap="rnd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Data'!$BA$310:$BA$334</c:f>
              <c:numCache>
                <c:formatCode>General</c:formatCode>
                <c:ptCount val="25"/>
                <c:pt idx="0">
                  <c:v>-0.248571703132133</c:v>
                </c:pt>
                <c:pt idx="1">
                  <c:v>-0.259151623571247</c:v>
                </c:pt>
                <c:pt idx="2">
                  <c:v>-0.29017038079481</c:v>
                </c:pt>
                <c:pt idx="3">
                  <c:v>-0.339514097758956</c:v>
                </c:pt>
                <c:pt idx="4">
                  <c:v>-0.403820081696926</c:v>
                </c:pt>
                <c:pt idx="5">
                  <c:v>-0.47870598607401</c:v>
                </c:pt>
                <c:pt idx="6">
                  <c:v>-0.559068460261719</c:v>
                </c:pt>
                <c:pt idx="7">
                  <c:v>-0.639430934449427</c:v>
                </c:pt>
                <c:pt idx="8">
                  <c:v>-0.714316838826511</c:v>
                </c:pt>
                <c:pt idx="9">
                  <c:v>-0.778622822764481</c:v>
                </c:pt>
                <c:pt idx="10">
                  <c:v>-0.827966539728627</c:v>
                </c:pt>
                <c:pt idx="11">
                  <c:v>-0.85898529695219</c:v>
                </c:pt>
                <c:pt idx="12">
                  <c:v>-0.869565217391304</c:v>
                </c:pt>
                <c:pt idx="13">
                  <c:v>-0.85898529695219</c:v>
                </c:pt>
                <c:pt idx="14">
                  <c:v>-0.827966539728627</c:v>
                </c:pt>
                <c:pt idx="15">
                  <c:v>-0.778622822764481</c:v>
                </c:pt>
                <c:pt idx="16">
                  <c:v>-0.714316838826512</c:v>
                </c:pt>
                <c:pt idx="17">
                  <c:v>-0.639430934449427</c:v>
                </c:pt>
                <c:pt idx="18">
                  <c:v>-0.559068460261719</c:v>
                </c:pt>
                <c:pt idx="19">
                  <c:v>-0.47870598607401</c:v>
                </c:pt>
                <c:pt idx="20">
                  <c:v>-0.403820081696926</c:v>
                </c:pt>
                <c:pt idx="21">
                  <c:v>-0.339514097758956</c:v>
                </c:pt>
                <c:pt idx="22">
                  <c:v>-0.29017038079481</c:v>
                </c:pt>
                <c:pt idx="23">
                  <c:v>-0.259151623571247</c:v>
                </c:pt>
                <c:pt idx="24">
                  <c:v>-0.248571703132133</c:v>
                </c:pt>
              </c:numCache>
            </c:numRef>
          </c:xVal>
          <c:yVal>
            <c:numRef>
              <c:f>'Hypersphere Data'!$BC$310:$BC$334</c:f>
              <c:numCache>
                <c:formatCode>General</c:formatCode>
                <c:ptCount val="25"/>
                <c:pt idx="0">
                  <c:v>-0.491530149672056</c:v>
                </c:pt>
                <c:pt idx="1">
                  <c:v>-0.411167675484347</c:v>
                </c:pt>
                <c:pt idx="2">
                  <c:v>-0.336281771107263</c:v>
                </c:pt>
                <c:pt idx="3">
                  <c:v>-0.271975787169294</c:v>
                </c:pt>
                <c:pt idx="4">
                  <c:v>-0.222632070205148</c:v>
                </c:pt>
                <c:pt idx="5">
                  <c:v>-0.191613312981585</c:v>
                </c:pt>
                <c:pt idx="6">
                  <c:v>-0.18103339254247</c:v>
                </c:pt>
                <c:pt idx="7">
                  <c:v>-0.191613312981585</c:v>
                </c:pt>
                <c:pt idx="8">
                  <c:v>-0.222632070205148</c:v>
                </c:pt>
                <c:pt idx="9">
                  <c:v>-0.271975787169293</c:v>
                </c:pt>
                <c:pt idx="10">
                  <c:v>-0.336281771107263</c:v>
                </c:pt>
                <c:pt idx="11">
                  <c:v>-0.411167675484347</c:v>
                </c:pt>
                <c:pt idx="12">
                  <c:v>-0.491530149672056</c:v>
                </c:pt>
                <c:pt idx="13">
                  <c:v>-0.571892623859765</c:v>
                </c:pt>
                <c:pt idx="14">
                  <c:v>-0.646778528236849</c:v>
                </c:pt>
                <c:pt idx="15">
                  <c:v>-0.711084512174819</c:v>
                </c:pt>
                <c:pt idx="16">
                  <c:v>-0.760428229138964</c:v>
                </c:pt>
                <c:pt idx="17">
                  <c:v>-0.791446986362528</c:v>
                </c:pt>
                <c:pt idx="18">
                  <c:v>-0.802026906801642</c:v>
                </c:pt>
                <c:pt idx="19">
                  <c:v>-0.791446986362528</c:v>
                </c:pt>
                <c:pt idx="20">
                  <c:v>-0.760428229138965</c:v>
                </c:pt>
                <c:pt idx="21">
                  <c:v>-0.711084512174819</c:v>
                </c:pt>
                <c:pt idx="22">
                  <c:v>-0.646778528236849</c:v>
                </c:pt>
                <c:pt idx="23">
                  <c:v>-0.571892623859765</c:v>
                </c:pt>
                <c:pt idx="24">
                  <c:v>-0.491530149672056</c:v>
                </c:pt>
              </c:numCache>
            </c:numRef>
          </c:yVal>
          <c:smooth val="1"/>
        </c:ser>
        <c:ser>
          <c:idx val="4"/>
          <c:order val="4"/>
          <c:tx>
            <c:v>own class in F, not in L</c:v>
          </c:tx>
          <c:spPr>
            <a:ln w="15875" cap="rnd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Data'!$BE$310:$BE$334</c:f>
              <c:numCache>
                <c:formatCode>General</c:formatCode>
                <c:ptCount val="25"/>
                <c:pt idx="0">
                  <c:v>0.869565217391304</c:v>
                </c:pt>
                <c:pt idx="1">
                  <c:v>0.849268791014586</c:v>
                </c:pt>
                <c:pt idx="2">
                  <c:v>0.789762679800574</c:v>
                </c:pt>
                <c:pt idx="3">
                  <c:v>0.695102126890005</c:v>
                </c:pt>
                <c:pt idx="4">
                  <c:v>0.571738092529774</c:v>
                </c:pt>
                <c:pt idx="5">
                  <c:v>0.428077631792824</c:v>
                </c:pt>
                <c:pt idx="6">
                  <c:v>0.273910967668243</c:v>
                </c:pt>
                <c:pt idx="7">
                  <c:v>0.119744303543662</c:v>
                </c:pt>
                <c:pt idx="8">
                  <c:v>-0.0239161571932873</c:v>
                </c:pt>
                <c:pt idx="9">
                  <c:v>-0.147280191553519</c:v>
                </c:pt>
                <c:pt idx="10">
                  <c:v>-0.241940744464088</c:v>
                </c:pt>
                <c:pt idx="11">
                  <c:v>-0.3014468556781</c:v>
                </c:pt>
                <c:pt idx="12">
                  <c:v>-0.321743282054818</c:v>
                </c:pt>
                <c:pt idx="13">
                  <c:v>-0.3014468556781</c:v>
                </c:pt>
                <c:pt idx="14">
                  <c:v>-0.241940744464088</c:v>
                </c:pt>
                <c:pt idx="15">
                  <c:v>-0.147280191553519</c:v>
                </c:pt>
                <c:pt idx="16">
                  <c:v>-0.0239161571932877</c:v>
                </c:pt>
                <c:pt idx="17">
                  <c:v>0.119744303543662</c:v>
                </c:pt>
                <c:pt idx="18">
                  <c:v>0.273910967668243</c:v>
                </c:pt>
                <c:pt idx="19">
                  <c:v>0.428077631792824</c:v>
                </c:pt>
                <c:pt idx="20">
                  <c:v>0.571738092529774</c:v>
                </c:pt>
                <c:pt idx="21">
                  <c:v>0.695102126890005</c:v>
                </c:pt>
                <c:pt idx="22">
                  <c:v>0.789762679800574</c:v>
                </c:pt>
                <c:pt idx="23">
                  <c:v>0.849268791014586</c:v>
                </c:pt>
                <c:pt idx="24">
                  <c:v>0.869565217391304</c:v>
                </c:pt>
              </c:numCache>
            </c:numRef>
          </c:xVal>
          <c:yVal>
            <c:numRef>
              <c:f>'Hypersphere Data'!$BG$310:$BG$334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5"/>
          <c:order val="5"/>
          <c:tx>
            <c:v>own class in F, not in L</c:v>
          </c:tx>
          <c:spPr>
            <a:ln w="15875" cap="rnd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Data'!$BI$310:$BI$334</c:f>
              <c:numCache>
                <c:formatCode>General</c:formatCode>
                <c:ptCount val="25"/>
              </c:numCache>
            </c:numRef>
          </c:xVal>
          <c:yVal>
            <c:numRef>
              <c:f>'Hypersphere Data'!$BK$310:$BK$334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6"/>
          <c:order val="6"/>
          <c:tx>
            <c:v>own class in F, not in L</c:v>
          </c:tx>
          <c:spPr>
            <a:ln w="15875" cap="rnd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Data'!$BM$310:$BM$334</c:f>
              <c:numCache>
                <c:formatCode>General</c:formatCode>
                <c:ptCount val="25"/>
              </c:numCache>
            </c:numRef>
          </c:xVal>
          <c:yVal>
            <c:numRef>
              <c:f>'Hypersphere Data'!$BO$310:$BO$334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7"/>
          <c:order val="7"/>
          <c:tx>
            <c:v>own class in D (no longer counts)</c:v>
          </c:tx>
          <c:spPr>
            <a:ln w="15875" cap="rnd">
              <a:solidFill>
                <a:srgbClr val="A6A6A6"/>
              </a:solidFill>
              <a:prstDash val="sysDot"/>
              <a:round/>
            </a:ln>
          </c:spPr>
          <c:marker>
            <c:symbol val="none"/>
          </c:marker>
          <c:xVal>
            <c:numRef>
              <c:f>'Hypersphere Data'!$AO$310:$AO$334</c:f>
              <c:numCache>
                <c:formatCode>General</c:formatCode>
                <c:ptCount val="25"/>
                <c:pt idx="0">
                  <c:v>0.391271976760327</c:v>
                </c:pt>
                <c:pt idx="1">
                  <c:v>0.375269665872201</c:v>
                </c:pt>
                <c:pt idx="2">
                  <c:v>0.328353264249781</c:v>
                </c:pt>
                <c:pt idx="3">
                  <c:v>0.253720047130614</c:v>
                </c:pt>
                <c:pt idx="4">
                  <c:v>0.15645614492415</c:v>
                </c:pt>
                <c:pt idx="5">
                  <c:v>0.0431899318295601</c:v>
                </c:pt>
                <c:pt idx="6">
                  <c:v>-0.0783596869120265</c:v>
                </c:pt>
                <c:pt idx="7">
                  <c:v>-0.199909305653613</c:v>
                </c:pt>
                <c:pt idx="8">
                  <c:v>-0.313175518748203</c:v>
                </c:pt>
                <c:pt idx="9">
                  <c:v>-0.410439420954668</c:v>
                </c:pt>
                <c:pt idx="10">
                  <c:v>-0.485072638073834</c:v>
                </c:pt>
                <c:pt idx="11">
                  <c:v>-0.531989039696254</c:v>
                </c:pt>
                <c:pt idx="12">
                  <c:v>-0.54799135058438</c:v>
                </c:pt>
                <c:pt idx="13">
                  <c:v>-0.531989039696254</c:v>
                </c:pt>
                <c:pt idx="14">
                  <c:v>-0.485072638073834</c:v>
                </c:pt>
                <c:pt idx="15">
                  <c:v>-0.410439420954668</c:v>
                </c:pt>
                <c:pt idx="16">
                  <c:v>-0.313175518748203</c:v>
                </c:pt>
                <c:pt idx="17">
                  <c:v>-0.199909305653613</c:v>
                </c:pt>
                <c:pt idx="18">
                  <c:v>-0.0783596869120266</c:v>
                </c:pt>
                <c:pt idx="19">
                  <c:v>0.0431899318295599</c:v>
                </c:pt>
                <c:pt idx="20">
                  <c:v>0.15645614492415</c:v>
                </c:pt>
                <c:pt idx="21">
                  <c:v>0.253720047130614</c:v>
                </c:pt>
                <c:pt idx="22">
                  <c:v>0.328353264249781</c:v>
                </c:pt>
                <c:pt idx="23">
                  <c:v>0.375269665872201</c:v>
                </c:pt>
                <c:pt idx="24">
                  <c:v>0.391271976760327</c:v>
                </c:pt>
              </c:numCache>
            </c:numRef>
          </c:xVal>
          <c:yVal>
            <c:numRef>
              <c:f>'Hypersphere Data'!$AR$310:$AR$334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8"/>
          <c:order val="8"/>
          <c:tx>
            <c:v>own class in D (no longer counts)</c:v>
          </c:tx>
          <c:spPr>
            <a:ln w="15875" cap="rnd">
              <a:solidFill>
                <a:srgbClr val="A6A6A6"/>
              </a:solidFill>
              <a:prstDash val="sysDot"/>
              <a:round/>
            </a:ln>
          </c:spPr>
          <c:marker>
            <c:symbol val="none"/>
          </c:marker>
          <c:xVal>
            <c:numRef>
              <c:f>'Hypersphere Data'!$AS$310:$AS$334</c:f>
              <c:numCache>
                <c:formatCode>General</c:formatCode>
                <c:ptCount val="25"/>
                <c:pt idx="0">
                  <c:v>0.547301799327135</c:v>
                </c:pt>
                <c:pt idx="1">
                  <c:v>0.525982901160782</c:v>
                </c:pt>
                <c:pt idx="2">
                  <c:v>0.463479054340616</c:v>
                </c:pt>
                <c:pt idx="3">
                  <c:v>0.364049792734939</c:v>
                </c:pt>
                <c:pt idx="4">
                  <c:v>0.234471056207554</c:v>
                </c:pt>
                <c:pt idx="5">
                  <c:v>0.0835734215138173</c:v>
                </c:pt>
                <c:pt idx="6">
                  <c:v>-0.0783596869120265</c:v>
                </c:pt>
                <c:pt idx="7">
                  <c:v>-0.24029279533787</c:v>
                </c:pt>
                <c:pt idx="8">
                  <c:v>-0.391190430031607</c:v>
                </c:pt>
                <c:pt idx="9">
                  <c:v>-0.520769166558992</c:v>
                </c:pt>
                <c:pt idx="10">
                  <c:v>-0.620198428164669</c:v>
                </c:pt>
                <c:pt idx="11">
                  <c:v>-0.682702274984835</c:v>
                </c:pt>
                <c:pt idx="12">
                  <c:v>-0.704021173151188</c:v>
                </c:pt>
                <c:pt idx="13">
                  <c:v>-0.682702274984836</c:v>
                </c:pt>
                <c:pt idx="14">
                  <c:v>-0.620198428164669</c:v>
                </c:pt>
                <c:pt idx="15">
                  <c:v>-0.520769166558992</c:v>
                </c:pt>
                <c:pt idx="16">
                  <c:v>-0.391190430031608</c:v>
                </c:pt>
                <c:pt idx="17">
                  <c:v>-0.24029279533787</c:v>
                </c:pt>
                <c:pt idx="18">
                  <c:v>-0.0783596869120266</c:v>
                </c:pt>
                <c:pt idx="19">
                  <c:v>0.083573421513817</c:v>
                </c:pt>
                <c:pt idx="20">
                  <c:v>0.234471056207554</c:v>
                </c:pt>
                <c:pt idx="21">
                  <c:v>0.364049792734939</c:v>
                </c:pt>
                <c:pt idx="22">
                  <c:v>0.463479054340615</c:v>
                </c:pt>
                <c:pt idx="23">
                  <c:v>0.525982901160782</c:v>
                </c:pt>
                <c:pt idx="24">
                  <c:v>0.547301799327135</c:v>
                </c:pt>
              </c:numCache>
            </c:numRef>
          </c:xVal>
          <c:yVal>
            <c:numRef>
              <c:f>'Hypersphere Data'!$AV$310:$AV$334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9"/>
          <c:order val="9"/>
          <c:tx>
            <c:v>own class in D (no longer counts)</c:v>
          </c:tx>
          <c:spPr>
            <a:ln w="15875" cap="rnd">
              <a:solidFill>
                <a:srgbClr val="A6A6A6"/>
              </a:solidFill>
              <a:prstDash val="sysDot"/>
              <a:round/>
            </a:ln>
          </c:spPr>
          <c:marker>
            <c:symbol val="none"/>
          </c:marker>
          <c:xVal>
            <c:numRef>
              <c:f>'Hypersphere Data'!$AW$310:$AW$334</c:f>
              <c:numCache>
                <c:formatCode>General</c:formatCode>
                <c:ptCount val="25"/>
              </c:numCache>
            </c:numRef>
          </c:xVal>
          <c:yVal>
            <c:numRef>
              <c:f>'Hypersphere Data'!$AZ$310:$AZ$334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0"/>
          <c:order val="10"/>
          <c:tx>
            <c:v>own class in D (no longer counts)</c:v>
          </c:tx>
          <c:spPr>
            <a:ln w="15875" cap="rnd">
              <a:solidFill>
                <a:srgbClr val="A6A6A6"/>
              </a:solidFill>
              <a:prstDash val="sysDot"/>
              <a:round/>
            </a:ln>
          </c:spPr>
          <c:marker>
            <c:symbol val="none"/>
          </c:marker>
          <c:xVal>
            <c:numRef>
              <c:f>'Hypersphere Data'!$BA$310:$BA$334</c:f>
              <c:numCache>
                <c:formatCode>General</c:formatCode>
                <c:ptCount val="25"/>
                <c:pt idx="0">
                  <c:v>-0.248571703132133</c:v>
                </c:pt>
                <c:pt idx="1">
                  <c:v>-0.259151623571247</c:v>
                </c:pt>
                <c:pt idx="2">
                  <c:v>-0.29017038079481</c:v>
                </c:pt>
                <c:pt idx="3">
                  <c:v>-0.339514097758956</c:v>
                </c:pt>
                <c:pt idx="4">
                  <c:v>-0.403820081696926</c:v>
                </c:pt>
                <c:pt idx="5">
                  <c:v>-0.47870598607401</c:v>
                </c:pt>
                <c:pt idx="6">
                  <c:v>-0.559068460261719</c:v>
                </c:pt>
                <c:pt idx="7">
                  <c:v>-0.639430934449427</c:v>
                </c:pt>
                <c:pt idx="8">
                  <c:v>-0.714316838826511</c:v>
                </c:pt>
                <c:pt idx="9">
                  <c:v>-0.778622822764481</c:v>
                </c:pt>
                <c:pt idx="10">
                  <c:v>-0.827966539728627</c:v>
                </c:pt>
                <c:pt idx="11">
                  <c:v>-0.85898529695219</c:v>
                </c:pt>
                <c:pt idx="12">
                  <c:v>-0.869565217391304</c:v>
                </c:pt>
                <c:pt idx="13">
                  <c:v>-0.85898529695219</c:v>
                </c:pt>
                <c:pt idx="14">
                  <c:v>-0.827966539728627</c:v>
                </c:pt>
                <c:pt idx="15">
                  <c:v>-0.778622822764481</c:v>
                </c:pt>
                <c:pt idx="16">
                  <c:v>-0.714316838826512</c:v>
                </c:pt>
                <c:pt idx="17">
                  <c:v>-0.639430934449427</c:v>
                </c:pt>
                <c:pt idx="18">
                  <c:v>-0.559068460261719</c:v>
                </c:pt>
                <c:pt idx="19">
                  <c:v>-0.47870598607401</c:v>
                </c:pt>
                <c:pt idx="20">
                  <c:v>-0.403820081696926</c:v>
                </c:pt>
                <c:pt idx="21">
                  <c:v>-0.339514097758956</c:v>
                </c:pt>
                <c:pt idx="22">
                  <c:v>-0.29017038079481</c:v>
                </c:pt>
                <c:pt idx="23">
                  <c:v>-0.259151623571247</c:v>
                </c:pt>
                <c:pt idx="24">
                  <c:v>-0.248571703132133</c:v>
                </c:pt>
              </c:numCache>
            </c:numRef>
          </c:xVal>
          <c:yVal>
            <c:numRef>
              <c:f>'Hypersphere Data'!$BD$310:$BD$334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1"/>
          <c:order val="11"/>
          <c:tx>
            <c:v>own class in D (no longer counts)</c:v>
          </c:tx>
          <c:spPr>
            <a:ln w="15875" cap="rnd">
              <a:solidFill>
                <a:srgbClr val="A6A6A6"/>
              </a:solidFill>
              <a:prstDash val="sysDot"/>
              <a:round/>
            </a:ln>
          </c:spPr>
          <c:marker>
            <c:symbol val="none"/>
          </c:marker>
          <c:xVal>
            <c:numRef>
              <c:f>'Hypersphere Data'!$BE$310:$BE$334</c:f>
              <c:numCache>
                <c:formatCode>General</c:formatCode>
                <c:ptCount val="25"/>
                <c:pt idx="0">
                  <c:v>0.869565217391304</c:v>
                </c:pt>
                <c:pt idx="1">
                  <c:v>0.849268791014586</c:v>
                </c:pt>
                <c:pt idx="2">
                  <c:v>0.789762679800574</c:v>
                </c:pt>
                <c:pt idx="3">
                  <c:v>0.695102126890005</c:v>
                </c:pt>
                <c:pt idx="4">
                  <c:v>0.571738092529774</c:v>
                </c:pt>
                <c:pt idx="5">
                  <c:v>0.428077631792824</c:v>
                </c:pt>
                <c:pt idx="6">
                  <c:v>0.273910967668243</c:v>
                </c:pt>
                <c:pt idx="7">
                  <c:v>0.119744303543662</c:v>
                </c:pt>
                <c:pt idx="8">
                  <c:v>-0.0239161571932873</c:v>
                </c:pt>
                <c:pt idx="9">
                  <c:v>-0.147280191553519</c:v>
                </c:pt>
                <c:pt idx="10">
                  <c:v>-0.241940744464088</c:v>
                </c:pt>
                <c:pt idx="11">
                  <c:v>-0.3014468556781</c:v>
                </c:pt>
                <c:pt idx="12">
                  <c:v>-0.321743282054818</c:v>
                </c:pt>
                <c:pt idx="13">
                  <c:v>-0.3014468556781</c:v>
                </c:pt>
                <c:pt idx="14">
                  <c:v>-0.241940744464088</c:v>
                </c:pt>
                <c:pt idx="15">
                  <c:v>-0.147280191553519</c:v>
                </c:pt>
                <c:pt idx="16">
                  <c:v>-0.0239161571932877</c:v>
                </c:pt>
                <c:pt idx="17">
                  <c:v>0.119744303543662</c:v>
                </c:pt>
                <c:pt idx="18">
                  <c:v>0.273910967668243</c:v>
                </c:pt>
                <c:pt idx="19">
                  <c:v>0.428077631792824</c:v>
                </c:pt>
                <c:pt idx="20">
                  <c:v>0.571738092529774</c:v>
                </c:pt>
                <c:pt idx="21">
                  <c:v>0.695102126890005</c:v>
                </c:pt>
                <c:pt idx="22">
                  <c:v>0.789762679800574</c:v>
                </c:pt>
                <c:pt idx="23">
                  <c:v>0.849268791014586</c:v>
                </c:pt>
                <c:pt idx="24">
                  <c:v>0.869565217391304</c:v>
                </c:pt>
              </c:numCache>
            </c:numRef>
          </c:xVal>
          <c:yVal>
            <c:numRef>
              <c:f>'Hypersphere Data'!$BH$310:$BH$334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2"/>
          <c:order val="12"/>
          <c:tx>
            <c:v>own class in D (no longer counts)</c:v>
          </c:tx>
          <c:spPr>
            <a:ln w="15875" cap="rnd">
              <a:solidFill>
                <a:srgbClr val="A6A6A6"/>
              </a:solidFill>
              <a:prstDash val="sysDot"/>
              <a:round/>
            </a:ln>
          </c:spPr>
          <c:marker>
            <c:symbol val="none"/>
          </c:marker>
          <c:xVal>
            <c:numRef>
              <c:f>'Hypersphere Data'!$BI$310:$BI$334</c:f>
              <c:numCache>
                <c:formatCode>General</c:formatCode>
                <c:ptCount val="25"/>
              </c:numCache>
            </c:numRef>
          </c:xVal>
          <c:yVal>
            <c:numRef>
              <c:f>'Hypersphere Data'!$BL$310:$BL$334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3"/>
          <c:order val="13"/>
          <c:tx>
            <c:v>own class in D (no longer counts)</c:v>
          </c:tx>
          <c:spPr>
            <a:ln w="15875" cap="rnd">
              <a:solidFill>
                <a:srgbClr val="A6A6A6"/>
              </a:solidFill>
              <a:prstDash val="sysDot"/>
              <a:round/>
            </a:ln>
          </c:spPr>
          <c:marker>
            <c:symbol val="none"/>
          </c:marker>
          <c:xVal>
            <c:numRef>
              <c:f>'Hypersphere Data'!$BM$310:$BM$334</c:f>
              <c:numCache>
                <c:formatCode>General</c:formatCode>
                <c:ptCount val="25"/>
              </c:numCache>
            </c:numRef>
          </c:xVal>
          <c:yVal>
            <c:numRef>
              <c:f>'Hypersphere Data'!$BP$310:$BP$334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4"/>
          <c:order val="14"/>
          <c:tx>
            <c:v>sphere of a member of L</c:v>
          </c:tx>
          <c:spPr>
            <a:ln w="28575" cap="rnd">
              <a:solidFill>
                <a:srgbClr val="BF8F00"/>
              </a:solidFill>
              <a:round/>
            </a:ln>
          </c:spPr>
          <c:marker>
            <c:symbol val="none"/>
          </c:marker>
          <c:xVal>
            <c:numRef>
              <c:f>'Hypersphere Data'!$AO$310:$AO$334</c:f>
              <c:numCache>
                <c:formatCode>General</c:formatCode>
                <c:ptCount val="25"/>
                <c:pt idx="0">
                  <c:v>0.391271976760327</c:v>
                </c:pt>
                <c:pt idx="1">
                  <c:v>0.375269665872201</c:v>
                </c:pt>
                <c:pt idx="2">
                  <c:v>0.328353264249781</c:v>
                </c:pt>
                <c:pt idx="3">
                  <c:v>0.253720047130614</c:v>
                </c:pt>
                <c:pt idx="4">
                  <c:v>0.15645614492415</c:v>
                </c:pt>
                <c:pt idx="5">
                  <c:v>0.0431899318295601</c:v>
                </c:pt>
                <c:pt idx="6">
                  <c:v>-0.0783596869120265</c:v>
                </c:pt>
                <c:pt idx="7">
                  <c:v>-0.199909305653613</c:v>
                </c:pt>
                <c:pt idx="8">
                  <c:v>-0.313175518748203</c:v>
                </c:pt>
                <c:pt idx="9">
                  <c:v>-0.410439420954668</c:v>
                </c:pt>
                <c:pt idx="10">
                  <c:v>-0.485072638073834</c:v>
                </c:pt>
                <c:pt idx="11">
                  <c:v>-0.531989039696254</c:v>
                </c:pt>
                <c:pt idx="12">
                  <c:v>-0.54799135058438</c:v>
                </c:pt>
                <c:pt idx="13">
                  <c:v>-0.531989039696254</c:v>
                </c:pt>
                <c:pt idx="14">
                  <c:v>-0.485072638073834</c:v>
                </c:pt>
                <c:pt idx="15">
                  <c:v>-0.410439420954668</c:v>
                </c:pt>
                <c:pt idx="16">
                  <c:v>-0.313175518748203</c:v>
                </c:pt>
                <c:pt idx="17">
                  <c:v>-0.199909305653613</c:v>
                </c:pt>
                <c:pt idx="18">
                  <c:v>-0.0783596869120266</c:v>
                </c:pt>
                <c:pt idx="19">
                  <c:v>0.0431899318295599</c:v>
                </c:pt>
                <c:pt idx="20">
                  <c:v>0.15645614492415</c:v>
                </c:pt>
                <c:pt idx="21">
                  <c:v>0.253720047130614</c:v>
                </c:pt>
                <c:pt idx="22">
                  <c:v>0.328353264249781</c:v>
                </c:pt>
                <c:pt idx="23">
                  <c:v>0.375269665872201</c:v>
                </c:pt>
                <c:pt idx="24">
                  <c:v>0.391271976760327</c:v>
                </c:pt>
              </c:numCache>
            </c:numRef>
          </c:xVal>
          <c:yVal>
            <c:numRef>
              <c:f>'Hypersphere Data'!$AP$310:$AP$334</c:f>
              <c:numCache>
                <c:formatCode>General</c:formatCode>
                <c:ptCount val="25"/>
                <c:pt idx="0">
                  <c:v>-0.213992809976796</c:v>
                </c:pt>
                <c:pt idx="1">
                  <c:v>-0.0924431912352097</c:v>
                </c:pt>
                <c:pt idx="2">
                  <c:v>0.0208230218593802</c:v>
                </c:pt>
                <c:pt idx="3">
                  <c:v>0.118086924065845</c:v>
                </c:pt>
                <c:pt idx="4">
                  <c:v>0.192720141185011</c:v>
                </c:pt>
                <c:pt idx="5">
                  <c:v>0.239636542807431</c:v>
                </c:pt>
                <c:pt idx="6">
                  <c:v>0.255638853695557</c:v>
                </c:pt>
                <c:pt idx="7">
                  <c:v>0.239636542807431</c:v>
                </c:pt>
                <c:pt idx="8">
                  <c:v>0.192720141185011</c:v>
                </c:pt>
                <c:pt idx="9">
                  <c:v>0.118086924065845</c:v>
                </c:pt>
                <c:pt idx="10">
                  <c:v>0.0208230218593802</c:v>
                </c:pt>
                <c:pt idx="11">
                  <c:v>-0.0924431912352096</c:v>
                </c:pt>
                <c:pt idx="12">
                  <c:v>-0.213992809976796</c:v>
                </c:pt>
                <c:pt idx="13">
                  <c:v>-0.335542428718383</c:v>
                </c:pt>
                <c:pt idx="14">
                  <c:v>-0.448808641812973</c:v>
                </c:pt>
                <c:pt idx="15">
                  <c:v>-0.546072544019437</c:v>
                </c:pt>
                <c:pt idx="16">
                  <c:v>-0.620705761138604</c:v>
                </c:pt>
                <c:pt idx="17">
                  <c:v>-0.667622162761024</c:v>
                </c:pt>
                <c:pt idx="18">
                  <c:v>-0.68362447364915</c:v>
                </c:pt>
                <c:pt idx="19">
                  <c:v>-0.667622162761024</c:v>
                </c:pt>
                <c:pt idx="20">
                  <c:v>-0.620705761138604</c:v>
                </c:pt>
                <c:pt idx="21">
                  <c:v>-0.546072544019438</c:v>
                </c:pt>
                <c:pt idx="22">
                  <c:v>-0.448808641812973</c:v>
                </c:pt>
                <c:pt idx="23">
                  <c:v>-0.335542428718383</c:v>
                </c:pt>
                <c:pt idx="24">
                  <c:v>-0.213992809976797</c:v>
                </c:pt>
              </c:numCache>
            </c:numRef>
          </c:yVal>
          <c:smooth val="1"/>
        </c:ser>
        <c:ser>
          <c:idx val="15"/>
          <c:order val="15"/>
          <c:tx>
            <c:v>sphere of a member of L</c:v>
          </c:tx>
          <c:spPr>
            <a:ln w="28575" cap="rnd">
              <a:solidFill>
                <a:srgbClr val="BF8F00"/>
              </a:solidFill>
              <a:round/>
            </a:ln>
          </c:spPr>
          <c:marker>
            <c:symbol val="none"/>
          </c:marker>
          <c:xVal>
            <c:numRef>
              <c:f>'Hypersphere Data'!$AS$310:$AS$334</c:f>
              <c:numCache>
                <c:formatCode>General</c:formatCode>
                <c:ptCount val="25"/>
                <c:pt idx="0">
                  <c:v>0.547301799327135</c:v>
                </c:pt>
                <c:pt idx="1">
                  <c:v>0.525982901160782</c:v>
                </c:pt>
                <c:pt idx="2">
                  <c:v>0.463479054340616</c:v>
                </c:pt>
                <c:pt idx="3">
                  <c:v>0.364049792734939</c:v>
                </c:pt>
                <c:pt idx="4">
                  <c:v>0.234471056207554</c:v>
                </c:pt>
                <c:pt idx="5">
                  <c:v>0.0835734215138173</c:v>
                </c:pt>
                <c:pt idx="6">
                  <c:v>-0.0783596869120265</c:v>
                </c:pt>
                <c:pt idx="7">
                  <c:v>-0.24029279533787</c:v>
                </c:pt>
                <c:pt idx="8">
                  <c:v>-0.391190430031607</c:v>
                </c:pt>
                <c:pt idx="9">
                  <c:v>-0.520769166558992</c:v>
                </c:pt>
                <c:pt idx="10">
                  <c:v>-0.620198428164669</c:v>
                </c:pt>
                <c:pt idx="11">
                  <c:v>-0.682702274984835</c:v>
                </c:pt>
                <c:pt idx="12">
                  <c:v>-0.704021173151188</c:v>
                </c:pt>
                <c:pt idx="13">
                  <c:v>-0.682702274984836</c:v>
                </c:pt>
                <c:pt idx="14">
                  <c:v>-0.620198428164669</c:v>
                </c:pt>
                <c:pt idx="15">
                  <c:v>-0.520769166558992</c:v>
                </c:pt>
                <c:pt idx="16">
                  <c:v>-0.391190430031608</c:v>
                </c:pt>
                <c:pt idx="17">
                  <c:v>-0.24029279533787</c:v>
                </c:pt>
                <c:pt idx="18">
                  <c:v>-0.0783596869120266</c:v>
                </c:pt>
                <c:pt idx="19">
                  <c:v>0.083573421513817</c:v>
                </c:pt>
                <c:pt idx="20">
                  <c:v>0.234471056207554</c:v>
                </c:pt>
                <c:pt idx="21">
                  <c:v>0.364049792734939</c:v>
                </c:pt>
                <c:pt idx="22">
                  <c:v>0.463479054340615</c:v>
                </c:pt>
                <c:pt idx="23">
                  <c:v>0.525982901160782</c:v>
                </c:pt>
                <c:pt idx="24">
                  <c:v>0.547301799327135</c:v>
                </c:pt>
              </c:numCache>
            </c:numRef>
          </c:xVal>
          <c:yVal>
            <c:numRef>
              <c:f>'Hypersphere Data'!$AT$310:$AT$334</c:f>
              <c:numCache>
                <c:formatCode>General</c:formatCode>
                <c:ptCount val="25"/>
                <c:pt idx="0">
                  <c:v>0.17636542056248</c:v>
                </c:pt>
                <c:pt idx="1">
                  <c:v>0.338298528988324</c:v>
                </c:pt>
                <c:pt idx="2">
                  <c:v>0.489196163682061</c:v>
                </c:pt>
                <c:pt idx="3">
                  <c:v>0.618774900209445</c:v>
                </c:pt>
                <c:pt idx="4">
                  <c:v>0.718204161815122</c:v>
                </c:pt>
                <c:pt idx="5">
                  <c:v>0.780708008635289</c:v>
                </c:pt>
                <c:pt idx="6">
                  <c:v>0.802026906801642</c:v>
                </c:pt>
                <c:pt idx="7">
                  <c:v>0.780708008635289</c:v>
                </c:pt>
                <c:pt idx="8">
                  <c:v>0.718204161815122</c:v>
                </c:pt>
                <c:pt idx="9">
                  <c:v>0.618774900209445</c:v>
                </c:pt>
                <c:pt idx="10">
                  <c:v>0.489196163682061</c:v>
                </c:pt>
                <c:pt idx="11">
                  <c:v>0.338298528988324</c:v>
                </c:pt>
                <c:pt idx="12">
                  <c:v>0.17636542056248</c:v>
                </c:pt>
                <c:pt idx="13">
                  <c:v>0.0144323121366362</c:v>
                </c:pt>
                <c:pt idx="14">
                  <c:v>-0.136465322557101</c:v>
                </c:pt>
                <c:pt idx="15">
                  <c:v>-0.266044059084485</c:v>
                </c:pt>
                <c:pt idx="16">
                  <c:v>-0.365473320690162</c:v>
                </c:pt>
                <c:pt idx="17">
                  <c:v>-0.427977167510329</c:v>
                </c:pt>
                <c:pt idx="18">
                  <c:v>-0.449296065676682</c:v>
                </c:pt>
                <c:pt idx="19">
                  <c:v>-0.427977167510329</c:v>
                </c:pt>
                <c:pt idx="20">
                  <c:v>-0.365473320690162</c:v>
                </c:pt>
                <c:pt idx="21">
                  <c:v>-0.266044059084485</c:v>
                </c:pt>
                <c:pt idx="22">
                  <c:v>-0.136465322557101</c:v>
                </c:pt>
                <c:pt idx="23">
                  <c:v>0.0144323121366358</c:v>
                </c:pt>
                <c:pt idx="24">
                  <c:v>0.17636542056248</c:v>
                </c:pt>
              </c:numCache>
            </c:numRef>
          </c:yVal>
          <c:smooth val="1"/>
        </c:ser>
        <c:ser>
          <c:idx val="16"/>
          <c:order val="16"/>
          <c:tx>
            <c:v>sphere of a member of L</c:v>
          </c:tx>
          <c:spPr>
            <a:ln w="28575" cap="rnd">
              <a:solidFill>
                <a:srgbClr val="BF8F00"/>
              </a:solidFill>
              <a:round/>
            </a:ln>
          </c:spPr>
          <c:marker>
            <c:symbol val="none"/>
          </c:marker>
          <c:xVal>
            <c:numRef>
              <c:f>'Hypersphere Data'!$AW$310:$AW$334</c:f>
              <c:numCache>
                <c:formatCode>General</c:formatCode>
                <c:ptCount val="25"/>
              </c:numCache>
            </c:numRef>
          </c:xVal>
          <c:yVal>
            <c:numRef>
              <c:f>'Hypersphere Data'!$AX$310:$AX$334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7"/>
          <c:order val="17"/>
          <c:tx>
            <c:v>sphere of a member of L</c:v>
          </c:tx>
          <c:spPr>
            <a:ln w="28575" cap="rnd">
              <a:solidFill>
                <a:srgbClr val="BF8F00"/>
              </a:solidFill>
              <a:round/>
            </a:ln>
          </c:spPr>
          <c:marker>
            <c:symbol val="none"/>
          </c:marker>
          <c:xVal>
            <c:numRef>
              <c:f>'Hypersphere Data'!$BA$310:$BA$334</c:f>
              <c:numCache>
                <c:formatCode>General</c:formatCode>
                <c:ptCount val="25"/>
                <c:pt idx="0">
                  <c:v>-0.248571703132133</c:v>
                </c:pt>
                <c:pt idx="1">
                  <c:v>-0.259151623571247</c:v>
                </c:pt>
                <c:pt idx="2">
                  <c:v>-0.29017038079481</c:v>
                </c:pt>
                <c:pt idx="3">
                  <c:v>-0.339514097758956</c:v>
                </c:pt>
                <c:pt idx="4">
                  <c:v>-0.403820081696926</c:v>
                </c:pt>
                <c:pt idx="5">
                  <c:v>-0.47870598607401</c:v>
                </c:pt>
                <c:pt idx="6">
                  <c:v>-0.559068460261719</c:v>
                </c:pt>
                <c:pt idx="7">
                  <c:v>-0.639430934449427</c:v>
                </c:pt>
                <c:pt idx="8">
                  <c:v>-0.714316838826511</c:v>
                </c:pt>
                <c:pt idx="9">
                  <c:v>-0.778622822764481</c:v>
                </c:pt>
                <c:pt idx="10">
                  <c:v>-0.827966539728627</c:v>
                </c:pt>
                <c:pt idx="11">
                  <c:v>-0.85898529695219</c:v>
                </c:pt>
                <c:pt idx="12">
                  <c:v>-0.869565217391304</c:v>
                </c:pt>
                <c:pt idx="13">
                  <c:v>-0.85898529695219</c:v>
                </c:pt>
                <c:pt idx="14">
                  <c:v>-0.827966539728627</c:v>
                </c:pt>
                <c:pt idx="15">
                  <c:v>-0.778622822764481</c:v>
                </c:pt>
                <c:pt idx="16">
                  <c:v>-0.714316838826512</c:v>
                </c:pt>
                <c:pt idx="17">
                  <c:v>-0.639430934449427</c:v>
                </c:pt>
                <c:pt idx="18">
                  <c:v>-0.559068460261719</c:v>
                </c:pt>
                <c:pt idx="19">
                  <c:v>-0.47870598607401</c:v>
                </c:pt>
                <c:pt idx="20">
                  <c:v>-0.403820081696926</c:v>
                </c:pt>
                <c:pt idx="21">
                  <c:v>-0.339514097758956</c:v>
                </c:pt>
                <c:pt idx="22">
                  <c:v>-0.29017038079481</c:v>
                </c:pt>
                <c:pt idx="23">
                  <c:v>-0.259151623571247</c:v>
                </c:pt>
                <c:pt idx="24">
                  <c:v>-0.248571703132133</c:v>
                </c:pt>
              </c:numCache>
            </c:numRef>
          </c:xVal>
          <c:yVal>
            <c:numRef>
              <c:f>'Hypersphere Data'!$BB$310:$BB$334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8"/>
          <c:order val="18"/>
          <c:tx>
            <c:v>sphere of a member of L</c:v>
          </c:tx>
          <c:spPr>
            <a:ln w="28575" cap="rnd">
              <a:solidFill>
                <a:srgbClr val="BF8F00"/>
              </a:solidFill>
              <a:round/>
            </a:ln>
          </c:spPr>
          <c:marker>
            <c:symbol val="none"/>
          </c:marker>
          <c:xVal>
            <c:numRef>
              <c:f>'Hypersphere Data'!$BE$310:$BE$334</c:f>
              <c:numCache>
                <c:formatCode>General</c:formatCode>
                <c:ptCount val="25"/>
                <c:pt idx="0">
                  <c:v>0.869565217391304</c:v>
                </c:pt>
                <c:pt idx="1">
                  <c:v>0.849268791014586</c:v>
                </c:pt>
                <c:pt idx="2">
                  <c:v>0.789762679800574</c:v>
                </c:pt>
                <c:pt idx="3">
                  <c:v>0.695102126890005</c:v>
                </c:pt>
                <c:pt idx="4">
                  <c:v>0.571738092529774</c:v>
                </c:pt>
                <c:pt idx="5">
                  <c:v>0.428077631792824</c:v>
                </c:pt>
                <c:pt idx="6">
                  <c:v>0.273910967668243</c:v>
                </c:pt>
                <c:pt idx="7">
                  <c:v>0.119744303543662</c:v>
                </c:pt>
                <c:pt idx="8">
                  <c:v>-0.0239161571932873</c:v>
                </c:pt>
                <c:pt idx="9">
                  <c:v>-0.147280191553519</c:v>
                </c:pt>
                <c:pt idx="10">
                  <c:v>-0.241940744464088</c:v>
                </c:pt>
                <c:pt idx="11">
                  <c:v>-0.3014468556781</c:v>
                </c:pt>
                <c:pt idx="12">
                  <c:v>-0.321743282054818</c:v>
                </c:pt>
                <c:pt idx="13">
                  <c:v>-0.3014468556781</c:v>
                </c:pt>
                <c:pt idx="14">
                  <c:v>-0.241940744464088</c:v>
                </c:pt>
                <c:pt idx="15">
                  <c:v>-0.147280191553519</c:v>
                </c:pt>
                <c:pt idx="16">
                  <c:v>-0.0239161571932877</c:v>
                </c:pt>
                <c:pt idx="17">
                  <c:v>0.119744303543662</c:v>
                </c:pt>
                <c:pt idx="18">
                  <c:v>0.273910967668243</c:v>
                </c:pt>
                <c:pt idx="19">
                  <c:v>0.428077631792824</c:v>
                </c:pt>
                <c:pt idx="20">
                  <c:v>0.571738092529774</c:v>
                </c:pt>
                <c:pt idx="21">
                  <c:v>0.695102126890005</c:v>
                </c:pt>
                <c:pt idx="22">
                  <c:v>0.789762679800574</c:v>
                </c:pt>
                <c:pt idx="23">
                  <c:v>0.849268791014586</c:v>
                </c:pt>
                <c:pt idx="24">
                  <c:v>0.869565217391304</c:v>
                </c:pt>
              </c:numCache>
            </c:numRef>
          </c:xVal>
          <c:yVal>
            <c:numRef>
              <c:f>'Hypersphere Data'!$BF$310:$BF$334</c:f>
              <c:numCache>
                <c:formatCode>General</c:formatCode>
                <c:ptCount val="25"/>
                <c:pt idx="0">
                  <c:v>-0.010609252727272</c:v>
                </c:pt>
                <c:pt idx="1">
                  <c:v>0.143557411397309</c:v>
                </c:pt>
                <c:pt idx="2">
                  <c:v>0.287217872134259</c:v>
                </c:pt>
                <c:pt idx="3">
                  <c:v>0.41058190649449</c:v>
                </c:pt>
                <c:pt idx="4">
                  <c:v>0.505242459405059</c:v>
                </c:pt>
                <c:pt idx="5">
                  <c:v>0.564748570619071</c:v>
                </c:pt>
                <c:pt idx="6">
                  <c:v>0.585044996995789</c:v>
                </c:pt>
                <c:pt idx="7">
                  <c:v>0.564748570619071</c:v>
                </c:pt>
                <c:pt idx="8">
                  <c:v>0.505242459405059</c:v>
                </c:pt>
                <c:pt idx="9">
                  <c:v>0.41058190649449</c:v>
                </c:pt>
                <c:pt idx="10">
                  <c:v>0.287217872134259</c:v>
                </c:pt>
                <c:pt idx="11">
                  <c:v>0.143557411397309</c:v>
                </c:pt>
                <c:pt idx="12">
                  <c:v>-0.0106092527272719</c:v>
                </c:pt>
                <c:pt idx="13">
                  <c:v>-0.164775916851853</c:v>
                </c:pt>
                <c:pt idx="14">
                  <c:v>-0.308436377588802</c:v>
                </c:pt>
                <c:pt idx="15">
                  <c:v>-0.431800411949034</c:v>
                </c:pt>
                <c:pt idx="16">
                  <c:v>-0.526460964859603</c:v>
                </c:pt>
                <c:pt idx="17">
                  <c:v>-0.585967076073615</c:v>
                </c:pt>
                <c:pt idx="18">
                  <c:v>-0.606263502450333</c:v>
                </c:pt>
                <c:pt idx="19">
                  <c:v>-0.585967076073615</c:v>
                </c:pt>
                <c:pt idx="20">
                  <c:v>-0.526460964859603</c:v>
                </c:pt>
                <c:pt idx="21">
                  <c:v>-0.431800411949034</c:v>
                </c:pt>
                <c:pt idx="22">
                  <c:v>-0.308436377588803</c:v>
                </c:pt>
                <c:pt idx="23">
                  <c:v>-0.164775916851854</c:v>
                </c:pt>
                <c:pt idx="24">
                  <c:v>-0.0106092527272721</c:v>
                </c:pt>
              </c:numCache>
            </c:numRef>
          </c:yVal>
          <c:smooth val="1"/>
        </c:ser>
        <c:ser>
          <c:idx val="19"/>
          <c:order val="19"/>
          <c:tx>
            <c:v>sphere of a member of L</c:v>
          </c:tx>
          <c:spPr>
            <a:ln w="28575" cap="rnd">
              <a:solidFill>
                <a:srgbClr val="BF8F00"/>
              </a:solidFill>
              <a:round/>
            </a:ln>
          </c:spPr>
          <c:marker>
            <c:symbol val="none"/>
          </c:marker>
          <c:xVal>
            <c:numRef>
              <c:f>'Hypersphere Data'!$BI$310:$BI$334</c:f>
              <c:numCache>
                <c:formatCode>General</c:formatCode>
                <c:ptCount val="25"/>
              </c:numCache>
            </c:numRef>
          </c:xVal>
          <c:yVal>
            <c:numRef>
              <c:f>'Hypersphere Data'!$BJ$310:$BJ$334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20"/>
          <c:order val="20"/>
          <c:tx>
            <c:v>sphere of a member of L</c:v>
          </c:tx>
          <c:spPr>
            <a:ln w="28575" cap="rnd">
              <a:solidFill>
                <a:srgbClr val="BF8F00"/>
              </a:solidFill>
              <a:round/>
            </a:ln>
          </c:spPr>
          <c:marker>
            <c:symbol val="none"/>
          </c:marker>
          <c:xVal>
            <c:numRef>
              <c:f>'Hypersphere Data'!$BM$310:$BM$334</c:f>
              <c:numCache>
                <c:formatCode>General</c:formatCode>
                <c:ptCount val="25"/>
              </c:numCache>
            </c:numRef>
          </c:xVal>
          <c:yVal>
            <c:numRef>
              <c:f>'Hypersphere Data'!$BN$310:$BN$334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21"/>
          <c:order val="21"/>
          <c:tx>
            <c:v>K1 in D</c:v>
          </c:tx>
          <c:spPr>
            <a:ln w="19050">
              <a:noFill/>
            </a:ln>
          </c:spPr>
          <c:marker>
            <c:symbol val="circle"/>
            <c:size val="8"/>
            <c:spPr>
              <a:solidFill>
                <a:srgbClr val="A9C4EB"/>
              </a:solidFill>
              <a:ln w="12700">
                <a:solidFill>
                  <a:srgbClr val="2F5597"/>
                </a:solidFill>
              </a:ln>
            </c:spPr>
          </c:marker>
          <c:xVal>
            <c:numRef>
              <c:f>'Hypersphere Data'!$Z$310:$Z$316</c:f>
              <c:numCache>
                <c:formatCode>General</c:formatCode>
                <c:ptCount val="7"/>
              </c:numCache>
            </c:numRef>
          </c:xVal>
          <c:yVal>
            <c:numRef>
              <c:f>'Hypersphere Data'!$AA$310:$AA$316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2"/>
          <c:order val="22"/>
          <c:tx>
            <c:v>K2 in D</c:v>
          </c:tx>
          <c:spPr>
            <a:ln w="19050">
              <a:noFill/>
            </a:ln>
          </c:spPr>
          <c:marker>
            <c:symbol val="triangle"/>
            <c:size val="9"/>
            <c:spPr>
              <a:solidFill>
                <a:srgbClr val="F2A7A7"/>
              </a:solidFill>
              <a:ln w="12700">
                <a:solidFill>
                  <a:srgbClr val="C00000"/>
                </a:solidFill>
              </a:ln>
            </c:spPr>
          </c:marker>
          <c:xVal>
            <c:numRef>
              <c:f>'Hypersphere Data'!$AD$310:$AD$316</c:f>
              <c:numCache>
                <c:formatCode>General</c:formatCode>
                <c:ptCount val="7"/>
              </c:numCache>
            </c:numRef>
          </c:xVal>
          <c:yVal>
            <c:numRef>
              <c:f>'Hypersphere Data'!$AE$310:$AE$316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3"/>
          <c:order val="23"/>
          <c:tx>
            <c:v>K1 in F</c:v>
          </c:tx>
          <c:spPr>
            <a:ln w="19050">
              <a:noFill/>
            </a:ln>
          </c:spPr>
          <c:marker>
            <c:symbol val="circle"/>
            <c:size val="8"/>
            <c:spPr>
              <a:solidFill>
                <a:srgbClr val="2F5597"/>
              </a:solidFill>
              <a:ln w="19050">
                <a:solidFill>
                  <a:srgbClr val="2F5597"/>
                </a:solidFill>
              </a:ln>
            </c:spPr>
          </c:marker>
          <c:xVal>
            <c:numRef>
              <c:f>'Hypersphere Data'!$X$310:$X$316</c:f>
              <c:numCache>
                <c:formatCode>General</c:formatCode>
                <c:ptCount val="7"/>
                <c:pt idx="2">
                  <c:v>0.328353264249781</c:v>
                </c:pt>
                <c:pt idx="5">
                  <c:v>-0.571715420460123</c:v>
                </c:pt>
                <c:pt idx="6">
                  <c:v>-0.0783596869120265</c:v>
                </c:pt>
              </c:numCache>
            </c:numRef>
          </c:xVal>
          <c:yVal>
            <c:numRef>
              <c:f>'Hypersphere Data'!$Y$310:$Y$316</c:f>
              <c:numCache>
                <c:formatCode>General</c:formatCode>
                <c:ptCount val="7"/>
                <c:pt idx="2">
                  <c:v>-0.448808641812973</c:v>
                </c:pt>
                <c:pt idx="5">
                  <c:v>0.0708462555934417</c:v>
                </c:pt>
                <c:pt idx="6">
                  <c:v>-0.707303634055379</c:v>
                </c:pt>
              </c:numCache>
            </c:numRef>
          </c:yVal>
          <c:smooth val="0"/>
        </c:ser>
        <c:ser>
          <c:idx val="24"/>
          <c:order val="24"/>
          <c:tx>
            <c:v>K2 in F</c:v>
          </c:tx>
          <c:spPr>
            <a:ln w="19050">
              <a:noFill/>
            </a:ln>
          </c:spPr>
          <c:marker>
            <c:symbol val="triangle"/>
            <c:size val="9"/>
            <c:spPr>
              <a:solidFill>
                <a:srgbClr val="C00000"/>
              </a:solidFill>
              <a:ln w="19050">
                <a:solidFill>
                  <a:srgbClr val="C00000"/>
                </a:solidFill>
              </a:ln>
            </c:spPr>
          </c:marker>
          <c:xVal>
            <c:numRef>
              <c:f>'Hypersphere Data'!$AB$310:$AB$316</c:f>
              <c:numCache>
                <c:formatCode>General</c:formatCode>
                <c:ptCount val="7"/>
                <c:pt idx="1">
                  <c:v>-0.0783596869120265</c:v>
                </c:pt>
                <c:pt idx="3">
                  <c:v>-0.559068460261719</c:v>
                </c:pt>
                <c:pt idx="4">
                  <c:v>0.273910967668243</c:v>
                </c:pt>
              </c:numCache>
            </c:numRef>
          </c:xVal>
          <c:yVal>
            <c:numRef>
              <c:f>'Hypersphere Data'!$AC$310:$AC$316</c:f>
              <c:numCache>
                <c:formatCode>General</c:formatCode>
                <c:ptCount val="7"/>
                <c:pt idx="1">
                  <c:v>0.17636542056248</c:v>
                </c:pt>
                <c:pt idx="3">
                  <c:v>-0.491530149672056</c:v>
                </c:pt>
                <c:pt idx="4">
                  <c:v>-0.010609252727272</c:v>
                </c:pt>
              </c:numCache>
            </c:numRef>
          </c:yVal>
          <c:smooth val="0"/>
        </c:ser>
        <c:ser>
          <c:idx val="25"/>
          <c:order val="25"/>
          <c:tx>
            <c:v>Sᵢ, class 1</c:v>
          </c:tx>
          <c:spPr>
            <a:ln w="19050">
              <a:noFill/>
            </a:ln>
          </c:spPr>
          <c:marker>
            <c:symbol val="circle"/>
            <c:size val="10"/>
            <c:spPr>
              <a:solidFill>
                <a:srgbClr val="2F5597"/>
              </a:solidFill>
              <a:ln w="19050">
                <a:solidFill>
                  <a:srgbClr val="000000"/>
                </a:solidFill>
              </a:ln>
            </c:spPr>
          </c:marker>
          <c:xVal>
            <c:numRef>
              <c:f>'Hypersphere Data'!$AF$310:$AF$316</c:f>
              <c:numCache>
                <c:formatCode>General</c:formatCode>
                <c:ptCount val="7"/>
              </c:numCache>
            </c:numRef>
          </c:xVal>
          <c:yVal>
            <c:numRef>
              <c:f>'Hypersphere Data'!$AG$310:$AG$316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6"/>
          <c:order val="26"/>
          <c:tx>
            <c:v>Sᵢ, class 2</c:v>
          </c:tx>
          <c:spPr>
            <a:ln w="19050">
              <a:noFill/>
            </a:ln>
          </c:spPr>
          <c:marker>
            <c:symbol val="triangle"/>
            <c:size val="11"/>
            <c:spPr>
              <a:solidFill>
                <a:srgbClr val="C00000"/>
              </a:solidFill>
              <a:ln w="19050">
                <a:solidFill>
                  <a:srgbClr val="000000"/>
                </a:solidFill>
              </a:ln>
            </c:spPr>
          </c:marker>
          <c:xVal>
            <c:numRef>
              <c:f>'Hypersphere Data'!$AH$310:$AH$316</c:f>
              <c:numCache>
                <c:formatCode>General</c:formatCode>
                <c:ptCount val="7"/>
                <c:pt idx="0">
                  <c:v>-0.0783596869120266</c:v>
                </c:pt>
              </c:numCache>
            </c:numRef>
          </c:xVal>
          <c:yVal>
            <c:numRef>
              <c:f>'Hypersphere Data'!$AI$310:$AI$316</c:f>
              <c:numCache>
                <c:formatCode>General</c:formatCode>
                <c:ptCount val="7"/>
                <c:pt idx="0">
                  <c:v>-0.213992809976796</c:v>
                </c:pt>
              </c:numCache>
            </c:numRef>
          </c:yVal>
          <c:smooth val="0"/>
        </c:ser>
        <c:ser>
          <c:idx val="27"/>
          <c:order val="27"/>
          <c:tx>
            <c:v>exact only for Sᵢ: inside a circle ⇔ ρ(Sⱼ, Sᵢ) &lt; r(Sⱼ)</c:v>
          </c:tx>
          <c:spPr>
            <a:ln w="19050">
              <a:noFill/>
            </a:ln>
          </c:spPr>
          <c:marker>
            <c:symbol val="plus"/>
            <c:size val="7"/>
            <c:spPr>
              <a:solidFill>
                <a:srgbClr val="000000"/>
              </a:solidFill>
              <a:ln w="15875">
                <a:solidFill>
                  <a:srgbClr val="000000"/>
                </a:solidFill>
              </a:ln>
            </c:spPr>
          </c:marker>
          <c:xVal>
            <c:numRef>
              <c:f>'Hypersphere Data'!$E$325</c:f>
              <c:numCache>
                <c:formatCode>General</c:formatCode>
                <c:ptCount val="1"/>
                <c:pt idx="0">
                  <c:v>-0.0783596869120266</c:v>
                </c:pt>
              </c:numCache>
            </c:numRef>
          </c:xVal>
          <c:yVal>
            <c:numRef>
              <c:f>'Hypersphere Data'!$F$325</c:f>
              <c:numCache>
                <c:formatCode>General</c:formatCode>
                <c:ptCount val="1"/>
                <c:pt idx="0">
                  <c:v>-0.213992809976796</c:v>
                </c:pt>
              </c:numCache>
            </c:numRef>
          </c:yVal>
          <c:smooth val="0"/>
        </c:ser>
        <c:ser>
          <c:idx val="28"/>
          <c:order val="28"/>
          <c:tx>
            <c:strRef>
              <c:f>'Hypersphere Data'!$D$319</c:f>
              <c:strCache>
                <c:ptCount val="1"/>
                <c:pt idx="0">
                  <c:v>S₂  ·  g 4→3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Data'!$E$319</c:f>
              <c:numCache>
                <c:formatCode>General</c:formatCode>
                <c:ptCount val="1"/>
                <c:pt idx="0">
                  <c:v>-0.0783596869120265</c:v>
                </c:pt>
              </c:numCache>
            </c:numRef>
          </c:xVal>
          <c:yVal>
            <c:numRef>
              <c:f>'Hypersphere Data'!$F$319</c:f>
              <c:numCache>
                <c:formatCode>General</c:formatCode>
                <c:ptCount val="1"/>
                <c:pt idx="0">
                  <c:v>0.17636542056248</c:v>
                </c:pt>
              </c:numCache>
            </c:numRef>
          </c:yVal>
          <c:smooth val="0"/>
        </c:ser>
        <c:ser>
          <c:idx val="29"/>
          <c:order val="29"/>
          <c:tx>
            <c:strRef>
              <c:f>'Hypersphere Data'!$D$320</c:f>
              <c:strCache>
                <c:ptCount val="1"/>
                <c:pt idx="0">
                  <c:v>S₅  ·  g 3→2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Data'!$E$320</c:f>
              <c:numCache>
                <c:formatCode>General</c:formatCode>
                <c:ptCount val="1"/>
                <c:pt idx="0">
                  <c:v>0.273910967668243</c:v>
                </c:pt>
              </c:numCache>
            </c:numRef>
          </c:xVal>
          <c:yVal>
            <c:numRef>
              <c:f>'Hypersphere Data'!$F$320</c:f>
              <c:numCache>
                <c:formatCode>General</c:formatCode>
                <c:ptCount val="1"/>
                <c:pt idx="0">
                  <c:v>-0.010609252727272</c:v>
                </c:pt>
              </c:numCache>
            </c:numRef>
          </c:yVal>
          <c:smooth val="0"/>
        </c:ser>
        <c:ser>
          <c:idx val="30"/>
          <c:order val="30"/>
          <c:tx>
            <c:strRef>
              <c:f>'Hypersphere Data'!$D$321</c:f>
              <c:strCache>
                <c:ptCount val="1"/>
                <c:pt idx="0">
                  <c:v>S₃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Data'!$E$321</c:f>
              <c:numCache>
                <c:formatCode>General</c:formatCode>
                <c:ptCount val="1"/>
                <c:pt idx="0">
                  <c:v>0.328353264249781</c:v>
                </c:pt>
              </c:numCache>
            </c:numRef>
          </c:xVal>
          <c:yVal>
            <c:numRef>
              <c:f>'Hypersphere Data'!$F$321</c:f>
              <c:numCache>
                <c:formatCode>General</c:formatCode>
                <c:ptCount val="1"/>
                <c:pt idx="0">
                  <c:v>-0.448808641812973</c:v>
                </c:pt>
              </c:numCache>
            </c:numRef>
          </c:yVal>
          <c:smooth val="0"/>
        </c:ser>
        <c:ser>
          <c:idx val="31"/>
          <c:order val="31"/>
          <c:tx>
            <c:strRef>
              <c:f>'Hypersphere Data'!$D$322</c:f>
              <c:strCache>
                <c:ptCount val="1"/>
                <c:pt idx="0">
                  <c:v>S₇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Data'!$E$322</c:f>
              <c:numCache>
                <c:formatCode>General</c:formatCode>
                <c:ptCount val="1"/>
                <c:pt idx="0">
                  <c:v>-0.0783596869120265</c:v>
                </c:pt>
              </c:numCache>
            </c:numRef>
          </c:xVal>
          <c:yVal>
            <c:numRef>
              <c:f>'Hypersphere Data'!$F$322</c:f>
              <c:numCache>
                <c:formatCode>General</c:formatCode>
                <c:ptCount val="1"/>
                <c:pt idx="0">
                  <c:v>-0.707303634055379</c:v>
                </c:pt>
              </c:numCache>
            </c:numRef>
          </c:yVal>
          <c:smooth val="0"/>
        </c:ser>
        <c:ser>
          <c:idx val="32"/>
          <c:order val="32"/>
          <c:tx>
            <c:strRef>
              <c:f>'Hypersphere Data'!$D$323</c:f>
              <c:strCache>
                <c:ptCount val="1"/>
                <c:pt idx="0">
                  <c:v>S₄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Data'!$E$323</c:f>
              <c:numCache>
                <c:formatCode>General</c:formatCode>
                <c:ptCount val="1"/>
                <c:pt idx="0">
                  <c:v>-0.559068460261719</c:v>
                </c:pt>
              </c:numCache>
            </c:numRef>
          </c:xVal>
          <c:yVal>
            <c:numRef>
              <c:f>'Hypersphere Data'!$F$323</c:f>
              <c:numCache>
                <c:formatCode>General</c:formatCode>
                <c:ptCount val="1"/>
                <c:pt idx="0">
                  <c:v>-0.491530149672056</c:v>
                </c:pt>
              </c:numCache>
            </c:numRef>
          </c:yVal>
          <c:smooth val="0"/>
        </c:ser>
        <c:ser>
          <c:idx val="33"/>
          <c:order val="33"/>
          <c:tx>
            <c:strRef>
              <c:f>'Hypersphere Data'!$D$324</c:f>
              <c:strCache>
                <c:ptCount val="1"/>
                <c:pt idx="0">
                  <c:v>S₆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Data'!$E$324</c:f>
              <c:numCache>
                <c:formatCode>General</c:formatCode>
                <c:ptCount val="1"/>
                <c:pt idx="0">
                  <c:v>-0.571715420460123</c:v>
                </c:pt>
              </c:numCache>
            </c:numRef>
          </c:xVal>
          <c:yVal>
            <c:numRef>
              <c:f>'Hypersphere Data'!$F$324</c:f>
              <c:numCache>
                <c:formatCode>General</c:formatCode>
                <c:ptCount val="1"/>
                <c:pt idx="0">
                  <c:v>0.0708462555934417</c:v>
                </c:pt>
              </c:numCache>
            </c:numRef>
          </c:yVal>
          <c:smooth val="0"/>
        </c:ser>
        <c:ser>
          <c:idx val="34"/>
          <c:order val="34"/>
          <c:tx>
            <c:strRef>
              <c:f>'Hypersphere Data'!$D$325</c:f>
              <c:strCache>
                <c:ptCount val="1"/>
                <c:pt idx="0">
                  <c:v>S₁ = Sᵢ  ·  g 3→2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Data'!$E$325</c:f>
              <c:numCache>
                <c:formatCode>General</c:formatCode>
                <c:ptCount val="1"/>
                <c:pt idx="0">
                  <c:v>-0.0783596869120266</c:v>
                </c:pt>
              </c:numCache>
            </c:numRef>
          </c:xVal>
          <c:yVal>
            <c:numRef>
              <c:f>'Hypersphere Data'!$F$325</c:f>
              <c:numCache>
                <c:formatCode>General</c:formatCode>
                <c:ptCount val="1"/>
                <c:pt idx="0">
                  <c:v>-0.213992809976796</c:v>
                </c:pt>
              </c:numCache>
            </c:numRef>
          </c:yVal>
          <c:smooth val="0"/>
        </c:ser>
        <c:ser>
          <c:idx val="35"/>
          <c:order val="35"/>
          <c:tx>
            <c:strRef>
              <c:f>'Hypersphere Data'!$D$317</c:f>
              <c:strCache>
                <c:ptCount val="1"/>
                <c:pt idx="0">
                  <c:v>Queue empty → Step 6:   D = {S₁, S₂, S₅, S₆, S₇}   ·   F = {S₃, S₄}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1000" b="1">
                    <a:solidFill>
                      <a:srgbClr val="1F3864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Data'!$E$317</c:f>
              <c:numCache>
                <c:formatCode>General</c:formatCode>
                <c:ptCount val="1"/>
              </c:numCache>
            </c:numRef>
          </c:xVal>
          <c:yVal>
            <c:numRef>
              <c:f>'Hypersphere Data'!$F$317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36"/>
          <c:order val="36"/>
          <c:tx>
            <c:strRef>
              <c:f>'Hypersphere Data'!$D$326</c:f>
              <c:strCache>
                <c:ptCount val="1"/>
                <c:pt idx="0">
                  <c:v>Sᵢ = S₁   ·   L = {S₁, S₂, S₅}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50" b="1">
                    <a:solidFill>
                      <a:srgbClr val="1F3864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Data'!$E$326</c:f>
              <c:numCache>
                <c:formatCode>General</c:formatCode>
                <c:ptCount val="1"/>
                <c:pt idx="0">
                  <c:v>-0.97</c:v>
                </c:pt>
              </c:numCache>
            </c:numRef>
          </c:xVal>
          <c:yVal>
            <c:numRef>
              <c:f>'Hypersphere Data'!$F$326</c:f>
              <c:numCache>
                <c:formatCode>General</c:formatCode>
                <c:ptCount val="1"/>
                <c:pt idx="0">
                  <c:v>0.955</c:v>
                </c:pt>
              </c:numCache>
            </c:numRef>
          </c:yVal>
          <c:smooth val="0"/>
        </c:ser>
        <c:ser>
          <c:idx val="37"/>
          <c:order val="37"/>
          <c:tx>
            <c:strRef>
              <c:f>'Hypersphere Data'!$D$327</c:f>
              <c:strCache>
                <c:ptCount val="1"/>
                <c:pt idx="0">
                  <c:v>|L| &gt; 1 → Step 5 corrects g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50" b="1">
                    <a:solidFill>
                      <a:srgbClr val="1F3864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Data'!$E$327</c:f>
              <c:numCache>
                <c:formatCode>General</c:formatCode>
                <c:ptCount val="1"/>
                <c:pt idx="0">
                  <c:v>-0.97</c:v>
                </c:pt>
              </c:numCache>
            </c:numRef>
          </c:xVal>
          <c:yVal>
            <c:numRef>
              <c:f>'Hypersphere Data'!$F$327</c:f>
              <c:numCache>
                <c:formatCode>General</c:formatCode>
                <c:ptCount val="1"/>
                <c:pt idx="0">
                  <c:v>-0.955</c:v>
                </c:pt>
              </c:numCache>
            </c:numRef>
          </c:yVal>
          <c:smooth val="0"/>
        </c:ser>
        <c:axId val="9101"/>
        <c:axId val="9102"/>
      </c:scatterChart>
      <c:valAx>
        <c:axId val="9101"/>
        <c:scaling>
          <c:orientation val="minMax"/>
          <c:max val="1.0"/>
          <c:min val="-1.0"/>
        </c:scaling>
        <c:delete val="1"/>
        <c:axPos val="b"/>
        <c:numFmt formatCode="General" sourceLinked="0"/>
        <c:majorTickMark val="none"/>
        <c:minorTickMark val="none"/>
        <c:tickLblPos val="none"/>
        <c:crossAx val="9102"/>
        <c:crosses val="autoZero"/>
        <c:crossBetween val="midCat"/>
      </c:valAx>
      <c:valAx>
        <c:axId val="9102"/>
        <c:scaling>
          <c:orientation val="minMax"/>
          <c:max val="1.0"/>
          <c:min val="-1.0"/>
        </c:scaling>
        <c:delete val="1"/>
        <c:axPos val="l"/>
        <c:numFmt formatCode="General" sourceLinked="0"/>
        <c:majorTickMark val="none"/>
        <c:minorTickMark val="none"/>
        <c:tickLblPos val="none"/>
        <c:crossAx val="9101"/>
        <c:crosses val="autoZero"/>
        <c:crossBetween val="midCat"/>
      </c:valAx>
      <c:spPr>
        <a:noFill/>
        <a:ln>
          <a:noFill/>
        </a:ln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8"/>
        <c:delete val="1"/>
      </c:legendEntry>
      <c:legendEntry>
        <c:idx val="29"/>
        <c:delete val="1"/>
      </c:legendEntry>
      <c:legendEntry>
        <c:idx val="30"/>
        <c:delete val="1"/>
      </c:legendEntry>
      <c:legendEntry>
        <c:idx val="31"/>
        <c:delete val="1"/>
      </c:legendEntry>
      <c:legendEntry>
        <c:idx val="32"/>
        <c:delete val="1"/>
      </c:legendEntry>
      <c:legendEntry>
        <c:idx val="33"/>
        <c:delete val="1"/>
      </c:legendEntry>
      <c:legendEntry>
        <c:idx val="34"/>
        <c:delete val="1"/>
      </c:legendEntry>
      <c:legendEntry>
        <c:idx val="35"/>
        <c:delete val="1"/>
      </c:legendEntry>
      <c:legendEntry>
        <c:idx val="36"/>
        <c:delete val="1"/>
      </c:legendEntry>
      <c:legendEntry>
        <c:idx val="37"/>
        <c:delete val="1"/>
      </c:legendEntry>
      <c:layout>
        <c:manualLayout>
          <c:xMode val="edge"/>
          <c:yMode val="edge"/>
          <c:x val="0.7069"/>
          <c:y val="0.2700"/>
          <c:w val="0.2781"/>
          <c:h val="0.5000"/>
        </c:manualLayout>
      </c:layout>
      <c:overlay val="0"/>
      <c:txPr>
        <a:bodyPr/>
        <a:lstStyle/>
        <a:p>
          <a:pPr>
            <a:defRPr sz="900" b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/>
          <a:lstStyle/>
          <a:p>
            <a:pPr>
              <a:defRPr sz="1050" b="1">
                <a:solidFill>
                  <a:srgbClr val="1F3864"/>
                </a:solidFill>
                <a:latin typeface="Calibri"/>
              </a:defRPr>
            </a:pPr>
            <a:r>
              <a:rPr lang="en-US" sz="1050" b="1">
                <a:solidFill>
                  <a:srgbClr val="1F3864"/>
                </a:solidFill>
                <a:latin typeface="Calibri"/>
              </a:rPr>
              <a:t>Iteration 2 · enemy spheres around the selected Sᵢ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0152"/>
          <c:y val="0.0812"/>
          <c:w val="0.6768"/>
          <c:h val="0.8701"/>
        </c:manualLayout>
      </c:layout>
      <c:scatterChart>
        <c:scatterStyle val="lineMarker"/>
        <c:varyColors val="0"/>
        <c:ser>
          <c:idx val="0"/>
          <c:order val="0"/>
          <c:tx>
            <c:v>own class in F, not in L</c:v>
          </c:tx>
          <c:spPr>
            <a:ln w="15875" cap="rnd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Data'!$AO$339:$AO$363</c:f>
              <c:numCache>
                <c:formatCode>General</c:formatCode>
                <c:ptCount val="25"/>
              </c:numCache>
            </c:numRef>
          </c:xVal>
          <c:yVal>
            <c:numRef>
              <c:f>'Hypersphere Data'!$AQ$339:$AQ$363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"/>
          <c:order val="1"/>
          <c:tx>
            <c:v>own class in F, not in L</c:v>
          </c:tx>
          <c:spPr>
            <a:ln w="15875" cap="rnd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Data'!$AS$339:$AS$363</c:f>
              <c:numCache>
                <c:formatCode>General</c:formatCode>
                <c:ptCount val="25"/>
              </c:numCache>
            </c:numRef>
          </c:xVal>
          <c:yVal>
            <c:numRef>
              <c:f>'Hypersphere Data'!$AU$339:$AU$363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2"/>
          <c:order val="2"/>
          <c:tx>
            <c:v>own class in F, not in L</c:v>
          </c:tx>
          <c:spPr>
            <a:ln w="15875" cap="rnd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Data'!$AW$339:$AW$363</c:f>
              <c:numCache>
                <c:formatCode>General</c:formatCode>
                <c:ptCount val="25"/>
                <c:pt idx="0">
                  <c:v>0.559681007778083</c:v>
                </c:pt>
                <c:pt idx="1">
                  <c:v>0.537069132710383</c:v>
                </c:pt>
                <c:pt idx="2">
                  <c:v>0.470774469425254</c:v>
                </c:pt>
                <c:pt idx="3">
                  <c:v>0.365314889668469</c:v>
                </c:pt>
                <c:pt idx="4">
                  <c:v>0.227877289520255</c:v>
                </c:pt>
                <c:pt idx="5">
                  <c:v>0.0678278143043399</c:v>
                </c:pt>
                <c:pt idx="6">
                  <c:v>-0.103926428737574</c:v>
                </c:pt>
                <c:pt idx="7">
                  <c:v>-0.275680671779488</c:v>
                </c:pt>
                <c:pt idx="8">
                  <c:v>-0.435730146995403</c:v>
                </c:pt>
                <c:pt idx="9">
                  <c:v>-0.573167747143617</c:v>
                </c:pt>
                <c:pt idx="10">
                  <c:v>-0.678627326900403</c:v>
                </c:pt>
                <c:pt idx="11">
                  <c:v>-0.744921990185531</c:v>
                </c:pt>
                <c:pt idx="12">
                  <c:v>-0.767533865253232</c:v>
                </c:pt>
                <c:pt idx="13">
                  <c:v>-0.744921990185531</c:v>
                </c:pt>
                <c:pt idx="14">
                  <c:v>-0.678627326900403</c:v>
                </c:pt>
                <c:pt idx="15">
                  <c:v>-0.573167747143617</c:v>
                </c:pt>
                <c:pt idx="16">
                  <c:v>-0.435730146995403</c:v>
                </c:pt>
                <c:pt idx="17">
                  <c:v>-0.275680671779488</c:v>
                </c:pt>
                <c:pt idx="18">
                  <c:v>-0.103926428737574</c:v>
                </c:pt>
                <c:pt idx="19">
                  <c:v>0.0678278143043397</c:v>
                </c:pt>
                <c:pt idx="20">
                  <c:v>0.227877289520255</c:v>
                </c:pt>
                <c:pt idx="21">
                  <c:v>0.365314889668468</c:v>
                </c:pt>
                <c:pt idx="22">
                  <c:v>0.470774469425254</c:v>
                </c:pt>
                <c:pt idx="23">
                  <c:v>0.537069132710383</c:v>
                </c:pt>
                <c:pt idx="24">
                  <c:v>0.559681007778083</c:v>
                </c:pt>
              </c:numCache>
            </c:numRef>
          </c:xVal>
          <c:yVal>
            <c:numRef>
              <c:f>'Hypersphere Data'!$AY$339:$AY$363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3"/>
          <c:order val="3"/>
          <c:tx>
            <c:v>own class in F, not in L</c:v>
          </c:tx>
          <c:spPr>
            <a:ln w="15875" cap="rnd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Data'!$BA$339:$BA$363</c:f>
              <c:numCache>
                <c:formatCode>General</c:formatCode>
                <c:ptCount val="25"/>
              </c:numCache>
            </c:numRef>
          </c:xVal>
          <c:yVal>
            <c:numRef>
              <c:f>'Hypersphere Data'!$BC$339:$BC$363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4"/>
          <c:order val="4"/>
          <c:tx>
            <c:v>own class in F, not in L</c:v>
          </c:tx>
          <c:spPr>
            <a:ln w="15875" cap="rnd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Data'!$BE$339:$BE$363</c:f>
              <c:numCache>
                <c:formatCode>General</c:formatCode>
                <c:ptCount val="25"/>
              </c:numCache>
            </c:numRef>
          </c:xVal>
          <c:yVal>
            <c:numRef>
              <c:f>'Hypersphere Data'!$BG$339:$BG$363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5"/>
          <c:order val="5"/>
          <c:tx>
            <c:v>own class in F, not in L</c:v>
          </c:tx>
          <c:spPr>
            <a:ln w="15875" cap="rnd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Data'!$BI$339:$BI$363</c:f>
              <c:numCache>
                <c:formatCode>General</c:formatCode>
                <c:ptCount val="25"/>
                <c:pt idx="0">
                  <c:v>0.869565217391304</c:v>
                </c:pt>
                <c:pt idx="1">
                  <c:v>0.854615386653234</c:v>
                </c:pt>
                <c:pt idx="2">
                  <c:v>0.810784700698057</c:v>
                </c:pt>
                <c:pt idx="3">
                  <c:v>0.741060148339986</c:v>
                </c:pt>
                <c:pt idx="4">
                  <c:v>0.650193342596953</c:v>
                </c:pt>
                <c:pt idx="5">
                  <c:v>0.544376706115849</c:v>
                </c:pt>
                <c:pt idx="6">
                  <c:v>0.430821467802601</c:v>
                </c:pt>
                <c:pt idx="7">
                  <c:v>0.317266229489353</c:v>
                </c:pt>
                <c:pt idx="8">
                  <c:v>0.211449593008249</c:v>
                </c:pt>
                <c:pt idx="9">
                  <c:v>0.120582787265216</c:v>
                </c:pt>
                <c:pt idx="10">
                  <c:v>0.0508582349071455</c:v>
                </c:pt>
                <c:pt idx="11">
                  <c:v>0.00702754895196867</c:v>
                </c:pt>
                <c:pt idx="12">
                  <c:v>-0.00792228178610238</c:v>
                </c:pt>
                <c:pt idx="13">
                  <c:v>0.00702754895196861</c:v>
                </c:pt>
                <c:pt idx="14">
                  <c:v>0.0508582349071455</c:v>
                </c:pt>
                <c:pt idx="15">
                  <c:v>0.120582787265216</c:v>
                </c:pt>
                <c:pt idx="16">
                  <c:v>0.211449593008249</c:v>
                </c:pt>
                <c:pt idx="17">
                  <c:v>0.317266229489353</c:v>
                </c:pt>
                <c:pt idx="18">
                  <c:v>0.430821467802601</c:v>
                </c:pt>
                <c:pt idx="19">
                  <c:v>0.544376706115849</c:v>
                </c:pt>
                <c:pt idx="20">
                  <c:v>0.650193342596953</c:v>
                </c:pt>
                <c:pt idx="21">
                  <c:v>0.741060148339986</c:v>
                </c:pt>
                <c:pt idx="22">
                  <c:v>0.810784700698056</c:v>
                </c:pt>
                <c:pt idx="23">
                  <c:v>0.854615386653233</c:v>
                </c:pt>
                <c:pt idx="24">
                  <c:v>0.869565217391304</c:v>
                </c:pt>
              </c:numCache>
            </c:numRef>
          </c:xVal>
          <c:yVal>
            <c:numRef>
              <c:f>'Hypersphere Data'!$BK$339:$BK$363</c:f>
              <c:numCache>
                <c:formatCode>General</c:formatCode>
                <c:ptCount val="25"/>
                <c:pt idx="0">
                  <c:v>0.280427724732935</c:v>
                </c:pt>
                <c:pt idx="1">
                  <c:v>0.393982963046183</c:v>
                </c:pt>
                <c:pt idx="2">
                  <c:v>0.499799599527287</c:v>
                </c:pt>
                <c:pt idx="3">
                  <c:v>0.590666405270319</c:v>
                </c:pt>
                <c:pt idx="4">
                  <c:v>0.66039095762839</c:v>
                </c:pt>
                <c:pt idx="5">
                  <c:v>0.704221643583567</c:v>
                </c:pt>
                <c:pt idx="6">
                  <c:v>0.719171474321638</c:v>
                </c:pt>
                <c:pt idx="7">
                  <c:v>0.704221643583567</c:v>
                </c:pt>
                <c:pt idx="8">
                  <c:v>0.66039095762839</c:v>
                </c:pt>
                <c:pt idx="9">
                  <c:v>0.59066640527032</c:v>
                </c:pt>
                <c:pt idx="10">
                  <c:v>0.499799599527287</c:v>
                </c:pt>
                <c:pt idx="11">
                  <c:v>0.393982963046183</c:v>
                </c:pt>
                <c:pt idx="12">
                  <c:v>0.280427724732935</c:v>
                </c:pt>
                <c:pt idx="13">
                  <c:v>0.166872486419687</c:v>
                </c:pt>
                <c:pt idx="14">
                  <c:v>0.0610558499385832</c:v>
                </c:pt>
                <c:pt idx="15">
                  <c:v>-0.0298109558044498</c:v>
                </c:pt>
                <c:pt idx="16">
                  <c:v>-0.0995355081625206</c:v>
                </c:pt>
                <c:pt idx="17">
                  <c:v>-0.143366194117698</c:v>
                </c:pt>
                <c:pt idx="18">
                  <c:v>-0.158316024855769</c:v>
                </c:pt>
                <c:pt idx="19">
                  <c:v>-0.143366194117698</c:v>
                </c:pt>
                <c:pt idx="20">
                  <c:v>-0.0995355081625207</c:v>
                </c:pt>
                <c:pt idx="21">
                  <c:v>-0.02981095580445</c:v>
                </c:pt>
                <c:pt idx="22">
                  <c:v>0.0610558499385829</c:v>
                </c:pt>
                <c:pt idx="23">
                  <c:v>0.166872486419687</c:v>
                </c:pt>
                <c:pt idx="24">
                  <c:v>0.280427724732935</c:v>
                </c:pt>
              </c:numCache>
            </c:numRef>
          </c:yVal>
          <c:smooth val="1"/>
        </c:ser>
        <c:ser>
          <c:idx val="6"/>
          <c:order val="6"/>
          <c:tx>
            <c:v>own class in F, not in L</c:v>
          </c:tx>
          <c:spPr>
            <a:ln w="15875" cap="rnd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Data'!$BM$339:$BM$363</c:f>
              <c:numCache>
                <c:formatCode>General</c:formatCode>
                <c:ptCount val="25"/>
                <c:pt idx="0">
                  <c:v>0.358944805827892</c:v>
                </c:pt>
                <c:pt idx="1">
                  <c:v>0.343172850975515</c:v>
                </c:pt>
                <c:pt idx="2">
                  <c:v>0.296931819077185</c:v>
                </c:pt>
                <c:pt idx="3">
                  <c:v>0.223372960039856</c:v>
                </c:pt>
                <c:pt idx="4">
                  <c:v>0.127509188545159</c:v>
                </c:pt>
                <c:pt idx="5">
                  <c:v>0.0158734621980847</c:v>
                </c:pt>
                <c:pt idx="6">
                  <c:v>-0.103926428737574</c:v>
                </c:pt>
                <c:pt idx="7">
                  <c:v>-0.223726319673233</c:v>
                </c:pt>
                <c:pt idx="8">
                  <c:v>-0.335362046020307</c:v>
                </c:pt>
                <c:pt idx="9">
                  <c:v>-0.431225817515004</c:v>
                </c:pt>
                <c:pt idx="10">
                  <c:v>-0.504784676552334</c:v>
                </c:pt>
                <c:pt idx="11">
                  <c:v>-0.551025708450663</c:v>
                </c:pt>
                <c:pt idx="12">
                  <c:v>-0.566797663303041</c:v>
                </c:pt>
                <c:pt idx="13">
                  <c:v>-0.551025708450664</c:v>
                </c:pt>
                <c:pt idx="14">
                  <c:v>-0.504784676552334</c:v>
                </c:pt>
                <c:pt idx="15">
                  <c:v>-0.431225817515005</c:v>
                </c:pt>
                <c:pt idx="16">
                  <c:v>-0.335362046020308</c:v>
                </c:pt>
                <c:pt idx="17">
                  <c:v>-0.223726319673233</c:v>
                </c:pt>
                <c:pt idx="18">
                  <c:v>-0.103926428737574</c:v>
                </c:pt>
                <c:pt idx="19">
                  <c:v>0.0158734621980845</c:v>
                </c:pt>
                <c:pt idx="20">
                  <c:v>0.127509188545159</c:v>
                </c:pt>
                <c:pt idx="21">
                  <c:v>0.223372960039856</c:v>
                </c:pt>
                <c:pt idx="22">
                  <c:v>0.296931819077185</c:v>
                </c:pt>
                <c:pt idx="23">
                  <c:v>0.343172850975515</c:v>
                </c:pt>
                <c:pt idx="24">
                  <c:v>0.358944805827892</c:v>
                </c:pt>
              </c:numCache>
            </c:numRef>
          </c:xVal>
          <c:yVal>
            <c:numRef>
              <c:f>'Hypersphere Data'!$BO$339:$BO$363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7"/>
          <c:order val="7"/>
          <c:tx>
            <c:v>own class in D (no longer counts)</c:v>
          </c:tx>
          <c:spPr>
            <a:ln w="15875" cap="rnd">
              <a:solidFill>
                <a:srgbClr val="A6A6A6"/>
              </a:solidFill>
              <a:prstDash val="sysDot"/>
              <a:round/>
            </a:ln>
          </c:spPr>
          <c:marker>
            <c:symbol val="none"/>
          </c:marker>
          <c:xVal>
            <c:numRef>
              <c:f>'Hypersphere Data'!$AO$339:$AO$363</c:f>
              <c:numCache>
                <c:formatCode>General</c:formatCode>
                <c:ptCount val="25"/>
              </c:numCache>
            </c:numRef>
          </c:xVal>
          <c:yVal>
            <c:numRef>
              <c:f>'Hypersphere Data'!$AR$339:$AR$363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8"/>
          <c:order val="8"/>
          <c:tx>
            <c:v>own class in D (no longer counts)</c:v>
          </c:tx>
          <c:spPr>
            <a:ln w="15875" cap="rnd">
              <a:solidFill>
                <a:srgbClr val="A6A6A6"/>
              </a:solidFill>
              <a:prstDash val="sysDot"/>
              <a:round/>
            </a:ln>
          </c:spPr>
          <c:marker>
            <c:symbol val="none"/>
          </c:marker>
          <c:xVal>
            <c:numRef>
              <c:f>'Hypersphere Data'!$AS$339:$AS$363</c:f>
              <c:numCache>
                <c:formatCode>General</c:formatCode>
                <c:ptCount val="25"/>
              </c:numCache>
            </c:numRef>
          </c:xVal>
          <c:yVal>
            <c:numRef>
              <c:f>'Hypersphere Data'!$AV$339:$AV$363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9"/>
          <c:order val="9"/>
          <c:tx>
            <c:v>own class in D (no longer counts)</c:v>
          </c:tx>
          <c:spPr>
            <a:ln w="15875" cap="rnd">
              <a:solidFill>
                <a:srgbClr val="A6A6A6"/>
              </a:solidFill>
              <a:prstDash val="sysDot"/>
              <a:round/>
            </a:ln>
          </c:spPr>
          <c:marker>
            <c:symbol val="none"/>
          </c:marker>
          <c:xVal>
            <c:numRef>
              <c:f>'Hypersphere Data'!$AW$339:$AW$363</c:f>
              <c:numCache>
                <c:formatCode>General</c:formatCode>
                <c:ptCount val="25"/>
                <c:pt idx="0">
                  <c:v>0.559681007778083</c:v>
                </c:pt>
                <c:pt idx="1">
                  <c:v>0.537069132710383</c:v>
                </c:pt>
                <c:pt idx="2">
                  <c:v>0.470774469425254</c:v>
                </c:pt>
                <c:pt idx="3">
                  <c:v>0.365314889668469</c:v>
                </c:pt>
                <c:pt idx="4">
                  <c:v>0.227877289520255</c:v>
                </c:pt>
                <c:pt idx="5">
                  <c:v>0.0678278143043399</c:v>
                </c:pt>
                <c:pt idx="6">
                  <c:v>-0.103926428737574</c:v>
                </c:pt>
                <c:pt idx="7">
                  <c:v>-0.275680671779488</c:v>
                </c:pt>
                <c:pt idx="8">
                  <c:v>-0.435730146995403</c:v>
                </c:pt>
                <c:pt idx="9">
                  <c:v>-0.573167747143617</c:v>
                </c:pt>
                <c:pt idx="10">
                  <c:v>-0.678627326900403</c:v>
                </c:pt>
                <c:pt idx="11">
                  <c:v>-0.744921990185531</c:v>
                </c:pt>
                <c:pt idx="12">
                  <c:v>-0.767533865253232</c:v>
                </c:pt>
                <c:pt idx="13">
                  <c:v>-0.744921990185531</c:v>
                </c:pt>
                <c:pt idx="14">
                  <c:v>-0.678627326900403</c:v>
                </c:pt>
                <c:pt idx="15">
                  <c:v>-0.573167747143617</c:v>
                </c:pt>
                <c:pt idx="16">
                  <c:v>-0.435730146995403</c:v>
                </c:pt>
                <c:pt idx="17">
                  <c:v>-0.275680671779488</c:v>
                </c:pt>
                <c:pt idx="18">
                  <c:v>-0.103926428737574</c:v>
                </c:pt>
                <c:pt idx="19">
                  <c:v>0.0678278143043397</c:v>
                </c:pt>
                <c:pt idx="20">
                  <c:v>0.227877289520255</c:v>
                </c:pt>
                <c:pt idx="21">
                  <c:v>0.365314889668468</c:v>
                </c:pt>
                <c:pt idx="22">
                  <c:v>0.470774469425254</c:v>
                </c:pt>
                <c:pt idx="23">
                  <c:v>0.537069132710383</c:v>
                </c:pt>
                <c:pt idx="24">
                  <c:v>0.559681007778083</c:v>
                </c:pt>
              </c:numCache>
            </c:numRef>
          </c:xVal>
          <c:yVal>
            <c:numRef>
              <c:f>'Hypersphere Data'!$AZ$339:$AZ$363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0"/>
          <c:order val="10"/>
          <c:tx>
            <c:v>own class in D (no longer counts)</c:v>
          </c:tx>
          <c:spPr>
            <a:ln w="15875" cap="rnd">
              <a:solidFill>
                <a:srgbClr val="A6A6A6"/>
              </a:solidFill>
              <a:prstDash val="sysDot"/>
              <a:round/>
            </a:ln>
          </c:spPr>
          <c:marker>
            <c:symbol val="none"/>
          </c:marker>
          <c:xVal>
            <c:numRef>
              <c:f>'Hypersphere Data'!$BA$339:$BA$363</c:f>
              <c:numCache>
                <c:formatCode>General</c:formatCode>
                <c:ptCount val="25"/>
              </c:numCache>
            </c:numRef>
          </c:xVal>
          <c:yVal>
            <c:numRef>
              <c:f>'Hypersphere Data'!$BD$339:$BD$363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1"/>
          <c:order val="11"/>
          <c:tx>
            <c:v>own class in D (no longer counts)</c:v>
          </c:tx>
          <c:spPr>
            <a:ln w="15875" cap="rnd">
              <a:solidFill>
                <a:srgbClr val="A6A6A6"/>
              </a:solidFill>
              <a:prstDash val="sysDot"/>
              <a:round/>
            </a:ln>
          </c:spPr>
          <c:marker>
            <c:symbol val="none"/>
          </c:marker>
          <c:xVal>
            <c:numRef>
              <c:f>'Hypersphere Data'!$BE$339:$BE$363</c:f>
              <c:numCache>
                <c:formatCode>General</c:formatCode>
                <c:ptCount val="25"/>
              </c:numCache>
            </c:numRef>
          </c:xVal>
          <c:yVal>
            <c:numRef>
              <c:f>'Hypersphere Data'!$BH$339:$BH$363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2"/>
          <c:order val="12"/>
          <c:tx>
            <c:v>own class in D (no longer counts)</c:v>
          </c:tx>
          <c:spPr>
            <a:ln w="15875" cap="rnd">
              <a:solidFill>
                <a:srgbClr val="A6A6A6"/>
              </a:solidFill>
              <a:prstDash val="sysDot"/>
              <a:round/>
            </a:ln>
          </c:spPr>
          <c:marker>
            <c:symbol val="none"/>
          </c:marker>
          <c:xVal>
            <c:numRef>
              <c:f>'Hypersphere Data'!$BI$339:$BI$363</c:f>
              <c:numCache>
                <c:formatCode>General</c:formatCode>
                <c:ptCount val="25"/>
                <c:pt idx="0">
                  <c:v>0.869565217391304</c:v>
                </c:pt>
                <c:pt idx="1">
                  <c:v>0.854615386653234</c:v>
                </c:pt>
                <c:pt idx="2">
                  <c:v>0.810784700698057</c:v>
                </c:pt>
                <c:pt idx="3">
                  <c:v>0.741060148339986</c:v>
                </c:pt>
                <c:pt idx="4">
                  <c:v>0.650193342596953</c:v>
                </c:pt>
                <c:pt idx="5">
                  <c:v>0.544376706115849</c:v>
                </c:pt>
                <c:pt idx="6">
                  <c:v>0.430821467802601</c:v>
                </c:pt>
                <c:pt idx="7">
                  <c:v>0.317266229489353</c:v>
                </c:pt>
                <c:pt idx="8">
                  <c:v>0.211449593008249</c:v>
                </c:pt>
                <c:pt idx="9">
                  <c:v>0.120582787265216</c:v>
                </c:pt>
                <c:pt idx="10">
                  <c:v>0.0508582349071455</c:v>
                </c:pt>
                <c:pt idx="11">
                  <c:v>0.00702754895196867</c:v>
                </c:pt>
                <c:pt idx="12">
                  <c:v>-0.00792228178610238</c:v>
                </c:pt>
                <c:pt idx="13">
                  <c:v>0.00702754895196861</c:v>
                </c:pt>
                <c:pt idx="14">
                  <c:v>0.0508582349071455</c:v>
                </c:pt>
                <c:pt idx="15">
                  <c:v>0.120582787265216</c:v>
                </c:pt>
                <c:pt idx="16">
                  <c:v>0.211449593008249</c:v>
                </c:pt>
                <c:pt idx="17">
                  <c:v>0.317266229489353</c:v>
                </c:pt>
                <c:pt idx="18">
                  <c:v>0.430821467802601</c:v>
                </c:pt>
                <c:pt idx="19">
                  <c:v>0.544376706115849</c:v>
                </c:pt>
                <c:pt idx="20">
                  <c:v>0.650193342596953</c:v>
                </c:pt>
                <c:pt idx="21">
                  <c:v>0.741060148339986</c:v>
                </c:pt>
                <c:pt idx="22">
                  <c:v>0.810784700698056</c:v>
                </c:pt>
                <c:pt idx="23">
                  <c:v>0.854615386653233</c:v>
                </c:pt>
                <c:pt idx="24">
                  <c:v>0.869565217391304</c:v>
                </c:pt>
              </c:numCache>
            </c:numRef>
          </c:xVal>
          <c:yVal>
            <c:numRef>
              <c:f>'Hypersphere Data'!$BL$339:$BL$363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3"/>
          <c:order val="13"/>
          <c:tx>
            <c:v>own class in D (no longer counts)</c:v>
          </c:tx>
          <c:spPr>
            <a:ln w="15875" cap="rnd">
              <a:solidFill>
                <a:srgbClr val="A6A6A6"/>
              </a:solidFill>
              <a:prstDash val="sysDot"/>
              <a:round/>
            </a:ln>
          </c:spPr>
          <c:marker>
            <c:symbol val="none"/>
          </c:marker>
          <c:xVal>
            <c:numRef>
              <c:f>'Hypersphere Data'!$BM$339:$BM$363</c:f>
              <c:numCache>
                <c:formatCode>General</c:formatCode>
                <c:ptCount val="25"/>
                <c:pt idx="0">
                  <c:v>0.358944805827892</c:v>
                </c:pt>
                <c:pt idx="1">
                  <c:v>0.343172850975515</c:v>
                </c:pt>
                <c:pt idx="2">
                  <c:v>0.296931819077185</c:v>
                </c:pt>
                <c:pt idx="3">
                  <c:v>0.223372960039856</c:v>
                </c:pt>
                <c:pt idx="4">
                  <c:v>0.127509188545159</c:v>
                </c:pt>
                <c:pt idx="5">
                  <c:v>0.0158734621980847</c:v>
                </c:pt>
                <c:pt idx="6">
                  <c:v>-0.103926428737574</c:v>
                </c:pt>
                <c:pt idx="7">
                  <c:v>-0.223726319673233</c:v>
                </c:pt>
                <c:pt idx="8">
                  <c:v>-0.335362046020307</c:v>
                </c:pt>
                <c:pt idx="9">
                  <c:v>-0.431225817515004</c:v>
                </c:pt>
                <c:pt idx="10">
                  <c:v>-0.504784676552334</c:v>
                </c:pt>
                <c:pt idx="11">
                  <c:v>-0.551025708450663</c:v>
                </c:pt>
                <c:pt idx="12">
                  <c:v>-0.566797663303041</c:v>
                </c:pt>
                <c:pt idx="13">
                  <c:v>-0.551025708450664</c:v>
                </c:pt>
                <c:pt idx="14">
                  <c:v>-0.504784676552334</c:v>
                </c:pt>
                <c:pt idx="15">
                  <c:v>-0.431225817515005</c:v>
                </c:pt>
                <c:pt idx="16">
                  <c:v>-0.335362046020308</c:v>
                </c:pt>
                <c:pt idx="17">
                  <c:v>-0.223726319673233</c:v>
                </c:pt>
                <c:pt idx="18">
                  <c:v>-0.103926428737574</c:v>
                </c:pt>
                <c:pt idx="19">
                  <c:v>0.0158734621980845</c:v>
                </c:pt>
                <c:pt idx="20">
                  <c:v>0.127509188545159</c:v>
                </c:pt>
                <c:pt idx="21">
                  <c:v>0.223372960039856</c:v>
                </c:pt>
                <c:pt idx="22">
                  <c:v>0.296931819077185</c:v>
                </c:pt>
                <c:pt idx="23">
                  <c:v>0.343172850975515</c:v>
                </c:pt>
                <c:pt idx="24">
                  <c:v>0.358944805827892</c:v>
                </c:pt>
              </c:numCache>
            </c:numRef>
          </c:xVal>
          <c:yVal>
            <c:numRef>
              <c:f>'Hypersphere Data'!$BP$339:$BP$363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4"/>
          <c:order val="14"/>
          <c:tx>
            <c:v>sphere of a member of L</c:v>
          </c:tx>
          <c:spPr>
            <a:ln w="28575" cap="rnd">
              <a:solidFill>
                <a:srgbClr val="BF8F00"/>
              </a:solidFill>
              <a:round/>
            </a:ln>
          </c:spPr>
          <c:marker>
            <c:symbol val="none"/>
          </c:marker>
          <c:xVal>
            <c:numRef>
              <c:f>'Hypersphere Data'!$AO$339:$AO$363</c:f>
              <c:numCache>
                <c:formatCode>General</c:formatCode>
                <c:ptCount val="25"/>
              </c:numCache>
            </c:numRef>
          </c:xVal>
          <c:yVal>
            <c:numRef>
              <c:f>'Hypersphere Data'!$AP$339:$AP$363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5"/>
          <c:order val="15"/>
          <c:tx>
            <c:v>sphere of a member of L</c:v>
          </c:tx>
          <c:spPr>
            <a:ln w="28575" cap="rnd">
              <a:solidFill>
                <a:srgbClr val="BF8F00"/>
              </a:solidFill>
              <a:round/>
            </a:ln>
          </c:spPr>
          <c:marker>
            <c:symbol val="none"/>
          </c:marker>
          <c:xVal>
            <c:numRef>
              <c:f>'Hypersphere Data'!$AS$339:$AS$363</c:f>
              <c:numCache>
                <c:formatCode>General</c:formatCode>
                <c:ptCount val="25"/>
              </c:numCache>
            </c:numRef>
          </c:xVal>
          <c:yVal>
            <c:numRef>
              <c:f>'Hypersphere Data'!$AT$339:$AT$363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6"/>
          <c:order val="16"/>
          <c:tx>
            <c:v>sphere of a member of L</c:v>
          </c:tx>
          <c:spPr>
            <a:ln w="28575" cap="rnd">
              <a:solidFill>
                <a:srgbClr val="BF8F00"/>
              </a:solidFill>
              <a:round/>
            </a:ln>
          </c:spPr>
          <c:marker>
            <c:symbol val="none"/>
          </c:marker>
          <c:xVal>
            <c:numRef>
              <c:f>'Hypersphere Data'!$AW$339:$AW$363</c:f>
              <c:numCache>
                <c:formatCode>General</c:formatCode>
                <c:ptCount val="25"/>
                <c:pt idx="0">
                  <c:v>0.559681007778083</c:v>
                </c:pt>
                <c:pt idx="1">
                  <c:v>0.537069132710383</c:v>
                </c:pt>
                <c:pt idx="2">
                  <c:v>0.470774469425254</c:v>
                </c:pt>
                <c:pt idx="3">
                  <c:v>0.365314889668469</c:v>
                </c:pt>
                <c:pt idx="4">
                  <c:v>0.227877289520255</c:v>
                </c:pt>
                <c:pt idx="5">
                  <c:v>0.0678278143043399</c:v>
                </c:pt>
                <c:pt idx="6">
                  <c:v>-0.103926428737574</c:v>
                </c:pt>
                <c:pt idx="7">
                  <c:v>-0.275680671779488</c:v>
                </c:pt>
                <c:pt idx="8">
                  <c:v>-0.435730146995403</c:v>
                </c:pt>
                <c:pt idx="9">
                  <c:v>-0.573167747143617</c:v>
                </c:pt>
                <c:pt idx="10">
                  <c:v>-0.678627326900403</c:v>
                </c:pt>
                <c:pt idx="11">
                  <c:v>-0.744921990185531</c:v>
                </c:pt>
                <c:pt idx="12">
                  <c:v>-0.767533865253232</c:v>
                </c:pt>
                <c:pt idx="13">
                  <c:v>-0.744921990185531</c:v>
                </c:pt>
                <c:pt idx="14">
                  <c:v>-0.678627326900403</c:v>
                </c:pt>
                <c:pt idx="15">
                  <c:v>-0.573167747143617</c:v>
                </c:pt>
                <c:pt idx="16">
                  <c:v>-0.435730146995403</c:v>
                </c:pt>
                <c:pt idx="17">
                  <c:v>-0.275680671779488</c:v>
                </c:pt>
                <c:pt idx="18">
                  <c:v>-0.103926428737574</c:v>
                </c:pt>
                <c:pt idx="19">
                  <c:v>0.0678278143043397</c:v>
                </c:pt>
                <c:pt idx="20">
                  <c:v>0.227877289520255</c:v>
                </c:pt>
                <c:pt idx="21">
                  <c:v>0.365314889668468</c:v>
                </c:pt>
                <c:pt idx="22">
                  <c:v>0.470774469425254</c:v>
                </c:pt>
                <c:pt idx="23">
                  <c:v>0.537069132710383</c:v>
                </c:pt>
                <c:pt idx="24">
                  <c:v>0.559681007778083</c:v>
                </c:pt>
              </c:numCache>
            </c:numRef>
          </c:xVal>
          <c:yVal>
            <c:numRef>
              <c:f>'Hypersphere Data'!$AX$339:$AX$363</c:f>
              <c:numCache>
                <c:formatCode>General</c:formatCode>
                <c:ptCount val="25"/>
                <c:pt idx="0">
                  <c:v>-0.0283091172831216</c:v>
                </c:pt>
                <c:pt idx="1">
                  <c:v>0.143445125758793</c:v>
                </c:pt>
                <c:pt idx="2">
                  <c:v>0.303494600974707</c:v>
                </c:pt>
                <c:pt idx="3">
                  <c:v>0.440932201122921</c:v>
                </c:pt>
                <c:pt idx="4">
                  <c:v>0.546391780879707</c:v>
                </c:pt>
                <c:pt idx="5">
                  <c:v>0.612686444164835</c:v>
                </c:pt>
                <c:pt idx="6">
                  <c:v>0.635298319232536</c:v>
                </c:pt>
                <c:pt idx="7">
                  <c:v>0.612686444164835</c:v>
                </c:pt>
                <c:pt idx="8">
                  <c:v>0.546391780879707</c:v>
                </c:pt>
                <c:pt idx="9">
                  <c:v>0.440932201122921</c:v>
                </c:pt>
                <c:pt idx="10">
                  <c:v>0.303494600974707</c:v>
                </c:pt>
                <c:pt idx="11">
                  <c:v>0.143445125758793</c:v>
                </c:pt>
                <c:pt idx="12">
                  <c:v>-0.0283091172831215</c:v>
                </c:pt>
                <c:pt idx="13">
                  <c:v>-0.200063360325036</c:v>
                </c:pt>
                <c:pt idx="14">
                  <c:v>-0.36011283554095</c:v>
                </c:pt>
                <c:pt idx="15">
                  <c:v>-0.497550435689164</c:v>
                </c:pt>
                <c:pt idx="16">
                  <c:v>-0.60301001544595</c:v>
                </c:pt>
                <c:pt idx="17">
                  <c:v>-0.669304678731079</c:v>
                </c:pt>
                <c:pt idx="18">
                  <c:v>-0.691916553798779</c:v>
                </c:pt>
                <c:pt idx="19">
                  <c:v>-0.669304678731079</c:v>
                </c:pt>
                <c:pt idx="20">
                  <c:v>-0.60301001544595</c:v>
                </c:pt>
                <c:pt idx="21">
                  <c:v>-0.497550435689164</c:v>
                </c:pt>
                <c:pt idx="22">
                  <c:v>-0.360112835540951</c:v>
                </c:pt>
                <c:pt idx="23">
                  <c:v>-0.200063360325036</c:v>
                </c:pt>
                <c:pt idx="24">
                  <c:v>-0.0283091172831217</c:v>
                </c:pt>
              </c:numCache>
            </c:numRef>
          </c:yVal>
          <c:smooth val="1"/>
        </c:ser>
        <c:ser>
          <c:idx val="17"/>
          <c:order val="17"/>
          <c:tx>
            <c:v>sphere of a member of L</c:v>
          </c:tx>
          <c:spPr>
            <a:ln w="28575" cap="rnd">
              <a:solidFill>
                <a:srgbClr val="BF8F00"/>
              </a:solidFill>
              <a:round/>
            </a:ln>
          </c:spPr>
          <c:marker>
            <c:symbol val="none"/>
          </c:marker>
          <c:xVal>
            <c:numRef>
              <c:f>'Hypersphere Data'!$BA$339:$BA$363</c:f>
              <c:numCache>
                <c:formatCode>General</c:formatCode>
                <c:ptCount val="25"/>
              </c:numCache>
            </c:numRef>
          </c:xVal>
          <c:yVal>
            <c:numRef>
              <c:f>'Hypersphere Data'!$BB$339:$BB$363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8"/>
          <c:order val="18"/>
          <c:tx>
            <c:v>sphere of a member of L</c:v>
          </c:tx>
          <c:spPr>
            <a:ln w="28575" cap="rnd">
              <a:solidFill>
                <a:srgbClr val="BF8F00"/>
              </a:solidFill>
              <a:round/>
            </a:ln>
          </c:spPr>
          <c:marker>
            <c:symbol val="none"/>
          </c:marker>
          <c:xVal>
            <c:numRef>
              <c:f>'Hypersphere Data'!$BE$339:$BE$363</c:f>
              <c:numCache>
                <c:formatCode>General</c:formatCode>
                <c:ptCount val="25"/>
              </c:numCache>
            </c:numRef>
          </c:xVal>
          <c:yVal>
            <c:numRef>
              <c:f>'Hypersphere Data'!$BF$339:$BF$363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9"/>
          <c:order val="19"/>
          <c:tx>
            <c:v>sphere of a member of L</c:v>
          </c:tx>
          <c:spPr>
            <a:ln w="28575" cap="rnd">
              <a:solidFill>
                <a:srgbClr val="BF8F00"/>
              </a:solidFill>
              <a:round/>
            </a:ln>
          </c:spPr>
          <c:marker>
            <c:symbol val="none"/>
          </c:marker>
          <c:xVal>
            <c:numRef>
              <c:f>'Hypersphere Data'!$BI$339:$BI$363</c:f>
              <c:numCache>
                <c:formatCode>General</c:formatCode>
                <c:ptCount val="25"/>
                <c:pt idx="0">
                  <c:v>0.869565217391304</c:v>
                </c:pt>
                <c:pt idx="1">
                  <c:v>0.854615386653234</c:v>
                </c:pt>
                <c:pt idx="2">
                  <c:v>0.810784700698057</c:v>
                </c:pt>
                <c:pt idx="3">
                  <c:v>0.741060148339986</c:v>
                </c:pt>
                <c:pt idx="4">
                  <c:v>0.650193342596953</c:v>
                </c:pt>
                <c:pt idx="5">
                  <c:v>0.544376706115849</c:v>
                </c:pt>
                <c:pt idx="6">
                  <c:v>0.430821467802601</c:v>
                </c:pt>
                <c:pt idx="7">
                  <c:v>0.317266229489353</c:v>
                </c:pt>
                <c:pt idx="8">
                  <c:v>0.211449593008249</c:v>
                </c:pt>
                <c:pt idx="9">
                  <c:v>0.120582787265216</c:v>
                </c:pt>
                <c:pt idx="10">
                  <c:v>0.0508582349071455</c:v>
                </c:pt>
                <c:pt idx="11">
                  <c:v>0.00702754895196867</c:v>
                </c:pt>
                <c:pt idx="12">
                  <c:v>-0.00792228178610238</c:v>
                </c:pt>
                <c:pt idx="13">
                  <c:v>0.00702754895196861</c:v>
                </c:pt>
                <c:pt idx="14">
                  <c:v>0.0508582349071455</c:v>
                </c:pt>
                <c:pt idx="15">
                  <c:v>0.120582787265216</c:v>
                </c:pt>
                <c:pt idx="16">
                  <c:v>0.211449593008249</c:v>
                </c:pt>
                <c:pt idx="17">
                  <c:v>0.317266229489353</c:v>
                </c:pt>
                <c:pt idx="18">
                  <c:v>0.430821467802601</c:v>
                </c:pt>
                <c:pt idx="19">
                  <c:v>0.544376706115849</c:v>
                </c:pt>
                <c:pt idx="20">
                  <c:v>0.650193342596953</c:v>
                </c:pt>
                <c:pt idx="21">
                  <c:v>0.741060148339986</c:v>
                </c:pt>
                <c:pt idx="22">
                  <c:v>0.810784700698056</c:v>
                </c:pt>
                <c:pt idx="23">
                  <c:v>0.854615386653233</c:v>
                </c:pt>
                <c:pt idx="24">
                  <c:v>0.869565217391304</c:v>
                </c:pt>
              </c:numCache>
            </c:numRef>
          </c:xVal>
          <c:yVal>
            <c:numRef>
              <c:f>'Hypersphere Data'!$BJ$339:$BJ$363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20"/>
          <c:order val="20"/>
          <c:tx>
            <c:v>sphere of a member of L</c:v>
          </c:tx>
          <c:spPr>
            <a:ln w="28575" cap="rnd">
              <a:solidFill>
                <a:srgbClr val="BF8F00"/>
              </a:solidFill>
              <a:round/>
            </a:ln>
          </c:spPr>
          <c:marker>
            <c:symbol val="none"/>
          </c:marker>
          <c:xVal>
            <c:numRef>
              <c:f>'Hypersphere Data'!$BM$339:$BM$363</c:f>
              <c:numCache>
                <c:formatCode>General</c:formatCode>
                <c:ptCount val="25"/>
                <c:pt idx="0">
                  <c:v>0.358944805827892</c:v>
                </c:pt>
                <c:pt idx="1">
                  <c:v>0.343172850975515</c:v>
                </c:pt>
                <c:pt idx="2">
                  <c:v>0.296931819077185</c:v>
                </c:pt>
                <c:pt idx="3">
                  <c:v>0.223372960039856</c:v>
                </c:pt>
                <c:pt idx="4">
                  <c:v>0.127509188545159</c:v>
                </c:pt>
                <c:pt idx="5">
                  <c:v>0.0158734621980847</c:v>
                </c:pt>
                <c:pt idx="6">
                  <c:v>-0.103926428737574</c:v>
                </c:pt>
                <c:pt idx="7">
                  <c:v>-0.223726319673233</c:v>
                </c:pt>
                <c:pt idx="8">
                  <c:v>-0.335362046020307</c:v>
                </c:pt>
                <c:pt idx="9">
                  <c:v>-0.431225817515004</c:v>
                </c:pt>
                <c:pt idx="10">
                  <c:v>-0.504784676552334</c:v>
                </c:pt>
                <c:pt idx="11">
                  <c:v>-0.551025708450663</c:v>
                </c:pt>
                <c:pt idx="12">
                  <c:v>-0.566797663303041</c:v>
                </c:pt>
                <c:pt idx="13">
                  <c:v>-0.551025708450664</c:v>
                </c:pt>
                <c:pt idx="14">
                  <c:v>-0.504784676552334</c:v>
                </c:pt>
                <c:pt idx="15">
                  <c:v>-0.431225817515005</c:v>
                </c:pt>
                <c:pt idx="16">
                  <c:v>-0.335362046020308</c:v>
                </c:pt>
                <c:pt idx="17">
                  <c:v>-0.223726319673233</c:v>
                </c:pt>
                <c:pt idx="18">
                  <c:v>-0.103926428737574</c:v>
                </c:pt>
                <c:pt idx="19">
                  <c:v>0.0158734621980845</c:v>
                </c:pt>
                <c:pt idx="20">
                  <c:v>0.127509188545159</c:v>
                </c:pt>
                <c:pt idx="21">
                  <c:v>0.223372960039856</c:v>
                </c:pt>
                <c:pt idx="22">
                  <c:v>0.296931819077185</c:v>
                </c:pt>
                <c:pt idx="23">
                  <c:v>0.343172850975515</c:v>
                </c:pt>
                <c:pt idx="24">
                  <c:v>0.358944805827892</c:v>
                </c:pt>
              </c:numCache>
            </c:numRef>
          </c:xVal>
          <c:yVal>
            <c:numRef>
              <c:f>'Hypersphere Data'!$BN$339:$BN$363</c:f>
              <c:numCache>
                <c:formatCode>General</c:formatCode>
                <c:ptCount val="25"/>
                <c:pt idx="0">
                  <c:v>0.301297414457782</c:v>
                </c:pt>
                <c:pt idx="1">
                  <c:v>0.421097305393441</c:v>
                </c:pt>
                <c:pt idx="2">
                  <c:v>0.532733031740515</c:v>
                </c:pt>
                <c:pt idx="3">
                  <c:v>0.628596803235212</c:v>
                </c:pt>
                <c:pt idx="4">
                  <c:v>0.702155662272541</c:v>
                </c:pt>
                <c:pt idx="5">
                  <c:v>0.748396694170871</c:v>
                </c:pt>
                <c:pt idx="6">
                  <c:v>0.764168649023248</c:v>
                </c:pt>
                <c:pt idx="7">
                  <c:v>0.748396694170871</c:v>
                </c:pt>
                <c:pt idx="8">
                  <c:v>0.702155662272541</c:v>
                </c:pt>
                <c:pt idx="9">
                  <c:v>0.628596803235212</c:v>
                </c:pt>
                <c:pt idx="10">
                  <c:v>0.532733031740515</c:v>
                </c:pt>
                <c:pt idx="11">
                  <c:v>0.421097305393441</c:v>
                </c:pt>
                <c:pt idx="12">
                  <c:v>0.301297414457782</c:v>
                </c:pt>
                <c:pt idx="13">
                  <c:v>0.181497523522123</c:v>
                </c:pt>
                <c:pt idx="14">
                  <c:v>0.0698617971750485</c:v>
                </c:pt>
                <c:pt idx="15">
                  <c:v>-0.0260019743196486</c:v>
                </c:pt>
                <c:pt idx="16">
                  <c:v>-0.0995608333569779</c:v>
                </c:pt>
                <c:pt idx="17">
                  <c:v>-0.145801865255308</c:v>
                </c:pt>
                <c:pt idx="18">
                  <c:v>-0.161573820107685</c:v>
                </c:pt>
                <c:pt idx="19">
                  <c:v>-0.145801865255308</c:v>
                </c:pt>
                <c:pt idx="20">
                  <c:v>-0.099560833356978</c:v>
                </c:pt>
                <c:pt idx="21">
                  <c:v>-0.0260019743196488</c:v>
                </c:pt>
                <c:pt idx="22">
                  <c:v>0.0698617971750482</c:v>
                </c:pt>
                <c:pt idx="23">
                  <c:v>0.181497523522122</c:v>
                </c:pt>
                <c:pt idx="24">
                  <c:v>0.301297414457781</c:v>
                </c:pt>
              </c:numCache>
            </c:numRef>
          </c:yVal>
          <c:smooth val="1"/>
        </c:ser>
        <c:ser>
          <c:idx val="21"/>
          <c:order val="21"/>
          <c:tx>
            <c:v>K1 in D</c:v>
          </c:tx>
          <c:spPr>
            <a:ln w="19050">
              <a:noFill/>
            </a:ln>
          </c:spPr>
          <c:marker>
            <c:symbol val="circle"/>
            <c:size val="8"/>
            <c:spPr>
              <a:solidFill>
                <a:srgbClr val="A9C4EB"/>
              </a:solidFill>
              <a:ln w="12700">
                <a:solidFill>
                  <a:srgbClr val="2F5597"/>
                </a:solidFill>
              </a:ln>
            </c:spPr>
          </c:marker>
          <c:xVal>
            <c:numRef>
              <c:f>'Hypersphere Data'!$Z$339:$Z$345</c:f>
              <c:numCache>
                <c:formatCode>General</c:formatCode>
                <c:ptCount val="7"/>
              </c:numCache>
            </c:numRef>
          </c:xVal>
          <c:yVal>
            <c:numRef>
              <c:f>'Hypersphere Data'!$AA$339:$AA$345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2"/>
          <c:order val="22"/>
          <c:tx>
            <c:v>K2 in D</c:v>
          </c:tx>
          <c:spPr>
            <a:ln w="19050">
              <a:noFill/>
            </a:ln>
          </c:spPr>
          <c:marker>
            <c:symbol val="triangle"/>
            <c:size val="9"/>
            <c:spPr>
              <a:solidFill>
                <a:srgbClr val="F2A7A7"/>
              </a:solidFill>
              <a:ln w="12700">
                <a:solidFill>
                  <a:srgbClr val="C00000"/>
                </a:solidFill>
              </a:ln>
            </c:spPr>
          </c:marker>
          <c:xVal>
            <c:numRef>
              <c:f>'Hypersphere Data'!$AD$339:$AD$345</c:f>
              <c:numCache>
                <c:formatCode>General</c:formatCode>
                <c:ptCount val="7"/>
              </c:numCache>
            </c:numRef>
          </c:xVal>
          <c:yVal>
            <c:numRef>
              <c:f>'Hypersphere Data'!$AE$339:$AE$345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3"/>
          <c:order val="23"/>
          <c:tx>
            <c:v>K1 in F</c:v>
          </c:tx>
          <c:spPr>
            <a:ln w="19050">
              <a:noFill/>
            </a:ln>
          </c:spPr>
          <c:marker>
            <c:symbol val="circle"/>
            <c:size val="8"/>
            <c:spPr>
              <a:solidFill>
                <a:srgbClr val="2F5597"/>
              </a:solidFill>
              <a:ln w="19050">
                <a:solidFill>
                  <a:srgbClr val="2F5597"/>
                </a:solidFill>
              </a:ln>
            </c:spPr>
          </c:marker>
          <c:xVal>
            <c:numRef>
              <c:f>'Hypersphere Data'!$X$339:$X$345</c:f>
              <c:numCache>
                <c:formatCode>General</c:formatCode>
                <c:ptCount val="7"/>
                <c:pt idx="5">
                  <c:v>0.430821467802601</c:v>
                </c:pt>
                <c:pt idx="6">
                  <c:v>-0.103926428737574</c:v>
                </c:pt>
              </c:numCache>
            </c:numRef>
          </c:xVal>
          <c:yVal>
            <c:numRef>
              <c:f>'Hypersphere Data'!$Y$339:$Y$345</c:f>
              <c:numCache>
                <c:formatCode>General</c:formatCode>
                <c:ptCount val="7"/>
                <c:pt idx="5">
                  <c:v>0.280427724732935</c:v>
                </c:pt>
                <c:pt idx="6">
                  <c:v>0.301297414457782</c:v>
                </c:pt>
              </c:numCache>
            </c:numRef>
          </c:yVal>
          <c:smooth val="0"/>
        </c:ser>
        <c:ser>
          <c:idx val="24"/>
          <c:order val="24"/>
          <c:tx>
            <c:v>K2 in F</c:v>
          </c:tx>
          <c:spPr>
            <a:ln w="19050">
              <a:noFill/>
            </a:ln>
          </c:spPr>
          <c:marker>
            <c:symbol val="triangle"/>
            <c:size val="9"/>
            <c:spPr>
              <a:solidFill>
                <a:srgbClr val="C00000"/>
              </a:solidFill>
              <a:ln w="19050">
                <a:solidFill>
                  <a:srgbClr val="C00000"/>
                </a:solidFill>
              </a:ln>
            </c:spPr>
          </c:marker>
          <c:xVal>
            <c:numRef>
              <c:f>'Hypersphere Data'!$AB$339:$AB$345</c:f>
              <c:numCache>
                <c:formatCode>General</c:formatCode>
                <c:ptCount val="7"/>
                <c:pt idx="0">
                  <c:v>0.470774469425254</c:v>
                </c:pt>
                <c:pt idx="1">
                  <c:v>-0.869565217391304</c:v>
                </c:pt>
                <c:pt idx="3">
                  <c:v>-0.103926428737574</c:v>
                </c:pt>
                <c:pt idx="4">
                  <c:v>-0.853348347364149</c:v>
                </c:pt>
              </c:numCache>
            </c:numRef>
          </c:xVal>
          <c:yVal>
            <c:numRef>
              <c:f>'Hypersphere Data'!$AC$339:$AC$345</c:f>
              <c:numCache>
                <c:formatCode>General</c:formatCode>
                <c:ptCount val="7"/>
                <c:pt idx="0">
                  <c:v>-0.36011283554095</c:v>
                </c:pt>
                <c:pt idx="1">
                  <c:v>0.413732643448128</c:v>
                </c:pt>
                <c:pt idx="3">
                  <c:v>-0.764168649023248</c:v>
                </c:pt>
                <c:pt idx="4">
                  <c:v>-0.460988063738781</c:v>
                </c:pt>
              </c:numCache>
            </c:numRef>
          </c:yVal>
          <c:smooth val="0"/>
        </c:ser>
        <c:ser>
          <c:idx val="25"/>
          <c:order val="25"/>
          <c:tx>
            <c:v>Sᵢ, class 1</c:v>
          </c:tx>
          <c:spPr>
            <a:ln w="19050">
              <a:noFill/>
            </a:ln>
          </c:spPr>
          <c:marker>
            <c:symbol val="circle"/>
            <c:size val="10"/>
            <c:spPr>
              <a:solidFill>
                <a:srgbClr val="2F5597"/>
              </a:solidFill>
              <a:ln w="19050">
                <a:solidFill>
                  <a:srgbClr val="000000"/>
                </a:solidFill>
              </a:ln>
            </c:spPr>
          </c:marker>
          <c:xVal>
            <c:numRef>
              <c:f>'Hypersphere Data'!$AF$339:$AF$345</c:f>
              <c:numCache>
                <c:formatCode>General</c:formatCode>
                <c:ptCount val="7"/>
                <c:pt idx="2">
                  <c:v>-0.103926428737574</c:v>
                </c:pt>
              </c:numCache>
            </c:numRef>
          </c:xVal>
          <c:yVal>
            <c:numRef>
              <c:f>'Hypersphere Data'!$AG$339:$AG$345</c:f>
              <c:numCache>
                <c:formatCode>General</c:formatCode>
                <c:ptCount val="7"/>
                <c:pt idx="2">
                  <c:v>-0.0283091172831216</c:v>
                </c:pt>
              </c:numCache>
            </c:numRef>
          </c:yVal>
          <c:smooth val="0"/>
        </c:ser>
        <c:ser>
          <c:idx val="26"/>
          <c:order val="26"/>
          <c:tx>
            <c:v>Sᵢ, class 2</c:v>
          </c:tx>
          <c:spPr>
            <a:ln w="19050">
              <a:noFill/>
            </a:ln>
          </c:spPr>
          <c:marker>
            <c:symbol val="triangle"/>
            <c:size val="11"/>
            <c:spPr>
              <a:solidFill>
                <a:srgbClr val="C00000"/>
              </a:solidFill>
              <a:ln w="19050">
                <a:solidFill>
                  <a:srgbClr val="000000"/>
                </a:solidFill>
              </a:ln>
            </c:spPr>
          </c:marker>
          <c:xVal>
            <c:numRef>
              <c:f>'Hypersphere Data'!$AH$339:$AH$345</c:f>
              <c:numCache>
                <c:formatCode>General</c:formatCode>
                <c:ptCount val="7"/>
              </c:numCache>
            </c:numRef>
          </c:xVal>
          <c:yVal>
            <c:numRef>
              <c:f>'Hypersphere Data'!$AI$339:$AI$345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7"/>
          <c:order val="27"/>
          <c:tx>
            <c:v>exact only for Sᵢ: inside a circle ⇔ ρ(Sⱼ, Sᵢ) &lt; r(Sⱼ)</c:v>
          </c:tx>
          <c:spPr>
            <a:ln w="19050">
              <a:noFill/>
            </a:ln>
          </c:spPr>
          <c:marker>
            <c:symbol val="plus"/>
            <c:size val="7"/>
            <c:spPr>
              <a:solidFill>
                <a:srgbClr val="000000"/>
              </a:solidFill>
              <a:ln w="15875">
                <a:solidFill>
                  <a:srgbClr val="000000"/>
                </a:solidFill>
              </a:ln>
            </c:spPr>
          </c:marker>
          <c:xVal>
            <c:numRef>
              <c:f>'Hypersphere Data'!$E$354</c:f>
              <c:numCache>
                <c:formatCode>General</c:formatCode>
                <c:ptCount val="1"/>
                <c:pt idx="0">
                  <c:v>-0.103926428737574</c:v>
                </c:pt>
              </c:numCache>
            </c:numRef>
          </c:xVal>
          <c:yVal>
            <c:numRef>
              <c:f>'Hypersphere Data'!$F$354</c:f>
              <c:numCache>
                <c:formatCode>General</c:formatCode>
                <c:ptCount val="1"/>
                <c:pt idx="0">
                  <c:v>-0.0283091172831216</c:v>
                </c:pt>
              </c:numCache>
            </c:numRef>
          </c:yVal>
          <c:smooth val="0"/>
        </c:ser>
        <c:ser>
          <c:idx val="28"/>
          <c:order val="28"/>
          <c:tx>
            <c:strRef>
              <c:f>'Hypersphere Data'!$D$348</c:f>
              <c:strCache>
                <c:ptCount val="1"/>
                <c:pt idx="0">
                  <c:v>S₇  ·  g 2→1  → D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Data'!$E$348</c:f>
              <c:numCache>
                <c:formatCode>General</c:formatCode>
                <c:ptCount val="1"/>
                <c:pt idx="0">
                  <c:v>-0.103926428737574</c:v>
                </c:pt>
              </c:numCache>
            </c:numRef>
          </c:xVal>
          <c:yVal>
            <c:numRef>
              <c:f>'Hypersphere Data'!$F$348</c:f>
              <c:numCache>
                <c:formatCode>General</c:formatCode>
                <c:ptCount val="1"/>
                <c:pt idx="0">
                  <c:v>0.301297414457782</c:v>
                </c:pt>
              </c:numCache>
            </c:numRef>
          </c:yVal>
          <c:smooth val="0"/>
        </c:ser>
        <c:ser>
          <c:idx val="29"/>
          <c:order val="29"/>
          <c:tx>
            <c:strRef>
              <c:f>'Hypersphere Data'!$D$349</c:f>
              <c:strCache>
                <c:ptCount val="1"/>
                <c:pt idx="0">
                  <c:v>S₆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Data'!$E$349</c:f>
              <c:numCache>
                <c:formatCode>General</c:formatCode>
                <c:ptCount val="1"/>
                <c:pt idx="0">
                  <c:v>0.430821467802601</c:v>
                </c:pt>
              </c:numCache>
            </c:numRef>
          </c:xVal>
          <c:yVal>
            <c:numRef>
              <c:f>'Hypersphere Data'!$F$349</c:f>
              <c:numCache>
                <c:formatCode>General</c:formatCode>
                <c:ptCount val="1"/>
                <c:pt idx="0">
                  <c:v>0.280427724732935</c:v>
                </c:pt>
              </c:numCache>
            </c:numRef>
          </c:yVal>
          <c:smooth val="0"/>
        </c:ser>
        <c:ser>
          <c:idx val="30"/>
          <c:order val="30"/>
          <c:tx>
            <c:strRef>
              <c:f>'Hypersphere Data'!$D$350</c:f>
              <c:strCache>
                <c:ptCount val="1"/>
                <c:pt idx="0">
                  <c:v>S₁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Data'!$E$350</c:f>
              <c:numCache>
                <c:formatCode>General</c:formatCode>
                <c:ptCount val="1"/>
                <c:pt idx="0">
                  <c:v>0.470774469425254</c:v>
                </c:pt>
              </c:numCache>
            </c:numRef>
          </c:xVal>
          <c:yVal>
            <c:numRef>
              <c:f>'Hypersphere Data'!$F$350</c:f>
              <c:numCache>
                <c:formatCode>General</c:formatCode>
                <c:ptCount val="1"/>
                <c:pt idx="0">
                  <c:v>-0.36011283554095</c:v>
                </c:pt>
              </c:numCache>
            </c:numRef>
          </c:yVal>
          <c:smooth val="0"/>
        </c:ser>
        <c:ser>
          <c:idx val="31"/>
          <c:order val="31"/>
          <c:tx>
            <c:strRef>
              <c:f>'Hypersphere Data'!$D$351</c:f>
              <c:strCache>
                <c:ptCount val="1"/>
                <c:pt idx="0">
                  <c:v>S₄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Data'!$E$351</c:f>
              <c:numCache>
                <c:formatCode>General</c:formatCode>
                <c:ptCount val="1"/>
                <c:pt idx="0">
                  <c:v>-0.103926428737574</c:v>
                </c:pt>
              </c:numCache>
            </c:numRef>
          </c:xVal>
          <c:yVal>
            <c:numRef>
              <c:f>'Hypersphere Data'!$F$351</c:f>
              <c:numCache>
                <c:formatCode>General</c:formatCode>
                <c:ptCount val="1"/>
                <c:pt idx="0">
                  <c:v>-0.764168649023248</c:v>
                </c:pt>
              </c:numCache>
            </c:numRef>
          </c:yVal>
          <c:smooth val="0"/>
        </c:ser>
        <c:ser>
          <c:idx val="32"/>
          <c:order val="32"/>
          <c:tx>
            <c:strRef>
              <c:f>'Hypersphere Data'!$D$352</c:f>
              <c:strCache>
                <c:ptCount val="1"/>
                <c:pt idx="0">
                  <c:v>S₅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Data'!$E$352</c:f>
              <c:numCache>
                <c:formatCode>General</c:formatCode>
                <c:ptCount val="1"/>
                <c:pt idx="0">
                  <c:v>-0.853348347364149</c:v>
                </c:pt>
              </c:numCache>
            </c:numRef>
          </c:xVal>
          <c:yVal>
            <c:numRef>
              <c:f>'Hypersphere Data'!$F$352</c:f>
              <c:numCache>
                <c:formatCode>General</c:formatCode>
                <c:ptCount val="1"/>
                <c:pt idx="0">
                  <c:v>-0.460988063738781</c:v>
                </c:pt>
              </c:numCache>
            </c:numRef>
          </c:yVal>
          <c:smooth val="0"/>
        </c:ser>
        <c:ser>
          <c:idx val="33"/>
          <c:order val="33"/>
          <c:tx>
            <c:strRef>
              <c:f>'Hypersphere Data'!$D$353</c:f>
              <c:strCache>
                <c:ptCount val="1"/>
                <c:pt idx="0">
                  <c:v>S₂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Data'!$E$353</c:f>
              <c:numCache>
                <c:formatCode>General</c:formatCode>
                <c:ptCount val="1"/>
                <c:pt idx="0">
                  <c:v>-0.869565217391304</c:v>
                </c:pt>
              </c:numCache>
            </c:numRef>
          </c:xVal>
          <c:yVal>
            <c:numRef>
              <c:f>'Hypersphere Data'!$F$353</c:f>
              <c:numCache>
                <c:formatCode>General</c:formatCode>
                <c:ptCount val="1"/>
                <c:pt idx="0">
                  <c:v>0.413732643448128</c:v>
                </c:pt>
              </c:numCache>
            </c:numRef>
          </c:yVal>
          <c:smooth val="0"/>
        </c:ser>
        <c:ser>
          <c:idx val="34"/>
          <c:order val="34"/>
          <c:tx>
            <c:strRef>
              <c:f>'Hypersphere Data'!$D$354</c:f>
              <c:strCache>
                <c:ptCount val="1"/>
                <c:pt idx="0">
                  <c:v>S₃ = Sᵢ  ·  g 3→2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Data'!$E$354</c:f>
              <c:numCache>
                <c:formatCode>General</c:formatCode>
                <c:ptCount val="1"/>
                <c:pt idx="0">
                  <c:v>-0.103926428737574</c:v>
                </c:pt>
              </c:numCache>
            </c:numRef>
          </c:xVal>
          <c:yVal>
            <c:numRef>
              <c:f>'Hypersphere Data'!$F$354</c:f>
              <c:numCache>
                <c:formatCode>General</c:formatCode>
                <c:ptCount val="1"/>
                <c:pt idx="0">
                  <c:v>-0.0283091172831216</c:v>
                </c:pt>
              </c:numCache>
            </c:numRef>
          </c:yVal>
          <c:smooth val="0"/>
        </c:ser>
        <c:ser>
          <c:idx val="35"/>
          <c:order val="35"/>
          <c:tx>
            <c:strRef>
              <c:f>'Hypersphere Data'!$D$346</c:f>
              <c:strCache>
                <c:ptCount val="1"/>
                <c:pt idx="0">
                  <c:v>Queue empty → Step 6:   D = {S₁, S₂, S₅, S₆, S₇}   ·   F = {S₃, S₄}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1000" b="1">
                    <a:solidFill>
                      <a:srgbClr val="1F3864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Data'!$E$346</c:f>
              <c:numCache>
                <c:formatCode>General</c:formatCode>
                <c:ptCount val="1"/>
              </c:numCache>
            </c:numRef>
          </c:xVal>
          <c:yVal>
            <c:numRef>
              <c:f>'Hypersphere Data'!$F$346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36"/>
          <c:order val="36"/>
          <c:tx>
            <c:strRef>
              <c:f>'Hypersphere Data'!$D$355</c:f>
              <c:strCache>
                <c:ptCount val="1"/>
                <c:pt idx="0">
                  <c:v>Sᵢ = S₃   ·   L = {S₃, S₇}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50" b="1">
                    <a:solidFill>
                      <a:srgbClr val="1F3864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Data'!$E$355</c:f>
              <c:numCache>
                <c:formatCode>General</c:formatCode>
                <c:ptCount val="1"/>
                <c:pt idx="0">
                  <c:v>-0.97</c:v>
                </c:pt>
              </c:numCache>
            </c:numRef>
          </c:xVal>
          <c:yVal>
            <c:numRef>
              <c:f>'Hypersphere Data'!$F$355</c:f>
              <c:numCache>
                <c:formatCode>General</c:formatCode>
                <c:ptCount val="1"/>
                <c:pt idx="0">
                  <c:v>0.955</c:v>
                </c:pt>
              </c:numCache>
            </c:numRef>
          </c:yVal>
          <c:smooth val="0"/>
        </c:ser>
        <c:ser>
          <c:idx val="37"/>
          <c:order val="37"/>
          <c:tx>
            <c:strRef>
              <c:f>'Hypersphere Data'!$D$356</c:f>
              <c:strCache>
                <c:ptCount val="1"/>
                <c:pt idx="0">
                  <c:v>|L| &gt; 1 → Step 5 corrects g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50" b="1">
                    <a:solidFill>
                      <a:srgbClr val="1F3864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Data'!$E$356</c:f>
              <c:numCache>
                <c:formatCode>General</c:formatCode>
                <c:ptCount val="1"/>
                <c:pt idx="0">
                  <c:v>-0.97</c:v>
                </c:pt>
              </c:numCache>
            </c:numRef>
          </c:xVal>
          <c:yVal>
            <c:numRef>
              <c:f>'Hypersphere Data'!$F$356</c:f>
              <c:numCache>
                <c:formatCode>General</c:formatCode>
                <c:ptCount val="1"/>
                <c:pt idx="0">
                  <c:v>-0.955</c:v>
                </c:pt>
              </c:numCache>
            </c:numRef>
          </c:yVal>
          <c:smooth val="0"/>
        </c:ser>
        <c:axId val="9101"/>
        <c:axId val="9102"/>
      </c:scatterChart>
      <c:valAx>
        <c:axId val="9101"/>
        <c:scaling>
          <c:orientation val="minMax"/>
          <c:max val="1.0"/>
          <c:min val="-1.0"/>
        </c:scaling>
        <c:delete val="1"/>
        <c:axPos val="b"/>
        <c:numFmt formatCode="General" sourceLinked="0"/>
        <c:majorTickMark val="none"/>
        <c:minorTickMark val="none"/>
        <c:tickLblPos val="none"/>
        <c:crossAx val="9102"/>
        <c:crosses val="autoZero"/>
        <c:crossBetween val="midCat"/>
      </c:valAx>
      <c:valAx>
        <c:axId val="9102"/>
        <c:scaling>
          <c:orientation val="minMax"/>
          <c:max val="1.0"/>
          <c:min val="-1.0"/>
        </c:scaling>
        <c:delete val="1"/>
        <c:axPos val="l"/>
        <c:numFmt formatCode="General" sourceLinked="0"/>
        <c:majorTickMark val="none"/>
        <c:minorTickMark val="none"/>
        <c:tickLblPos val="none"/>
        <c:crossAx val="9101"/>
        <c:crosses val="autoZero"/>
        <c:crossBetween val="midCat"/>
      </c:valAx>
      <c:spPr>
        <a:noFill/>
        <a:ln>
          <a:noFill/>
        </a:ln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8"/>
        <c:delete val="1"/>
      </c:legendEntry>
      <c:legendEntry>
        <c:idx val="29"/>
        <c:delete val="1"/>
      </c:legendEntry>
      <c:legendEntry>
        <c:idx val="30"/>
        <c:delete val="1"/>
      </c:legendEntry>
      <c:legendEntry>
        <c:idx val="31"/>
        <c:delete val="1"/>
      </c:legendEntry>
      <c:legendEntry>
        <c:idx val="32"/>
        <c:delete val="1"/>
      </c:legendEntry>
      <c:legendEntry>
        <c:idx val="33"/>
        <c:delete val="1"/>
      </c:legendEntry>
      <c:legendEntry>
        <c:idx val="34"/>
        <c:delete val="1"/>
      </c:legendEntry>
      <c:legendEntry>
        <c:idx val="35"/>
        <c:delete val="1"/>
      </c:legendEntry>
      <c:legendEntry>
        <c:idx val="36"/>
        <c:delete val="1"/>
      </c:legendEntry>
      <c:legendEntry>
        <c:idx val="37"/>
        <c:delete val="1"/>
      </c:legendEntry>
      <c:layout>
        <c:manualLayout>
          <c:xMode val="edge"/>
          <c:yMode val="edge"/>
          <c:x val="0.7069"/>
          <c:y val="0.2700"/>
          <c:w val="0.2781"/>
          <c:h val="0.5000"/>
        </c:manualLayout>
      </c:layout>
      <c:overlay val="0"/>
      <c:txPr>
        <a:bodyPr/>
        <a:lstStyle/>
        <a:p>
          <a:pPr>
            <a:defRPr sz="900" b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/>
          <a:lstStyle/>
          <a:p>
            <a:pPr>
              <a:defRPr sz="1050" b="1">
                <a:solidFill>
                  <a:srgbClr val="1F3864"/>
                </a:solidFill>
                <a:latin typeface="Calibri"/>
              </a:defRPr>
            </a:pPr>
            <a:r>
              <a:rPr lang="en-US" sz="1050" b="1">
                <a:solidFill>
                  <a:srgbClr val="1F3864"/>
                </a:solidFill>
                <a:latin typeface="Calibri"/>
              </a:rPr>
              <a:t>Iteration 3 · enemy spheres around the selected Sᵢ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0152"/>
          <c:y val="0.0812"/>
          <c:w val="0.6768"/>
          <c:h val="0.8701"/>
        </c:manualLayout>
      </c:layout>
      <c:scatterChart>
        <c:scatterStyle val="lineMarker"/>
        <c:varyColors val="0"/>
        <c:ser>
          <c:idx val="0"/>
          <c:order val="0"/>
          <c:tx>
            <c:v>own class in F, not in L</c:v>
          </c:tx>
          <c:spPr>
            <a:ln w="15875" cap="rnd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Data'!$AO$368:$AO$392</c:f>
              <c:numCache>
                <c:formatCode>General</c:formatCode>
                <c:ptCount val="25"/>
                <c:pt idx="0">
                  <c:v>0.335047924747419</c:v>
                </c:pt>
                <c:pt idx="1">
                  <c:v>0.320763349752411</c:v>
                </c:pt>
                <c:pt idx="2">
                  <c:v>0.278883094946919</c:v>
                </c:pt>
                <c:pt idx="3">
                  <c:v>0.212261230485545</c:v>
                </c:pt>
                <c:pt idx="4">
                  <c:v>0.125437926333494</c:v>
                </c:pt>
                <c:pt idx="5">
                  <c:v>0.0243300471864348</c:v>
                </c:pt>
                <c:pt idx="6">
                  <c:v>-0.0841720720804311</c:v>
                </c:pt>
                <c:pt idx="7">
                  <c:v>-0.192674191347297</c:v>
                </c:pt>
                <c:pt idx="8">
                  <c:v>-0.293782070494356</c:v>
                </c:pt>
                <c:pt idx="9">
                  <c:v>-0.380605374646407</c:v>
                </c:pt>
                <c:pt idx="10">
                  <c:v>-0.447227239107781</c:v>
                </c:pt>
                <c:pt idx="11">
                  <c:v>-0.489107493913273</c:v>
                </c:pt>
                <c:pt idx="12">
                  <c:v>-0.503392068908281</c:v>
                </c:pt>
                <c:pt idx="13">
                  <c:v>-0.489107493913273</c:v>
                </c:pt>
                <c:pt idx="14">
                  <c:v>-0.447227239107781</c:v>
                </c:pt>
                <c:pt idx="15">
                  <c:v>-0.380605374646407</c:v>
                </c:pt>
                <c:pt idx="16">
                  <c:v>-0.293782070494356</c:v>
                </c:pt>
                <c:pt idx="17">
                  <c:v>-0.192674191347297</c:v>
                </c:pt>
                <c:pt idx="18">
                  <c:v>-0.0841720720804312</c:v>
                </c:pt>
                <c:pt idx="19">
                  <c:v>0.0243300471864346</c:v>
                </c:pt>
                <c:pt idx="20">
                  <c:v>0.125437926333494</c:v>
                </c:pt>
                <c:pt idx="21">
                  <c:v>0.212261230485545</c:v>
                </c:pt>
                <c:pt idx="22">
                  <c:v>0.278883094946919</c:v>
                </c:pt>
                <c:pt idx="23">
                  <c:v>0.320763349752411</c:v>
                </c:pt>
                <c:pt idx="24">
                  <c:v>0.335047924747419</c:v>
                </c:pt>
              </c:numCache>
            </c:numRef>
          </c:xVal>
          <c:yVal>
            <c:numRef>
              <c:f>'Hypersphere Data'!$AQ$368:$AQ$392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"/>
          <c:order val="1"/>
          <c:tx>
            <c:v>own class in F, not in L</c:v>
          </c:tx>
          <c:spPr>
            <a:ln w="15875" cap="rnd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Data'!$AS$368:$AS$392</c:f>
              <c:numCache>
                <c:formatCode>General</c:formatCode>
                <c:ptCount val="25"/>
                <c:pt idx="0">
                  <c:v>0.869565217391304</c:v>
                </c:pt>
                <c:pt idx="1">
                  <c:v>0.850534753491607</c:v>
                </c:pt>
                <c:pt idx="2">
                  <c:v>0.794740256457949</c:v>
                </c:pt>
                <c:pt idx="3">
                  <c:v>0.70598402905841</c:v>
                </c:pt>
                <c:pt idx="4">
                  <c:v>0.590314661513666</c:v>
                </c:pt>
                <c:pt idx="5">
                  <c:v>0.455614830069225</c:v>
                </c:pt>
                <c:pt idx="6">
                  <c:v>0.311064105636028</c:v>
                </c:pt>
                <c:pt idx="7">
                  <c:v>0.166513381202831</c:v>
                </c:pt>
                <c:pt idx="8">
                  <c:v>0.0318135497583896</c:v>
                </c:pt>
                <c:pt idx="9">
                  <c:v>-0.0838558177863541</c:v>
                </c:pt>
                <c:pt idx="10">
                  <c:v>-0.172612045185894</c:v>
                </c:pt>
                <c:pt idx="11">
                  <c:v>-0.228406542219551</c:v>
                </c:pt>
                <c:pt idx="12">
                  <c:v>-0.247437006119249</c:v>
                </c:pt>
                <c:pt idx="13">
                  <c:v>-0.228406542219551</c:v>
                </c:pt>
                <c:pt idx="14">
                  <c:v>-0.172612045185894</c:v>
                </c:pt>
                <c:pt idx="15">
                  <c:v>-0.0838558177863544</c:v>
                </c:pt>
                <c:pt idx="16">
                  <c:v>0.0318135497583892</c:v>
                </c:pt>
                <c:pt idx="17">
                  <c:v>0.166513381202831</c:v>
                </c:pt>
                <c:pt idx="18">
                  <c:v>0.311064105636028</c:v>
                </c:pt>
                <c:pt idx="19">
                  <c:v>0.455614830069224</c:v>
                </c:pt>
                <c:pt idx="20">
                  <c:v>0.590314661513666</c:v>
                </c:pt>
                <c:pt idx="21">
                  <c:v>0.70598402905841</c:v>
                </c:pt>
                <c:pt idx="22">
                  <c:v>0.794740256457949</c:v>
                </c:pt>
                <c:pt idx="23">
                  <c:v>0.850534753491607</c:v>
                </c:pt>
                <c:pt idx="24">
                  <c:v>0.869565217391304</c:v>
                </c:pt>
              </c:numCache>
            </c:numRef>
          </c:xVal>
          <c:yVal>
            <c:numRef>
              <c:f>'Hypersphere Data'!$AU$368:$AU$392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2"/>
          <c:order val="2"/>
          <c:tx>
            <c:v>own class in F, not in L</c:v>
          </c:tx>
          <c:spPr>
            <a:ln w="15875" cap="rnd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Data'!$AW$368:$AW$392</c:f>
              <c:numCache>
                <c:formatCode>General</c:formatCode>
                <c:ptCount val="25"/>
              </c:numCache>
            </c:numRef>
          </c:xVal>
          <c:yVal>
            <c:numRef>
              <c:f>'Hypersphere Data'!$AY$368:$AY$392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3"/>
          <c:order val="3"/>
          <c:tx>
            <c:v>own class in F, not in L</c:v>
          </c:tx>
          <c:spPr>
            <a:ln w="15875" cap="rnd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Data'!$BA$368:$BA$392</c:f>
              <c:numCache>
                <c:formatCode>General</c:formatCode>
                <c:ptCount val="25"/>
                <c:pt idx="0">
                  <c:v>-0.315231003547769</c:v>
                </c:pt>
                <c:pt idx="1">
                  <c:v>-0.324675243695978</c:v>
                </c:pt>
                <c:pt idx="2">
                  <c:v>-0.352364354781848</c:v>
                </c:pt>
                <c:pt idx="3">
                  <c:v>-0.396411369643298</c:v>
                </c:pt>
                <c:pt idx="4">
                  <c:v>-0.453814557008653</c:v>
                </c:pt>
                <c:pt idx="5">
                  <c:v>-0.520661984522217</c:v>
                </c:pt>
                <c:pt idx="6">
                  <c:v>-0.592398110469537</c:v>
                </c:pt>
                <c:pt idx="7">
                  <c:v>-0.664134236416857</c:v>
                </c:pt>
                <c:pt idx="8">
                  <c:v>-0.730981663930421</c:v>
                </c:pt>
                <c:pt idx="9">
                  <c:v>-0.788384851295776</c:v>
                </c:pt>
                <c:pt idx="10">
                  <c:v>-0.832431866157225</c:v>
                </c:pt>
                <c:pt idx="11">
                  <c:v>-0.860120977243096</c:v>
                </c:pt>
                <c:pt idx="12">
                  <c:v>-0.869565217391304</c:v>
                </c:pt>
                <c:pt idx="13">
                  <c:v>-0.860120977243096</c:v>
                </c:pt>
                <c:pt idx="14">
                  <c:v>-0.832431866157225</c:v>
                </c:pt>
                <c:pt idx="15">
                  <c:v>-0.788384851295776</c:v>
                </c:pt>
                <c:pt idx="16">
                  <c:v>-0.730981663930421</c:v>
                </c:pt>
                <c:pt idx="17">
                  <c:v>-0.664134236416857</c:v>
                </c:pt>
                <c:pt idx="18">
                  <c:v>-0.592398110469537</c:v>
                </c:pt>
                <c:pt idx="19">
                  <c:v>-0.520661984522217</c:v>
                </c:pt>
                <c:pt idx="20">
                  <c:v>-0.453814557008653</c:v>
                </c:pt>
                <c:pt idx="21">
                  <c:v>-0.396411369643298</c:v>
                </c:pt>
                <c:pt idx="22">
                  <c:v>-0.352364354781848</c:v>
                </c:pt>
                <c:pt idx="23">
                  <c:v>-0.324675243695978</c:v>
                </c:pt>
                <c:pt idx="24">
                  <c:v>-0.315231003547769</c:v>
                </c:pt>
              </c:numCache>
            </c:numRef>
          </c:xVal>
          <c:yVal>
            <c:numRef>
              <c:f>'Hypersphere Data'!$BC$368:$BC$392</c:f>
              <c:numCache>
                <c:formatCode>General</c:formatCode>
                <c:ptCount val="25"/>
                <c:pt idx="0">
                  <c:v>-0.401474079252356</c:v>
                </c:pt>
                <c:pt idx="1">
                  <c:v>-0.329737953305036</c:v>
                </c:pt>
                <c:pt idx="2">
                  <c:v>-0.262890525791473</c:v>
                </c:pt>
                <c:pt idx="3">
                  <c:v>-0.205487338426118</c:v>
                </c:pt>
                <c:pt idx="4">
                  <c:v>-0.161440323564668</c:v>
                </c:pt>
                <c:pt idx="5">
                  <c:v>-0.133751212478798</c:v>
                </c:pt>
                <c:pt idx="6">
                  <c:v>-0.124306972330589</c:v>
                </c:pt>
                <c:pt idx="7">
                  <c:v>-0.133751212478798</c:v>
                </c:pt>
                <c:pt idx="8">
                  <c:v>-0.161440323564668</c:v>
                </c:pt>
                <c:pt idx="9">
                  <c:v>-0.205487338426118</c:v>
                </c:pt>
                <c:pt idx="10">
                  <c:v>-0.262890525791473</c:v>
                </c:pt>
                <c:pt idx="11">
                  <c:v>-0.329737953305036</c:v>
                </c:pt>
                <c:pt idx="12">
                  <c:v>-0.401474079252356</c:v>
                </c:pt>
                <c:pt idx="13">
                  <c:v>-0.473210205199677</c:v>
                </c:pt>
                <c:pt idx="14">
                  <c:v>-0.54005763271324</c:v>
                </c:pt>
                <c:pt idx="15">
                  <c:v>-0.597460820078595</c:v>
                </c:pt>
                <c:pt idx="16">
                  <c:v>-0.641507834940045</c:v>
                </c:pt>
                <c:pt idx="17">
                  <c:v>-0.669196946025915</c:v>
                </c:pt>
                <c:pt idx="18">
                  <c:v>-0.678641186174124</c:v>
                </c:pt>
                <c:pt idx="19">
                  <c:v>-0.669196946025915</c:v>
                </c:pt>
                <c:pt idx="20">
                  <c:v>-0.641507834940045</c:v>
                </c:pt>
                <c:pt idx="21">
                  <c:v>-0.597460820078595</c:v>
                </c:pt>
                <c:pt idx="22">
                  <c:v>-0.54005763271324</c:v>
                </c:pt>
                <c:pt idx="23">
                  <c:v>-0.473210205199677</c:v>
                </c:pt>
                <c:pt idx="24">
                  <c:v>-0.401474079252357</c:v>
                </c:pt>
              </c:numCache>
            </c:numRef>
          </c:yVal>
          <c:smooth val="1"/>
        </c:ser>
        <c:ser>
          <c:idx val="4"/>
          <c:order val="4"/>
          <c:tx>
            <c:v>own class in F, not in L</c:v>
          </c:tx>
          <c:spPr>
            <a:ln w="15875" cap="rnd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Data'!$BE$368:$BE$392</c:f>
              <c:numCache>
                <c:formatCode>General</c:formatCode>
                <c:ptCount val="25"/>
                <c:pt idx="0">
                  <c:v>0.447542869639537</c:v>
                </c:pt>
                <c:pt idx="1">
                  <c:v>0.429425122350673</c:v>
                </c:pt>
                <c:pt idx="2">
                  <c:v>0.376306575020824</c:v>
                </c:pt>
                <c:pt idx="3">
                  <c:v>0.291807168867968</c:v>
                </c:pt>
                <c:pt idx="4">
                  <c:v>0.181685398779553</c:v>
                </c:pt>
                <c:pt idx="5">
                  <c:v>0.0534458814022735</c:v>
                </c:pt>
                <c:pt idx="6">
                  <c:v>-0.0841720720804312</c:v>
                </c:pt>
                <c:pt idx="7">
                  <c:v>-0.221790025563136</c:v>
                </c:pt>
                <c:pt idx="8">
                  <c:v>-0.350029542940415</c:v>
                </c:pt>
                <c:pt idx="9">
                  <c:v>-0.460151313028831</c:v>
                </c:pt>
                <c:pt idx="10">
                  <c:v>-0.544650719181686</c:v>
                </c:pt>
                <c:pt idx="11">
                  <c:v>-0.597769266511536</c:v>
                </c:pt>
                <c:pt idx="12">
                  <c:v>-0.6158870138004</c:v>
                </c:pt>
                <c:pt idx="13">
                  <c:v>-0.597769266511536</c:v>
                </c:pt>
                <c:pt idx="14">
                  <c:v>-0.544650719181686</c:v>
                </c:pt>
                <c:pt idx="15">
                  <c:v>-0.460151313028831</c:v>
                </c:pt>
                <c:pt idx="16">
                  <c:v>-0.350029542940416</c:v>
                </c:pt>
                <c:pt idx="17">
                  <c:v>-0.221790025563136</c:v>
                </c:pt>
                <c:pt idx="18">
                  <c:v>-0.0841720720804313</c:v>
                </c:pt>
                <c:pt idx="19">
                  <c:v>0.0534458814022733</c:v>
                </c:pt>
                <c:pt idx="20">
                  <c:v>0.181685398779553</c:v>
                </c:pt>
                <c:pt idx="21">
                  <c:v>0.291807168867968</c:v>
                </c:pt>
                <c:pt idx="22">
                  <c:v>0.376306575020824</c:v>
                </c:pt>
                <c:pt idx="23">
                  <c:v>0.429425122350673</c:v>
                </c:pt>
                <c:pt idx="24">
                  <c:v>0.447542869639537</c:v>
                </c:pt>
              </c:numCache>
            </c:numRef>
          </c:xVal>
          <c:yVal>
            <c:numRef>
              <c:f>'Hypersphere Data'!$BG$368:$BG$392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5"/>
          <c:order val="5"/>
          <c:tx>
            <c:v>own class in F, not in L</c:v>
          </c:tx>
          <c:spPr>
            <a:ln w="15875" cap="rnd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Data'!$BI$368:$BI$392</c:f>
              <c:numCache>
                <c:formatCode>General</c:formatCode>
                <c:ptCount val="25"/>
              </c:numCache>
            </c:numRef>
          </c:xVal>
          <c:yVal>
            <c:numRef>
              <c:f>'Hypersphere Data'!$BK$368:$BK$392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6"/>
          <c:order val="6"/>
          <c:tx>
            <c:v>own class in F, not in L</c:v>
          </c:tx>
          <c:spPr>
            <a:ln w="15875" cap="rnd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Data'!$BM$368:$BM$392</c:f>
              <c:numCache>
                <c:formatCode>General</c:formatCode>
                <c:ptCount val="25"/>
              </c:numCache>
            </c:numRef>
          </c:xVal>
          <c:yVal>
            <c:numRef>
              <c:f>'Hypersphere Data'!$BO$368:$BO$392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7"/>
          <c:order val="7"/>
          <c:tx>
            <c:v>own class in D (no longer counts)</c:v>
          </c:tx>
          <c:spPr>
            <a:ln w="15875" cap="rnd">
              <a:solidFill>
                <a:srgbClr val="A6A6A6"/>
              </a:solidFill>
              <a:prstDash val="sysDot"/>
              <a:round/>
            </a:ln>
          </c:spPr>
          <c:marker>
            <c:symbol val="none"/>
          </c:marker>
          <c:xVal>
            <c:numRef>
              <c:f>'Hypersphere Data'!$AO$368:$AO$392</c:f>
              <c:numCache>
                <c:formatCode>General</c:formatCode>
                <c:ptCount val="25"/>
                <c:pt idx="0">
                  <c:v>0.335047924747419</c:v>
                </c:pt>
                <c:pt idx="1">
                  <c:v>0.320763349752411</c:v>
                </c:pt>
                <c:pt idx="2">
                  <c:v>0.278883094946919</c:v>
                </c:pt>
                <c:pt idx="3">
                  <c:v>0.212261230485545</c:v>
                </c:pt>
                <c:pt idx="4">
                  <c:v>0.125437926333494</c:v>
                </c:pt>
                <c:pt idx="5">
                  <c:v>0.0243300471864348</c:v>
                </c:pt>
                <c:pt idx="6">
                  <c:v>-0.0841720720804311</c:v>
                </c:pt>
                <c:pt idx="7">
                  <c:v>-0.192674191347297</c:v>
                </c:pt>
                <c:pt idx="8">
                  <c:v>-0.293782070494356</c:v>
                </c:pt>
                <c:pt idx="9">
                  <c:v>-0.380605374646407</c:v>
                </c:pt>
                <c:pt idx="10">
                  <c:v>-0.447227239107781</c:v>
                </c:pt>
                <c:pt idx="11">
                  <c:v>-0.489107493913273</c:v>
                </c:pt>
                <c:pt idx="12">
                  <c:v>-0.503392068908281</c:v>
                </c:pt>
                <c:pt idx="13">
                  <c:v>-0.489107493913273</c:v>
                </c:pt>
                <c:pt idx="14">
                  <c:v>-0.447227239107781</c:v>
                </c:pt>
                <c:pt idx="15">
                  <c:v>-0.380605374646407</c:v>
                </c:pt>
                <c:pt idx="16">
                  <c:v>-0.293782070494356</c:v>
                </c:pt>
                <c:pt idx="17">
                  <c:v>-0.192674191347297</c:v>
                </c:pt>
                <c:pt idx="18">
                  <c:v>-0.0841720720804312</c:v>
                </c:pt>
                <c:pt idx="19">
                  <c:v>0.0243300471864346</c:v>
                </c:pt>
                <c:pt idx="20">
                  <c:v>0.125437926333494</c:v>
                </c:pt>
                <c:pt idx="21">
                  <c:v>0.212261230485545</c:v>
                </c:pt>
                <c:pt idx="22">
                  <c:v>0.278883094946919</c:v>
                </c:pt>
                <c:pt idx="23">
                  <c:v>0.320763349752411</c:v>
                </c:pt>
                <c:pt idx="24">
                  <c:v>0.335047924747419</c:v>
                </c:pt>
              </c:numCache>
            </c:numRef>
          </c:xVal>
          <c:yVal>
            <c:numRef>
              <c:f>'Hypersphere Data'!$AR$368:$AR$392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8"/>
          <c:order val="8"/>
          <c:tx>
            <c:v>own class in D (no longer counts)</c:v>
          </c:tx>
          <c:spPr>
            <a:ln w="15875" cap="rnd">
              <a:solidFill>
                <a:srgbClr val="A6A6A6"/>
              </a:solidFill>
              <a:prstDash val="sysDot"/>
              <a:round/>
            </a:ln>
          </c:spPr>
          <c:marker>
            <c:symbol val="none"/>
          </c:marker>
          <c:xVal>
            <c:numRef>
              <c:f>'Hypersphere Data'!$AS$368:$AS$392</c:f>
              <c:numCache>
                <c:formatCode>General</c:formatCode>
                <c:ptCount val="25"/>
                <c:pt idx="0">
                  <c:v>0.869565217391304</c:v>
                </c:pt>
                <c:pt idx="1">
                  <c:v>0.850534753491607</c:v>
                </c:pt>
                <c:pt idx="2">
                  <c:v>0.794740256457949</c:v>
                </c:pt>
                <c:pt idx="3">
                  <c:v>0.70598402905841</c:v>
                </c:pt>
                <c:pt idx="4">
                  <c:v>0.590314661513666</c:v>
                </c:pt>
                <c:pt idx="5">
                  <c:v>0.455614830069225</c:v>
                </c:pt>
                <c:pt idx="6">
                  <c:v>0.311064105636028</c:v>
                </c:pt>
                <c:pt idx="7">
                  <c:v>0.166513381202831</c:v>
                </c:pt>
                <c:pt idx="8">
                  <c:v>0.0318135497583896</c:v>
                </c:pt>
                <c:pt idx="9">
                  <c:v>-0.0838558177863541</c:v>
                </c:pt>
                <c:pt idx="10">
                  <c:v>-0.172612045185894</c:v>
                </c:pt>
                <c:pt idx="11">
                  <c:v>-0.228406542219551</c:v>
                </c:pt>
                <c:pt idx="12">
                  <c:v>-0.247437006119249</c:v>
                </c:pt>
                <c:pt idx="13">
                  <c:v>-0.228406542219551</c:v>
                </c:pt>
                <c:pt idx="14">
                  <c:v>-0.172612045185894</c:v>
                </c:pt>
                <c:pt idx="15">
                  <c:v>-0.0838558177863544</c:v>
                </c:pt>
                <c:pt idx="16">
                  <c:v>0.0318135497583892</c:v>
                </c:pt>
                <c:pt idx="17">
                  <c:v>0.166513381202831</c:v>
                </c:pt>
                <c:pt idx="18">
                  <c:v>0.311064105636028</c:v>
                </c:pt>
                <c:pt idx="19">
                  <c:v>0.455614830069224</c:v>
                </c:pt>
                <c:pt idx="20">
                  <c:v>0.590314661513666</c:v>
                </c:pt>
                <c:pt idx="21">
                  <c:v>0.70598402905841</c:v>
                </c:pt>
                <c:pt idx="22">
                  <c:v>0.794740256457949</c:v>
                </c:pt>
                <c:pt idx="23">
                  <c:v>0.850534753491607</c:v>
                </c:pt>
                <c:pt idx="24">
                  <c:v>0.869565217391304</c:v>
                </c:pt>
              </c:numCache>
            </c:numRef>
          </c:xVal>
          <c:yVal>
            <c:numRef>
              <c:f>'Hypersphere Data'!$AV$368:$AV$392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9"/>
          <c:order val="9"/>
          <c:tx>
            <c:v>own class in D (no longer counts)</c:v>
          </c:tx>
          <c:spPr>
            <a:ln w="15875" cap="rnd">
              <a:solidFill>
                <a:srgbClr val="A6A6A6"/>
              </a:solidFill>
              <a:prstDash val="sysDot"/>
              <a:round/>
            </a:ln>
          </c:spPr>
          <c:marker>
            <c:symbol val="none"/>
          </c:marker>
          <c:xVal>
            <c:numRef>
              <c:f>'Hypersphere Data'!$AW$368:$AW$392</c:f>
              <c:numCache>
                <c:formatCode>General</c:formatCode>
                <c:ptCount val="25"/>
              </c:numCache>
            </c:numRef>
          </c:xVal>
          <c:yVal>
            <c:numRef>
              <c:f>'Hypersphere Data'!$AZ$368:$AZ$392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0"/>
          <c:order val="10"/>
          <c:tx>
            <c:v>own class in D (no longer counts)</c:v>
          </c:tx>
          <c:spPr>
            <a:ln w="15875" cap="rnd">
              <a:solidFill>
                <a:srgbClr val="A6A6A6"/>
              </a:solidFill>
              <a:prstDash val="sysDot"/>
              <a:round/>
            </a:ln>
          </c:spPr>
          <c:marker>
            <c:symbol val="none"/>
          </c:marker>
          <c:xVal>
            <c:numRef>
              <c:f>'Hypersphere Data'!$BA$368:$BA$392</c:f>
              <c:numCache>
                <c:formatCode>General</c:formatCode>
                <c:ptCount val="25"/>
                <c:pt idx="0">
                  <c:v>-0.315231003547769</c:v>
                </c:pt>
                <c:pt idx="1">
                  <c:v>-0.324675243695978</c:v>
                </c:pt>
                <c:pt idx="2">
                  <c:v>-0.352364354781848</c:v>
                </c:pt>
                <c:pt idx="3">
                  <c:v>-0.396411369643298</c:v>
                </c:pt>
                <c:pt idx="4">
                  <c:v>-0.453814557008653</c:v>
                </c:pt>
                <c:pt idx="5">
                  <c:v>-0.520661984522217</c:v>
                </c:pt>
                <c:pt idx="6">
                  <c:v>-0.592398110469537</c:v>
                </c:pt>
                <c:pt idx="7">
                  <c:v>-0.664134236416857</c:v>
                </c:pt>
                <c:pt idx="8">
                  <c:v>-0.730981663930421</c:v>
                </c:pt>
                <c:pt idx="9">
                  <c:v>-0.788384851295776</c:v>
                </c:pt>
                <c:pt idx="10">
                  <c:v>-0.832431866157225</c:v>
                </c:pt>
                <c:pt idx="11">
                  <c:v>-0.860120977243096</c:v>
                </c:pt>
                <c:pt idx="12">
                  <c:v>-0.869565217391304</c:v>
                </c:pt>
                <c:pt idx="13">
                  <c:v>-0.860120977243096</c:v>
                </c:pt>
                <c:pt idx="14">
                  <c:v>-0.832431866157225</c:v>
                </c:pt>
                <c:pt idx="15">
                  <c:v>-0.788384851295776</c:v>
                </c:pt>
                <c:pt idx="16">
                  <c:v>-0.730981663930421</c:v>
                </c:pt>
                <c:pt idx="17">
                  <c:v>-0.664134236416857</c:v>
                </c:pt>
                <c:pt idx="18">
                  <c:v>-0.592398110469537</c:v>
                </c:pt>
                <c:pt idx="19">
                  <c:v>-0.520661984522217</c:v>
                </c:pt>
                <c:pt idx="20">
                  <c:v>-0.453814557008653</c:v>
                </c:pt>
                <c:pt idx="21">
                  <c:v>-0.396411369643298</c:v>
                </c:pt>
                <c:pt idx="22">
                  <c:v>-0.352364354781848</c:v>
                </c:pt>
                <c:pt idx="23">
                  <c:v>-0.324675243695978</c:v>
                </c:pt>
                <c:pt idx="24">
                  <c:v>-0.315231003547769</c:v>
                </c:pt>
              </c:numCache>
            </c:numRef>
          </c:xVal>
          <c:yVal>
            <c:numRef>
              <c:f>'Hypersphere Data'!$BD$368:$BD$392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1"/>
          <c:order val="11"/>
          <c:tx>
            <c:v>own class in D (no longer counts)</c:v>
          </c:tx>
          <c:spPr>
            <a:ln w="15875" cap="rnd">
              <a:solidFill>
                <a:srgbClr val="A6A6A6"/>
              </a:solidFill>
              <a:prstDash val="sysDot"/>
              <a:round/>
            </a:ln>
          </c:spPr>
          <c:marker>
            <c:symbol val="none"/>
          </c:marker>
          <c:xVal>
            <c:numRef>
              <c:f>'Hypersphere Data'!$BE$368:$BE$392</c:f>
              <c:numCache>
                <c:formatCode>General</c:formatCode>
                <c:ptCount val="25"/>
                <c:pt idx="0">
                  <c:v>0.447542869639537</c:v>
                </c:pt>
                <c:pt idx="1">
                  <c:v>0.429425122350673</c:v>
                </c:pt>
                <c:pt idx="2">
                  <c:v>0.376306575020824</c:v>
                </c:pt>
                <c:pt idx="3">
                  <c:v>0.291807168867968</c:v>
                </c:pt>
                <c:pt idx="4">
                  <c:v>0.181685398779553</c:v>
                </c:pt>
                <c:pt idx="5">
                  <c:v>0.0534458814022735</c:v>
                </c:pt>
                <c:pt idx="6">
                  <c:v>-0.0841720720804312</c:v>
                </c:pt>
                <c:pt idx="7">
                  <c:v>-0.221790025563136</c:v>
                </c:pt>
                <c:pt idx="8">
                  <c:v>-0.350029542940415</c:v>
                </c:pt>
                <c:pt idx="9">
                  <c:v>-0.460151313028831</c:v>
                </c:pt>
                <c:pt idx="10">
                  <c:v>-0.544650719181686</c:v>
                </c:pt>
                <c:pt idx="11">
                  <c:v>-0.597769266511536</c:v>
                </c:pt>
                <c:pt idx="12">
                  <c:v>-0.6158870138004</c:v>
                </c:pt>
                <c:pt idx="13">
                  <c:v>-0.597769266511536</c:v>
                </c:pt>
                <c:pt idx="14">
                  <c:v>-0.544650719181686</c:v>
                </c:pt>
                <c:pt idx="15">
                  <c:v>-0.460151313028831</c:v>
                </c:pt>
                <c:pt idx="16">
                  <c:v>-0.350029542940416</c:v>
                </c:pt>
                <c:pt idx="17">
                  <c:v>-0.221790025563136</c:v>
                </c:pt>
                <c:pt idx="18">
                  <c:v>-0.0841720720804313</c:v>
                </c:pt>
                <c:pt idx="19">
                  <c:v>0.0534458814022733</c:v>
                </c:pt>
                <c:pt idx="20">
                  <c:v>0.181685398779553</c:v>
                </c:pt>
                <c:pt idx="21">
                  <c:v>0.291807168867968</c:v>
                </c:pt>
                <c:pt idx="22">
                  <c:v>0.376306575020824</c:v>
                </c:pt>
                <c:pt idx="23">
                  <c:v>0.429425122350673</c:v>
                </c:pt>
                <c:pt idx="24">
                  <c:v>0.447542869639537</c:v>
                </c:pt>
              </c:numCache>
            </c:numRef>
          </c:xVal>
          <c:yVal>
            <c:numRef>
              <c:f>'Hypersphere Data'!$BH$368:$BH$392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2"/>
          <c:order val="12"/>
          <c:tx>
            <c:v>own class in D (no longer counts)</c:v>
          </c:tx>
          <c:spPr>
            <a:ln w="15875" cap="rnd">
              <a:solidFill>
                <a:srgbClr val="A6A6A6"/>
              </a:solidFill>
              <a:prstDash val="sysDot"/>
              <a:round/>
            </a:ln>
          </c:spPr>
          <c:marker>
            <c:symbol val="none"/>
          </c:marker>
          <c:xVal>
            <c:numRef>
              <c:f>'Hypersphere Data'!$BI$368:$BI$392</c:f>
              <c:numCache>
                <c:formatCode>General</c:formatCode>
                <c:ptCount val="25"/>
              </c:numCache>
            </c:numRef>
          </c:xVal>
          <c:yVal>
            <c:numRef>
              <c:f>'Hypersphere Data'!$BL$368:$BL$392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3"/>
          <c:order val="13"/>
          <c:tx>
            <c:v>own class in D (no longer counts)</c:v>
          </c:tx>
          <c:spPr>
            <a:ln w="15875" cap="rnd">
              <a:solidFill>
                <a:srgbClr val="A6A6A6"/>
              </a:solidFill>
              <a:prstDash val="sysDot"/>
              <a:round/>
            </a:ln>
          </c:spPr>
          <c:marker>
            <c:symbol val="none"/>
          </c:marker>
          <c:xVal>
            <c:numRef>
              <c:f>'Hypersphere Data'!$BM$368:$BM$392</c:f>
              <c:numCache>
                <c:formatCode>General</c:formatCode>
                <c:ptCount val="25"/>
              </c:numCache>
            </c:numRef>
          </c:xVal>
          <c:yVal>
            <c:numRef>
              <c:f>'Hypersphere Data'!$BP$368:$BP$392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4"/>
          <c:order val="14"/>
          <c:tx>
            <c:v>sphere of a member of L</c:v>
          </c:tx>
          <c:spPr>
            <a:ln w="28575" cap="rnd">
              <a:solidFill>
                <a:srgbClr val="BF8F00"/>
              </a:solidFill>
              <a:round/>
            </a:ln>
          </c:spPr>
          <c:marker>
            <c:symbol val="none"/>
          </c:marker>
          <c:xVal>
            <c:numRef>
              <c:f>'Hypersphere Data'!$AO$368:$AO$392</c:f>
              <c:numCache>
                <c:formatCode>General</c:formatCode>
                <c:ptCount val="25"/>
                <c:pt idx="0">
                  <c:v>0.335047924747419</c:v>
                </c:pt>
                <c:pt idx="1">
                  <c:v>0.320763349752411</c:v>
                </c:pt>
                <c:pt idx="2">
                  <c:v>0.278883094946919</c:v>
                </c:pt>
                <c:pt idx="3">
                  <c:v>0.212261230485545</c:v>
                </c:pt>
                <c:pt idx="4">
                  <c:v>0.125437926333494</c:v>
                </c:pt>
                <c:pt idx="5">
                  <c:v>0.0243300471864348</c:v>
                </c:pt>
                <c:pt idx="6">
                  <c:v>-0.0841720720804311</c:v>
                </c:pt>
                <c:pt idx="7">
                  <c:v>-0.192674191347297</c:v>
                </c:pt>
                <c:pt idx="8">
                  <c:v>-0.293782070494356</c:v>
                </c:pt>
                <c:pt idx="9">
                  <c:v>-0.380605374646407</c:v>
                </c:pt>
                <c:pt idx="10">
                  <c:v>-0.447227239107781</c:v>
                </c:pt>
                <c:pt idx="11">
                  <c:v>-0.489107493913273</c:v>
                </c:pt>
                <c:pt idx="12">
                  <c:v>-0.503392068908281</c:v>
                </c:pt>
                <c:pt idx="13">
                  <c:v>-0.489107493913273</c:v>
                </c:pt>
                <c:pt idx="14">
                  <c:v>-0.447227239107781</c:v>
                </c:pt>
                <c:pt idx="15">
                  <c:v>-0.380605374646407</c:v>
                </c:pt>
                <c:pt idx="16">
                  <c:v>-0.293782070494356</c:v>
                </c:pt>
                <c:pt idx="17">
                  <c:v>-0.192674191347297</c:v>
                </c:pt>
                <c:pt idx="18">
                  <c:v>-0.0841720720804312</c:v>
                </c:pt>
                <c:pt idx="19">
                  <c:v>0.0243300471864346</c:v>
                </c:pt>
                <c:pt idx="20">
                  <c:v>0.125437926333494</c:v>
                </c:pt>
                <c:pt idx="21">
                  <c:v>0.212261230485545</c:v>
                </c:pt>
                <c:pt idx="22">
                  <c:v>0.278883094946919</c:v>
                </c:pt>
                <c:pt idx="23">
                  <c:v>0.320763349752411</c:v>
                </c:pt>
                <c:pt idx="24">
                  <c:v>0.335047924747419</c:v>
                </c:pt>
              </c:numCache>
            </c:numRef>
          </c:xVal>
          <c:yVal>
            <c:numRef>
              <c:f>'Hypersphere Data'!$AP$368:$AP$392</c:f>
              <c:numCache>
                <c:formatCode>General</c:formatCode>
                <c:ptCount val="25"/>
                <c:pt idx="0">
                  <c:v>0.25505387713081</c:v>
                </c:pt>
                <c:pt idx="1">
                  <c:v>0.363555996397676</c:v>
                </c:pt>
                <c:pt idx="2">
                  <c:v>0.464663875544735</c:v>
                </c:pt>
                <c:pt idx="3">
                  <c:v>0.551487179696786</c:v>
                </c:pt>
                <c:pt idx="4">
                  <c:v>0.61810904415816</c:v>
                </c:pt>
                <c:pt idx="5">
                  <c:v>0.659989298963652</c:v>
                </c:pt>
                <c:pt idx="6">
                  <c:v>0.67427387395866</c:v>
                </c:pt>
                <c:pt idx="7">
                  <c:v>0.659989298963652</c:v>
                </c:pt>
                <c:pt idx="8">
                  <c:v>0.61810904415816</c:v>
                </c:pt>
                <c:pt idx="9">
                  <c:v>0.551487179696786</c:v>
                </c:pt>
                <c:pt idx="10">
                  <c:v>0.464663875544735</c:v>
                </c:pt>
                <c:pt idx="11">
                  <c:v>0.363555996397676</c:v>
                </c:pt>
                <c:pt idx="12">
                  <c:v>0.25505387713081</c:v>
                </c:pt>
                <c:pt idx="13">
                  <c:v>0.146551757863944</c:v>
                </c:pt>
                <c:pt idx="14">
                  <c:v>0.045443878716885</c:v>
                </c:pt>
                <c:pt idx="15">
                  <c:v>-0.0413794254351657</c:v>
                </c:pt>
                <c:pt idx="16">
                  <c:v>-0.10800128989654</c:v>
                </c:pt>
                <c:pt idx="17">
                  <c:v>-0.149881544702032</c:v>
                </c:pt>
                <c:pt idx="18">
                  <c:v>-0.16416611969704</c:v>
                </c:pt>
                <c:pt idx="19">
                  <c:v>-0.149881544702032</c:v>
                </c:pt>
                <c:pt idx="20">
                  <c:v>-0.10800128989654</c:v>
                </c:pt>
                <c:pt idx="21">
                  <c:v>-0.0413794254351659</c:v>
                </c:pt>
                <c:pt idx="22">
                  <c:v>0.0454438787168847</c:v>
                </c:pt>
                <c:pt idx="23">
                  <c:v>0.146551757863944</c:v>
                </c:pt>
                <c:pt idx="24">
                  <c:v>0.25505387713081</c:v>
                </c:pt>
              </c:numCache>
            </c:numRef>
          </c:yVal>
          <c:smooth val="1"/>
        </c:ser>
        <c:ser>
          <c:idx val="15"/>
          <c:order val="15"/>
          <c:tx>
            <c:v>sphere of a member of L</c:v>
          </c:tx>
          <c:spPr>
            <a:ln w="28575" cap="rnd">
              <a:solidFill>
                <a:srgbClr val="BF8F00"/>
              </a:solidFill>
              <a:round/>
            </a:ln>
          </c:spPr>
          <c:marker>
            <c:symbol val="none"/>
          </c:marker>
          <c:xVal>
            <c:numRef>
              <c:f>'Hypersphere Data'!$AS$368:$AS$392</c:f>
              <c:numCache>
                <c:formatCode>General</c:formatCode>
                <c:ptCount val="25"/>
                <c:pt idx="0">
                  <c:v>0.869565217391304</c:v>
                </c:pt>
                <c:pt idx="1">
                  <c:v>0.850534753491607</c:v>
                </c:pt>
                <c:pt idx="2">
                  <c:v>0.794740256457949</c:v>
                </c:pt>
                <c:pt idx="3">
                  <c:v>0.70598402905841</c:v>
                </c:pt>
                <c:pt idx="4">
                  <c:v>0.590314661513666</c:v>
                </c:pt>
                <c:pt idx="5">
                  <c:v>0.455614830069225</c:v>
                </c:pt>
                <c:pt idx="6">
                  <c:v>0.311064105636028</c:v>
                </c:pt>
                <c:pt idx="7">
                  <c:v>0.166513381202831</c:v>
                </c:pt>
                <c:pt idx="8">
                  <c:v>0.0318135497583896</c:v>
                </c:pt>
                <c:pt idx="9">
                  <c:v>-0.0838558177863541</c:v>
                </c:pt>
                <c:pt idx="10">
                  <c:v>-0.172612045185894</c:v>
                </c:pt>
                <c:pt idx="11">
                  <c:v>-0.228406542219551</c:v>
                </c:pt>
                <c:pt idx="12">
                  <c:v>-0.247437006119249</c:v>
                </c:pt>
                <c:pt idx="13">
                  <c:v>-0.228406542219551</c:v>
                </c:pt>
                <c:pt idx="14">
                  <c:v>-0.172612045185894</c:v>
                </c:pt>
                <c:pt idx="15">
                  <c:v>-0.0838558177863544</c:v>
                </c:pt>
                <c:pt idx="16">
                  <c:v>0.0318135497583892</c:v>
                </c:pt>
                <c:pt idx="17">
                  <c:v>0.166513381202831</c:v>
                </c:pt>
                <c:pt idx="18">
                  <c:v>0.311064105636028</c:v>
                </c:pt>
                <c:pt idx="19">
                  <c:v>0.455614830069224</c:v>
                </c:pt>
                <c:pt idx="20">
                  <c:v>0.590314661513666</c:v>
                </c:pt>
                <c:pt idx="21">
                  <c:v>0.70598402905841</c:v>
                </c:pt>
                <c:pt idx="22">
                  <c:v>0.794740256457949</c:v>
                </c:pt>
                <c:pt idx="23">
                  <c:v>0.850534753491607</c:v>
                </c:pt>
                <c:pt idx="24">
                  <c:v>0.869565217391304</c:v>
                </c:pt>
              </c:numCache>
            </c:numRef>
          </c:xVal>
          <c:yVal>
            <c:numRef>
              <c:f>'Hypersphere Data'!$AT$368:$AT$392</c:f>
              <c:numCache>
                <c:formatCode>General</c:formatCode>
                <c:ptCount val="25"/>
                <c:pt idx="0">
                  <c:v>0.120140074418847</c:v>
                </c:pt>
                <c:pt idx="1">
                  <c:v>0.264690798852044</c:v>
                </c:pt>
                <c:pt idx="2">
                  <c:v>0.399390630296486</c:v>
                </c:pt>
                <c:pt idx="3">
                  <c:v>0.515059997841229</c:v>
                </c:pt>
                <c:pt idx="4">
                  <c:v>0.603816225240769</c:v>
                </c:pt>
                <c:pt idx="5">
                  <c:v>0.659610722274426</c:v>
                </c:pt>
                <c:pt idx="6">
                  <c:v>0.678641186174124</c:v>
                </c:pt>
                <c:pt idx="7">
                  <c:v>0.659610722274426</c:v>
                </c:pt>
                <c:pt idx="8">
                  <c:v>0.603816225240769</c:v>
                </c:pt>
                <c:pt idx="9">
                  <c:v>0.515059997841229</c:v>
                </c:pt>
                <c:pt idx="10">
                  <c:v>0.399390630296486</c:v>
                </c:pt>
                <c:pt idx="11">
                  <c:v>0.264690798852045</c:v>
                </c:pt>
                <c:pt idx="12">
                  <c:v>0.120140074418848</c:v>
                </c:pt>
                <c:pt idx="13">
                  <c:v>-0.0244106500143495</c:v>
                </c:pt>
                <c:pt idx="14">
                  <c:v>-0.159110481458791</c:v>
                </c:pt>
                <c:pt idx="15">
                  <c:v>-0.274779849003534</c:v>
                </c:pt>
                <c:pt idx="16">
                  <c:v>-0.363536076403074</c:v>
                </c:pt>
                <c:pt idx="17">
                  <c:v>-0.419330573436731</c:v>
                </c:pt>
                <c:pt idx="18">
                  <c:v>-0.438361037336429</c:v>
                </c:pt>
                <c:pt idx="19">
                  <c:v>-0.419330573436731</c:v>
                </c:pt>
                <c:pt idx="20">
                  <c:v>-0.363536076403074</c:v>
                </c:pt>
                <c:pt idx="21">
                  <c:v>-0.274779849003535</c:v>
                </c:pt>
                <c:pt idx="22">
                  <c:v>-0.159110481458791</c:v>
                </c:pt>
                <c:pt idx="23">
                  <c:v>-0.02441065001435</c:v>
                </c:pt>
                <c:pt idx="24">
                  <c:v>0.120140074418847</c:v>
                </c:pt>
              </c:numCache>
            </c:numRef>
          </c:yVal>
          <c:smooth val="1"/>
        </c:ser>
        <c:ser>
          <c:idx val="16"/>
          <c:order val="16"/>
          <c:tx>
            <c:v>sphere of a member of L</c:v>
          </c:tx>
          <c:spPr>
            <a:ln w="28575" cap="rnd">
              <a:solidFill>
                <a:srgbClr val="BF8F00"/>
              </a:solidFill>
              <a:round/>
            </a:ln>
          </c:spPr>
          <c:marker>
            <c:symbol val="none"/>
          </c:marker>
          <c:xVal>
            <c:numRef>
              <c:f>'Hypersphere Data'!$AW$368:$AW$392</c:f>
              <c:numCache>
                <c:formatCode>General</c:formatCode>
                <c:ptCount val="25"/>
              </c:numCache>
            </c:numRef>
          </c:xVal>
          <c:yVal>
            <c:numRef>
              <c:f>'Hypersphere Data'!$AX$368:$AX$392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7"/>
          <c:order val="17"/>
          <c:tx>
            <c:v>sphere of a member of L</c:v>
          </c:tx>
          <c:spPr>
            <a:ln w="28575" cap="rnd">
              <a:solidFill>
                <a:srgbClr val="BF8F00"/>
              </a:solidFill>
              <a:round/>
            </a:ln>
          </c:spPr>
          <c:marker>
            <c:symbol val="none"/>
          </c:marker>
          <c:xVal>
            <c:numRef>
              <c:f>'Hypersphere Data'!$BA$368:$BA$392</c:f>
              <c:numCache>
                <c:formatCode>General</c:formatCode>
                <c:ptCount val="25"/>
                <c:pt idx="0">
                  <c:v>-0.315231003547769</c:v>
                </c:pt>
                <c:pt idx="1">
                  <c:v>-0.324675243695978</c:v>
                </c:pt>
                <c:pt idx="2">
                  <c:v>-0.352364354781848</c:v>
                </c:pt>
                <c:pt idx="3">
                  <c:v>-0.396411369643298</c:v>
                </c:pt>
                <c:pt idx="4">
                  <c:v>-0.453814557008653</c:v>
                </c:pt>
                <c:pt idx="5">
                  <c:v>-0.520661984522217</c:v>
                </c:pt>
                <c:pt idx="6">
                  <c:v>-0.592398110469537</c:v>
                </c:pt>
                <c:pt idx="7">
                  <c:v>-0.664134236416857</c:v>
                </c:pt>
                <c:pt idx="8">
                  <c:v>-0.730981663930421</c:v>
                </c:pt>
                <c:pt idx="9">
                  <c:v>-0.788384851295776</c:v>
                </c:pt>
                <c:pt idx="10">
                  <c:v>-0.832431866157225</c:v>
                </c:pt>
                <c:pt idx="11">
                  <c:v>-0.860120977243096</c:v>
                </c:pt>
                <c:pt idx="12">
                  <c:v>-0.869565217391304</c:v>
                </c:pt>
                <c:pt idx="13">
                  <c:v>-0.860120977243096</c:v>
                </c:pt>
                <c:pt idx="14">
                  <c:v>-0.832431866157225</c:v>
                </c:pt>
                <c:pt idx="15">
                  <c:v>-0.788384851295776</c:v>
                </c:pt>
                <c:pt idx="16">
                  <c:v>-0.730981663930421</c:v>
                </c:pt>
                <c:pt idx="17">
                  <c:v>-0.664134236416857</c:v>
                </c:pt>
                <c:pt idx="18">
                  <c:v>-0.592398110469537</c:v>
                </c:pt>
                <c:pt idx="19">
                  <c:v>-0.520661984522217</c:v>
                </c:pt>
                <c:pt idx="20">
                  <c:v>-0.453814557008653</c:v>
                </c:pt>
                <c:pt idx="21">
                  <c:v>-0.396411369643298</c:v>
                </c:pt>
                <c:pt idx="22">
                  <c:v>-0.352364354781848</c:v>
                </c:pt>
                <c:pt idx="23">
                  <c:v>-0.324675243695978</c:v>
                </c:pt>
                <c:pt idx="24">
                  <c:v>-0.315231003547769</c:v>
                </c:pt>
              </c:numCache>
            </c:numRef>
          </c:xVal>
          <c:yVal>
            <c:numRef>
              <c:f>'Hypersphere Data'!$BB$368:$BB$392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8"/>
          <c:order val="18"/>
          <c:tx>
            <c:v>sphere of a member of L</c:v>
          </c:tx>
          <c:spPr>
            <a:ln w="28575" cap="rnd">
              <a:solidFill>
                <a:srgbClr val="BF8F00"/>
              </a:solidFill>
              <a:round/>
            </a:ln>
          </c:spPr>
          <c:marker>
            <c:symbol val="none"/>
          </c:marker>
          <c:xVal>
            <c:numRef>
              <c:f>'Hypersphere Data'!$BE$368:$BE$392</c:f>
              <c:numCache>
                <c:formatCode>General</c:formatCode>
                <c:ptCount val="25"/>
                <c:pt idx="0">
                  <c:v>0.447542869639537</c:v>
                </c:pt>
                <c:pt idx="1">
                  <c:v>0.429425122350673</c:v>
                </c:pt>
                <c:pt idx="2">
                  <c:v>0.376306575020824</c:v>
                </c:pt>
                <c:pt idx="3">
                  <c:v>0.291807168867968</c:v>
                </c:pt>
                <c:pt idx="4">
                  <c:v>0.181685398779553</c:v>
                </c:pt>
                <c:pt idx="5">
                  <c:v>0.0534458814022735</c:v>
                </c:pt>
                <c:pt idx="6">
                  <c:v>-0.0841720720804312</c:v>
                </c:pt>
                <c:pt idx="7">
                  <c:v>-0.221790025563136</c:v>
                </c:pt>
                <c:pt idx="8">
                  <c:v>-0.350029542940415</c:v>
                </c:pt>
                <c:pt idx="9">
                  <c:v>-0.460151313028831</c:v>
                </c:pt>
                <c:pt idx="10">
                  <c:v>-0.544650719181686</c:v>
                </c:pt>
                <c:pt idx="11">
                  <c:v>-0.597769266511536</c:v>
                </c:pt>
                <c:pt idx="12">
                  <c:v>-0.6158870138004</c:v>
                </c:pt>
                <c:pt idx="13">
                  <c:v>-0.597769266511536</c:v>
                </c:pt>
                <c:pt idx="14">
                  <c:v>-0.544650719181686</c:v>
                </c:pt>
                <c:pt idx="15">
                  <c:v>-0.460151313028831</c:v>
                </c:pt>
                <c:pt idx="16">
                  <c:v>-0.350029542940416</c:v>
                </c:pt>
                <c:pt idx="17">
                  <c:v>-0.221790025563136</c:v>
                </c:pt>
                <c:pt idx="18">
                  <c:v>-0.0841720720804313</c:v>
                </c:pt>
                <c:pt idx="19">
                  <c:v>0.0534458814022733</c:v>
                </c:pt>
                <c:pt idx="20">
                  <c:v>0.181685398779553</c:v>
                </c:pt>
                <c:pt idx="21">
                  <c:v>0.291807168867968</c:v>
                </c:pt>
                <c:pt idx="22">
                  <c:v>0.376306575020824</c:v>
                </c:pt>
                <c:pt idx="23">
                  <c:v>0.429425122350673</c:v>
                </c:pt>
                <c:pt idx="24">
                  <c:v>0.447542869639537</c:v>
                </c:pt>
              </c:numCache>
            </c:numRef>
          </c:xVal>
          <c:yVal>
            <c:numRef>
              <c:f>'Hypersphere Data'!$BF$368:$BF$392</c:f>
              <c:numCache>
                <c:formatCode>General</c:formatCode>
                <c:ptCount val="25"/>
                <c:pt idx="0">
                  <c:v>-0.108049639179229</c:v>
                </c:pt>
                <c:pt idx="1">
                  <c:v>0.0295683143034758</c:v>
                </c:pt>
                <c:pt idx="2">
                  <c:v>0.157807831680755</c:v>
                </c:pt>
                <c:pt idx="3">
                  <c:v>0.267929601769171</c:v>
                </c:pt>
                <c:pt idx="4">
                  <c:v>0.352429007922026</c:v>
                </c:pt>
                <c:pt idx="5">
                  <c:v>0.405547555251875</c:v>
                </c:pt>
                <c:pt idx="6">
                  <c:v>0.42366530254074</c:v>
                </c:pt>
                <c:pt idx="7">
                  <c:v>0.405547555251875</c:v>
                </c:pt>
                <c:pt idx="8">
                  <c:v>0.352429007922026</c:v>
                </c:pt>
                <c:pt idx="9">
                  <c:v>0.267929601769171</c:v>
                </c:pt>
                <c:pt idx="10">
                  <c:v>0.157807831680755</c:v>
                </c:pt>
                <c:pt idx="11">
                  <c:v>0.0295683143034759</c:v>
                </c:pt>
                <c:pt idx="12">
                  <c:v>-0.108049639179229</c:v>
                </c:pt>
                <c:pt idx="13">
                  <c:v>-0.245667592661934</c:v>
                </c:pt>
                <c:pt idx="14">
                  <c:v>-0.373907110039213</c:v>
                </c:pt>
                <c:pt idx="15">
                  <c:v>-0.484028880127628</c:v>
                </c:pt>
                <c:pt idx="16">
                  <c:v>-0.568528286280484</c:v>
                </c:pt>
                <c:pt idx="17">
                  <c:v>-0.621646833610333</c:v>
                </c:pt>
                <c:pt idx="18">
                  <c:v>-0.639764580899197</c:v>
                </c:pt>
                <c:pt idx="19">
                  <c:v>-0.621646833610333</c:v>
                </c:pt>
                <c:pt idx="20">
                  <c:v>-0.568528286280484</c:v>
                </c:pt>
                <c:pt idx="21">
                  <c:v>-0.484028880127629</c:v>
                </c:pt>
                <c:pt idx="22">
                  <c:v>-0.373907110039213</c:v>
                </c:pt>
                <c:pt idx="23">
                  <c:v>-0.245667592661934</c:v>
                </c:pt>
                <c:pt idx="24">
                  <c:v>-0.108049639179229</c:v>
                </c:pt>
              </c:numCache>
            </c:numRef>
          </c:yVal>
          <c:smooth val="1"/>
        </c:ser>
        <c:ser>
          <c:idx val="19"/>
          <c:order val="19"/>
          <c:tx>
            <c:v>sphere of a member of L</c:v>
          </c:tx>
          <c:spPr>
            <a:ln w="28575" cap="rnd">
              <a:solidFill>
                <a:srgbClr val="BF8F00"/>
              </a:solidFill>
              <a:round/>
            </a:ln>
          </c:spPr>
          <c:marker>
            <c:symbol val="none"/>
          </c:marker>
          <c:xVal>
            <c:numRef>
              <c:f>'Hypersphere Data'!$BI$368:$BI$392</c:f>
              <c:numCache>
                <c:formatCode>General</c:formatCode>
                <c:ptCount val="25"/>
              </c:numCache>
            </c:numRef>
          </c:xVal>
          <c:yVal>
            <c:numRef>
              <c:f>'Hypersphere Data'!$BJ$368:$BJ$392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20"/>
          <c:order val="20"/>
          <c:tx>
            <c:v>sphere of a member of L</c:v>
          </c:tx>
          <c:spPr>
            <a:ln w="28575" cap="rnd">
              <a:solidFill>
                <a:srgbClr val="BF8F00"/>
              </a:solidFill>
              <a:round/>
            </a:ln>
          </c:spPr>
          <c:marker>
            <c:symbol val="none"/>
          </c:marker>
          <c:xVal>
            <c:numRef>
              <c:f>'Hypersphere Data'!$BM$368:$BM$392</c:f>
              <c:numCache>
                <c:formatCode>General</c:formatCode>
                <c:ptCount val="25"/>
              </c:numCache>
            </c:numRef>
          </c:xVal>
          <c:yVal>
            <c:numRef>
              <c:f>'Hypersphere Data'!$BN$368:$BN$392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21"/>
          <c:order val="21"/>
          <c:tx>
            <c:v>K1 in D</c:v>
          </c:tx>
          <c:spPr>
            <a:ln w="19050">
              <a:noFill/>
            </a:ln>
          </c:spPr>
          <c:marker>
            <c:symbol val="circle"/>
            <c:size val="8"/>
            <c:spPr>
              <a:solidFill>
                <a:srgbClr val="A9C4EB"/>
              </a:solidFill>
              <a:ln w="12700">
                <a:solidFill>
                  <a:srgbClr val="2F5597"/>
                </a:solidFill>
              </a:ln>
            </c:spPr>
          </c:marker>
          <c:xVal>
            <c:numRef>
              <c:f>'Hypersphere Data'!$Z$368:$Z$374</c:f>
              <c:numCache>
                <c:formatCode>General</c:formatCode>
                <c:ptCount val="7"/>
                <c:pt idx="6">
                  <c:v>0.376306575020824</c:v>
                </c:pt>
              </c:numCache>
            </c:numRef>
          </c:xVal>
          <c:yVal>
            <c:numRef>
              <c:f>'Hypersphere Data'!$AA$368:$AA$374</c:f>
              <c:numCache>
                <c:formatCode>General</c:formatCode>
                <c:ptCount val="7"/>
                <c:pt idx="6">
                  <c:v>-0.373907110039213</c:v>
                </c:pt>
              </c:numCache>
            </c:numRef>
          </c:yVal>
          <c:smooth val="0"/>
        </c:ser>
        <c:ser>
          <c:idx val="22"/>
          <c:order val="22"/>
          <c:tx>
            <c:v>K2 in D</c:v>
          </c:tx>
          <c:spPr>
            <a:ln w="19050">
              <a:noFill/>
            </a:ln>
          </c:spPr>
          <c:marker>
            <c:symbol val="triangle"/>
            <c:size val="9"/>
            <c:spPr>
              <a:solidFill>
                <a:srgbClr val="F2A7A7"/>
              </a:solidFill>
              <a:ln w="12700">
                <a:solidFill>
                  <a:srgbClr val="C00000"/>
                </a:solidFill>
              </a:ln>
            </c:spPr>
          </c:marker>
          <c:xVal>
            <c:numRef>
              <c:f>'Hypersphere Data'!$AD$368:$AD$374</c:f>
              <c:numCache>
                <c:formatCode>General</c:formatCode>
                <c:ptCount val="7"/>
              </c:numCache>
            </c:numRef>
          </c:xVal>
          <c:yVal>
            <c:numRef>
              <c:f>'Hypersphere Data'!$AE$368:$AE$374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3"/>
          <c:order val="23"/>
          <c:tx>
            <c:v>K1 in F</c:v>
          </c:tx>
          <c:spPr>
            <a:ln w="19050">
              <a:noFill/>
            </a:ln>
          </c:spPr>
          <c:marker>
            <c:symbol val="circle"/>
            <c:size val="8"/>
            <c:spPr>
              <a:solidFill>
                <a:srgbClr val="2F5597"/>
              </a:solidFill>
              <a:ln w="19050">
                <a:solidFill>
                  <a:srgbClr val="2F5597"/>
                </a:solidFill>
              </a:ln>
            </c:spPr>
          </c:marker>
          <c:xVal>
            <c:numRef>
              <c:f>'Hypersphere Data'!$X$368:$X$374</c:f>
              <c:numCache>
                <c:formatCode>General</c:formatCode>
                <c:ptCount val="7"/>
                <c:pt idx="2">
                  <c:v>-0.0841720720804311</c:v>
                </c:pt>
                <c:pt idx="5">
                  <c:v>-0.668436919167302</c:v>
                </c:pt>
              </c:numCache>
            </c:numRef>
          </c:xVal>
          <c:yVal>
            <c:numRef>
              <c:f>'Hypersphere Data'!$Y$368:$Y$374</c:f>
              <c:numCache>
                <c:formatCode>General</c:formatCode>
                <c:ptCount val="7"/>
                <c:pt idx="2">
                  <c:v>-0.654721230181929</c:v>
                </c:pt>
                <c:pt idx="5">
                  <c:v>0.229275827564411</c:v>
                </c:pt>
              </c:numCache>
            </c:numRef>
          </c:yVal>
          <c:smooth val="0"/>
        </c:ser>
        <c:ser>
          <c:idx val="24"/>
          <c:order val="24"/>
          <c:tx>
            <c:v>K2 in F</c:v>
          </c:tx>
          <c:spPr>
            <a:ln w="19050">
              <a:noFill/>
            </a:ln>
          </c:spPr>
          <c:marker>
            <c:symbol val="triangle"/>
            <c:size val="9"/>
            <c:spPr>
              <a:solidFill>
                <a:srgbClr val="C00000"/>
              </a:solidFill>
              <a:ln w="19050">
                <a:solidFill>
                  <a:srgbClr val="C00000"/>
                </a:solidFill>
              </a:ln>
            </c:spPr>
          </c:marker>
          <c:xVal>
            <c:numRef>
              <c:f>'Hypersphere Data'!$AB$368:$AB$374</c:f>
              <c:numCache>
                <c:formatCode>General</c:formatCode>
                <c:ptCount val="7"/>
                <c:pt idx="0">
                  <c:v>-0.0841720720804312</c:v>
                </c:pt>
                <c:pt idx="1">
                  <c:v>0.311064105636028</c:v>
                </c:pt>
                <c:pt idx="3">
                  <c:v>-0.592398110469537</c:v>
                </c:pt>
              </c:numCache>
            </c:numRef>
          </c:xVal>
          <c:yVal>
            <c:numRef>
              <c:f>'Hypersphere Data'!$AC$368:$AC$374</c:f>
              <c:numCache>
                <c:formatCode>General</c:formatCode>
                <c:ptCount val="7"/>
                <c:pt idx="0">
                  <c:v>0.25505387713081</c:v>
                </c:pt>
                <c:pt idx="1">
                  <c:v>0.120140074418847</c:v>
                </c:pt>
                <c:pt idx="3">
                  <c:v>-0.401474079252356</c:v>
                </c:pt>
              </c:numCache>
            </c:numRef>
          </c:yVal>
          <c:smooth val="0"/>
        </c:ser>
        <c:ser>
          <c:idx val="25"/>
          <c:order val="25"/>
          <c:tx>
            <c:v>Sᵢ, class 1</c:v>
          </c:tx>
          <c:spPr>
            <a:ln w="19050">
              <a:noFill/>
            </a:ln>
          </c:spPr>
          <c:marker>
            <c:symbol val="circle"/>
            <c:size val="10"/>
            <c:spPr>
              <a:solidFill>
                <a:srgbClr val="2F5597"/>
              </a:solidFill>
              <a:ln w="19050">
                <a:solidFill>
                  <a:srgbClr val="000000"/>
                </a:solidFill>
              </a:ln>
            </c:spPr>
          </c:marker>
          <c:xVal>
            <c:numRef>
              <c:f>'Hypersphere Data'!$AF$368:$AF$374</c:f>
              <c:numCache>
                <c:formatCode>General</c:formatCode>
                <c:ptCount val="7"/>
              </c:numCache>
            </c:numRef>
          </c:xVal>
          <c:yVal>
            <c:numRef>
              <c:f>'Hypersphere Data'!$AG$368:$AG$374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6"/>
          <c:order val="26"/>
          <c:tx>
            <c:v>Sᵢ, class 2</c:v>
          </c:tx>
          <c:spPr>
            <a:ln w="19050">
              <a:noFill/>
            </a:ln>
          </c:spPr>
          <c:marker>
            <c:symbol val="triangle"/>
            <c:size val="11"/>
            <c:spPr>
              <a:solidFill>
                <a:srgbClr val="C00000"/>
              </a:solidFill>
              <a:ln w="19050">
                <a:solidFill>
                  <a:srgbClr val="000000"/>
                </a:solidFill>
              </a:ln>
            </c:spPr>
          </c:marker>
          <c:xVal>
            <c:numRef>
              <c:f>'Hypersphere Data'!$AH$368:$AH$374</c:f>
              <c:numCache>
                <c:formatCode>General</c:formatCode>
                <c:ptCount val="7"/>
                <c:pt idx="4">
                  <c:v>-0.0841720720804312</c:v>
                </c:pt>
              </c:numCache>
            </c:numRef>
          </c:xVal>
          <c:yVal>
            <c:numRef>
              <c:f>'Hypersphere Data'!$AI$368:$AI$374</c:f>
              <c:numCache>
                <c:formatCode>General</c:formatCode>
                <c:ptCount val="7"/>
                <c:pt idx="4">
                  <c:v>-0.108049639179229</c:v>
                </c:pt>
              </c:numCache>
            </c:numRef>
          </c:yVal>
          <c:smooth val="0"/>
        </c:ser>
        <c:ser>
          <c:idx val="27"/>
          <c:order val="27"/>
          <c:tx>
            <c:v>exact only for Sᵢ: inside a circle ⇔ ρ(Sⱼ, Sᵢ) &lt; r(Sⱼ)</c:v>
          </c:tx>
          <c:spPr>
            <a:ln w="19050">
              <a:noFill/>
            </a:ln>
          </c:spPr>
          <c:marker>
            <c:symbol val="plus"/>
            <c:size val="7"/>
            <c:spPr>
              <a:solidFill>
                <a:srgbClr val="000000"/>
              </a:solidFill>
              <a:ln w="15875">
                <a:solidFill>
                  <a:srgbClr val="000000"/>
                </a:solidFill>
              </a:ln>
            </c:spPr>
          </c:marker>
          <c:xVal>
            <c:numRef>
              <c:f>'Hypersphere Data'!$E$383</c:f>
              <c:numCache>
                <c:formatCode>General</c:formatCode>
                <c:ptCount val="1"/>
                <c:pt idx="0">
                  <c:v>-0.0841720720804312</c:v>
                </c:pt>
              </c:numCache>
            </c:numRef>
          </c:xVal>
          <c:yVal>
            <c:numRef>
              <c:f>'Hypersphere Data'!$F$383</c:f>
              <c:numCache>
                <c:formatCode>General</c:formatCode>
                <c:ptCount val="1"/>
                <c:pt idx="0">
                  <c:v>-0.108049639179229</c:v>
                </c:pt>
              </c:numCache>
            </c:numRef>
          </c:yVal>
          <c:smooth val="0"/>
        </c:ser>
        <c:ser>
          <c:idx val="28"/>
          <c:order val="28"/>
          <c:tx>
            <c:strRef>
              <c:f>'Hypersphere Data'!$D$377</c:f>
              <c:strCache>
                <c:ptCount val="1"/>
                <c:pt idx="0">
                  <c:v>S₁  ·  g 2→1  → D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Data'!$E$377</c:f>
              <c:numCache>
                <c:formatCode>General</c:formatCode>
                <c:ptCount val="1"/>
                <c:pt idx="0">
                  <c:v>-0.0841720720804312</c:v>
                </c:pt>
              </c:numCache>
            </c:numRef>
          </c:xVal>
          <c:yVal>
            <c:numRef>
              <c:f>'Hypersphere Data'!$F$377</c:f>
              <c:numCache>
                <c:formatCode>General</c:formatCode>
                <c:ptCount val="1"/>
                <c:pt idx="0">
                  <c:v>0.25505387713081</c:v>
                </c:pt>
              </c:numCache>
            </c:numRef>
          </c:yVal>
          <c:smooth val="0"/>
        </c:ser>
        <c:ser>
          <c:idx val="29"/>
          <c:order val="29"/>
          <c:tx>
            <c:strRef>
              <c:f>'Hypersphere Data'!$D$378</c:f>
              <c:strCache>
                <c:ptCount val="1"/>
                <c:pt idx="0">
                  <c:v>S₂  ·  g 3→2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Data'!$E$378</c:f>
              <c:numCache>
                <c:formatCode>General</c:formatCode>
                <c:ptCount val="1"/>
                <c:pt idx="0">
                  <c:v>0.311064105636028</c:v>
                </c:pt>
              </c:numCache>
            </c:numRef>
          </c:xVal>
          <c:yVal>
            <c:numRef>
              <c:f>'Hypersphere Data'!$F$378</c:f>
              <c:numCache>
                <c:formatCode>General</c:formatCode>
                <c:ptCount val="1"/>
                <c:pt idx="0">
                  <c:v>0.120140074418847</c:v>
                </c:pt>
              </c:numCache>
            </c:numRef>
          </c:yVal>
          <c:smooth val="0"/>
        </c:ser>
        <c:ser>
          <c:idx val="30"/>
          <c:order val="30"/>
          <c:tx>
            <c:strRef>
              <c:f>'Hypersphere Data'!$D$379</c:f>
              <c:strCache>
                <c:ptCount val="1"/>
                <c:pt idx="0">
                  <c:v>S₇ (in D)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Data'!$E$379</c:f>
              <c:numCache>
                <c:formatCode>General</c:formatCode>
                <c:ptCount val="1"/>
                <c:pt idx="0">
                  <c:v>0.376306575020824</c:v>
                </c:pt>
              </c:numCache>
            </c:numRef>
          </c:xVal>
          <c:yVal>
            <c:numRef>
              <c:f>'Hypersphere Data'!$F$379</c:f>
              <c:numCache>
                <c:formatCode>General</c:formatCode>
                <c:ptCount val="1"/>
                <c:pt idx="0">
                  <c:v>-0.373907110039213</c:v>
                </c:pt>
              </c:numCache>
            </c:numRef>
          </c:yVal>
          <c:smooth val="0"/>
        </c:ser>
        <c:ser>
          <c:idx val="31"/>
          <c:order val="31"/>
          <c:tx>
            <c:strRef>
              <c:f>'Hypersphere Data'!$D$380</c:f>
              <c:strCache>
                <c:ptCount val="1"/>
                <c:pt idx="0">
                  <c:v>S₃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Data'!$E$380</c:f>
              <c:numCache>
                <c:formatCode>General</c:formatCode>
                <c:ptCount val="1"/>
                <c:pt idx="0">
                  <c:v>-0.0841720720804311</c:v>
                </c:pt>
              </c:numCache>
            </c:numRef>
          </c:xVal>
          <c:yVal>
            <c:numRef>
              <c:f>'Hypersphere Data'!$F$380</c:f>
              <c:numCache>
                <c:formatCode>General</c:formatCode>
                <c:ptCount val="1"/>
                <c:pt idx="0">
                  <c:v>-0.654721230181929</c:v>
                </c:pt>
              </c:numCache>
            </c:numRef>
          </c:yVal>
          <c:smooth val="0"/>
        </c:ser>
        <c:ser>
          <c:idx val="32"/>
          <c:order val="32"/>
          <c:tx>
            <c:strRef>
              <c:f>'Hypersphere Data'!$D$381</c:f>
              <c:strCache>
                <c:ptCount val="1"/>
                <c:pt idx="0">
                  <c:v>S₄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Data'!$E$381</c:f>
              <c:numCache>
                <c:formatCode>General</c:formatCode>
                <c:ptCount val="1"/>
                <c:pt idx="0">
                  <c:v>-0.592398110469537</c:v>
                </c:pt>
              </c:numCache>
            </c:numRef>
          </c:xVal>
          <c:yVal>
            <c:numRef>
              <c:f>'Hypersphere Data'!$F$381</c:f>
              <c:numCache>
                <c:formatCode>General</c:formatCode>
                <c:ptCount val="1"/>
                <c:pt idx="0">
                  <c:v>-0.401474079252356</c:v>
                </c:pt>
              </c:numCache>
            </c:numRef>
          </c:yVal>
          <c:smooth val="0"/>
        </c:ser>
        <c:ser>
          <c:idx val="33"/>
          <c:order val="33"/>
          <c:tx>
            <c:strRef>
              <c:f>'Hypersphere Data'!$D$382</c:f>
              <c:strCache>
                <c:ptCount val="1"/>
                <c:pt idx="0">
                  <c:v>S₆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Data'!$E$382</c:f>
              <c:numCache>
                <c:formatCode>General</c:formatCode>
                <c:ptCount val="1"/>
                <c:pt idx="0">
                  <c:v>-0.668436919167302</c:v>
                </c:pt>
              </c:numCache>
            </c:numRef>
          </c:xVal>
          <c:yVal>
            <c:numRef>
              <c:f>'Hypersphere Data'!$F$382</c:f>
              <c:numCache>
                <c:formatCode>General</c:formatCode>
                <c:ptCount val="1"/>
                <c:pt idx="0">
                  <c:v>0.229275827564411</c:v>
                </c:pt>
              </c:numCache>
            </c:numRef>
          </c:yVal>
          <c:smooth val="0"/>
        </c:ser>
        <c:ser>
          <c:idx val="34"/>
          <c:order val="34"/>
          <c:tx>
            <c:strRef>
              <c:f>'Hypersphere Data'!$D$383</c:f>
              <c:strCache>
                <c:ptCount val="1"/>
                <c:pt idx="0">
                  <c:v>S₅ = Sᵢ  ·  g 2→1  → D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Data'!$E$383</c:f>
              <c:numCache>
                <c:formatCode>General</c:formatCode>
                <c:ptCount val="1"/>
                <c:pt idx="0">
                  <c:v>-0.0841720720804312</c:v>
                </c:pt>
              </c:numCache>
            </c:numRef>
          </c:xVal>
          <c:yVal>
            <c:numRef>
              <c:f>'Hypersphere Data'!$F$383</c:f>
              <c:numCache>
                <c:formatCode>General</c:formatCode>
                <c:ptCount val="1"/>
                <c:pt idx="0">
                  <c:v>-0.108049639179229</c:v>
                </c:pt>
              </c:numCache>
            </c:numRef>
          </c:yVal>
          <c:smooth val="0"/>
        </c:ser>
        <c:ser>
          <c:idx val="35"/>
          <c:order val="35"/>
          <c:tx>
            <c:strRef>
              <c:f>'Hypersphere Data'!$D$375</c:f>
              <c:strCache>
                <c:ptCount val="1"/>
                <c:pt idx="0">
                  <c:v>Queue empty → Step 6:   D = {S₁, S₂, S₅, S₆, S₇}   ·   F = {S₃, S₄}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1000" b="1">
                    <a:solidFill>
                      <a:srgbClr val="1F3864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Data'!$E$375</c:f>
              <c:numCache>
                <c:formatCode>General</c:formatCode>
                <c:ptCount val="1"/>
              </c:numCache>
            </c:numRef>
          </c:xVal>
          <c:yVal>
            <c:numRef>
              <c:f>'Hypersphere Data'!$F$375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36"/>
          <c:order val="36"/>
          <c:tx>
            <c:strRef>
              <c:f>'Hypersphere Data'!$D$384</c:f>
              <c:strCache>
                <c:ptCount val="1"/>
                <c:pt idx="0">
                  <c:v>Sᵢ = S₅   ·   L = {S₁, S₂, S₅}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50" b="1">
                    <a:solidFill>
                      <a:srgbClr val="1F3864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Data'!$E$384</c:f>
              <c:numCache>
                <c:formatCode>General</c:formatCode>
                <c:ptCount val="1"/>
                <c:pt idx="0">
                  <c:v>-0.97</c:v>
                </c:pt>
              </c:numCache>
            </c:numRef>
          </c:xVal>
          <c:yVal>
            <c:numRef>
              <c:f>'Hypersphere Data'!$F$384</c:f>
              <c:numCache>
                <c:formatCode>General</c:formatCode>
                <c:ptCount val="1"/>
                <c:pt idx="0">
                  <c:v>0.955</c:v>
                </c:pt>
              </c:numCache>
            </c:numRef>
          </c:yVal>
          <c:smooth val="0"/>
        </c:ser>
        <c:ser>
          <c:idx val="37"/>
          <c:order val="37"/>
          <c:tx>
            <c:strRef>
              <c:f>'Hypersphere Data'!$D$385</c:f>
              <c:strCache>
                <c:ptCount val="1"/>
                <c:pt idx="0">
                  <c:v>|L| &gt; 1 → Step 5 corrects g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50" b="1">
                    <a:solidFill>
                      <a:srgbClr val="1F3864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Data'!$E$385</c:f>
              <c:numCache>
                <c:formatCode>General</c:formatCode>
                <c:ptCount val="1"/>
                <c:pt idx="0">
                  <c:v>-0.97</c:v>
                </c:pt>
              </c:numCache>
            </c:numRef>
          </c:xVal>
          <c:yVal>
            <c:numRef>
              <c:f>'Hypersphere Data'!$F$385</c:f>
              <c:numCache>
                <c:formatCode>General</c:formatCode>
                <c:ptCount val="1"/>
                <c:pt idx="0">
                  <c:v>-0.955</c:v>
                </c:pt>
              </c:numCache>
            </c:numRef>
          </c:yVal>
          <c:smooth val="0"/>
        </c:ser>
        <c:axId val="9101"/>
        <c:axId val="9102"/>
      </c:scatterChart>
      <c:valAx>
        <c:axId val="9101"/>
        <c:scaling>
          <c:orientation val="minMax"/>
          <c:max val="1.0"/>
          <c:min val="-1.0"/>
        </c:scaling>
        <c:delete val="1"/>
        <c:axPos val="b"/>
        <c:numFmt formatCode="General" sourceLinked="0"/>
        <c:majorTickMark val="none"/>
        <c:minorTickMark val="none"/>
        <c:tickLblPos val="none"/>
        <c:crossAx val="9102"/>
        <c:crosses val="autoZero"/>
        <c:crossBetween val="midCat"/>
      </c:valAx>
      <c:valAx>
        <c:axId val="9102"/>
        <c:scaling>
          <c:orientation val="minMax"/>
          <c:max val="1.0"/>
          <c:min val="-1.0"/>
        </c:scaling>
        <c:delete val="1"/>
        <c:axPos val="l"/>
        <c:numFmt formatCode="General" sourceLinked="0"/>
        <c:majorTickMark val="none"/>
        <c:minorTickMark val="none"/>
        <c:tickLblPos val="none"/>
        <c:crossAx val="9101"/>
        <c:crosses val="autoZero"/>
        <c:crossBetween val="midCat"/>
      </c:valAx>
      <c:spPr>
        <a:noFill/>
        <a:ln>
          <a:noFill/>
        </a:ln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8"/>
        <c:delete val="1"/>
      </c:legendEntry>
      <c:legendEntry>
        <c:idx val="29"/>
        <c:delete val="1"/>
      </c:legendEntry>
      <c:legendEntry>
        <c:idx val="30"/>
        <c:delete val="1"/>
      </c:legendEntry>
      <c:legendEntry>
        <c:idx val="31"/>
        <c:delete val="1"/>
      </c:legendEntry>
      <c:legendEntry>
        <c:idx val="32"/>
        <c:delete val="1"/>
      </c:legendEntry>
      <c:legendEntry>
        <c:idx val="33"/>
        <c:delete val="1"/>
      </c:legendEntry>
      <c:legendEntry>
        <c:idx val="34"/>
        <c:delete val="1"/>
      </c:legendEntry>
      <c:legendEntry>
        <c:idx val="35"/>
        <c:delete val="1"/>
      </c:legendEntry>
      <c:legendEntry>
        <c:idx val="36"/>
        <c:delete val="1"/>
      </c:legendEntry>
      <c:legendEntry>
        <c:idx val="37"/>
        <c:delete val="1"/>
      </c:legendEntry>
      <c:layout>
        <c:manualLayout>
          <c:xMode val="edge"/>
          <c:yMode val="edge"/>
          <c:x val="0.7069"/>
          <c:y val="0.2700"/>
          <c:w val="0.2781"/>
          <c:h val="0.5000"/>
        </c:manualLayout>
      </c:layout>
      <c:overlay val="0"/>
      <c:txPr>
        <a:bodyPr/>
        <a:lstStyle/>
        <a:p>
          <a:pPr>
            <a:defRPr sz="900" b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/>
          <a:lstStyle/>
          <a:p>
            <a:pPr>
              <a:defRPr sz="1050" b="1">
                <a:solidFill>
                  <a:srgbClr val="1F3864"/>
                </a:solidFill>
                <a:latin typeface="Calibri"/>
              </a:defRPr>
            </a:pPr>
            <a:r>
              <a:rPr lang="en-US" sz="1050" b="1">
                <a:solidFill>
                  <a:srgbClr val="1F3864"/>
                </a:solidFill>
                <a:latin typeface="Calibri"/>
              </a:rPr>
              <a:t>Iteration 4 · enemy spheres around the selected Sᵢ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0152"/>
          <c:y val="0.0812"/>
          <c:w val="0.6768"/>
          <c:h val="0.8701"/>
        </c:manualLayout>
      </c:layout>
      <c:scatterChart>
        <c:scatterStyle val="lineMarker"/>
        <c:varyColors val="0"/>
        <c:ser>
          <c:idx val="0"/>
          <c:order val="0"/>
          <c:tx>
            <c:v>own class in F, not in L</c:v>
          </c:tx>
          <c:spPr>
            <a:ln w="15875" cap="rnd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Data'!$AO$397:$AO$421</c:f>
              <c:numCache>
                <c:formatCode>General</c:formatCode>
                <c:ptCount val="25"/>
                <c:pt idx="0">
                  <c:v>0.278152049323035</c:v>
                </c:pt>
                <c:pt idx="1">
                  <c:v>0.261513152520919</c:v>
                </c:pt>
                <c:pt idx="2">
                  <c:v>0.212730375434557</c:v>
                </c:pt>
                <c:pt idx="3">
                  <c:v>0.135128183705035</c:v>
                </c:pt>
                <c:pt idx="4">
                  <c:v>0.0339950384550344</c:v>
                </c:pt>
                <c:pt idx="5">
                  <c:v>-0.0837770035970828</c:v>
                </c:pt>
                <c:pt idx="6">
                  <c:v>-0.210161972412966</c:v>
                </c:pt>
                <c:pt idx="7">
                  <c:v>-0.336546941228849</c:v>
                </c:pt>
                <c:pt idx="8">
                  <c:v>-0.454318983280966</c:v>
                </c:pt>
                <c:pt idx="9">
                  <c:v>-0.555452128530967</c:v>
                </c:pt>
                <c:pt idx="10">
                  <c:v>-0.633054320260489</c:v>
                </c:pt>
                <c:pt idx="11">
                  <c:v>-0.681837097346851</c:v>
                </c:pt>
                <c:pt idx="12">
                  <c:v>-0.698475994148967</c:v>
                </c:pt>
                <c:pt idx="13">
                  <c:v>-0.681837097346851</c:v>
                </c:pt>
                <c:pt idx="14">
                  <c:v>-0.633054320260489</c:v>
                </c:pt>
                <c:pt idx="15">
                  <c:v>-0.555452128530968</c:v>
                </c:pt>
                <c:pt idx="16">
                  <c:v>-0.454318983280967</c:v>
                </c:pt>
                <c:pt idx="17">
                  <c:v>-0.336546941228849</c:v>
                </c:pt>
                <c:pt idx="18">
                  <c:v>-0.210161972412966</c:v>
                </c:pt>
                <c:pt idx="19">
                  <c:v>-0.083777003597083</c:v>
                </c:pt>
                <c:pt idx="20">
                  <c:v>0.0339950384550344</c:v>
                </c:pt>
                <c:pt idx="21">
                  <c:v>0.135128183705035</c:v>
                </c:pt>
                <c:pt idx="22">
                  <c:v>0.212730375434557</c:v>
                </c:pt>
                <c:pt idx="23">
                  <c:v>0.261513152520918</c:v>
                </c:pt>
                <c:pt idx="24">
                  <c:v>0.278152049323035</c:v>
                </c:pt>
              </c:numCache>
            </c:numRef>
          </c:xVal>
          <c:yVal>
            <c:numRef>
              <c:f>'Hypersphere Data'!$AQ$397:$AQ$421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"/>
          <c:order val="1"/>
          <c:tx>
            <c:v>own class in F, not in L</c:v>
          </c:tx>
          <c:spPr>
            <a:ln w="15875" cap="rnd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Data'!$AS$397:$AS$421</c:f>
              <c:numCache>
                <c:formatCode>General</c:formatCode>
                <c:ptCount val="25"/>
                <c:pt idx="0">
                  <c:v>0.440388874609818</c:v>
                </c:pt>
                <c:pt idx="1">
                  <c:v>0.41822189204057</c:v>
                </c:pt>
                <c:pt idx="2">
                  <c:v>0.353231587562249</c:v>
                </c:pt>
                <c:pt idx="3">
                  <c:v>0.249846943023497</c:v>
                </c:pt>
                <c:pt idx="4">
                  <c:v>0.115113451098426</c:v>
                </c:pt>
                <c:pt idx="5">
                  <c:v>-0.0417870233958931</c:v>
                </c:pt>
                <c:pt idx="6">
                  <c:v>-0.210161972412966</c:v>
                </c:pt>
                <c:pt idx="7">
                  <c:v>-0.378536921430039</c:v>
                </c:pt>
                <c:pt idx="8">
                  <c:v>-0.535437395924358</c:v>
                </c:pt>
                <c:pt idx="9">
                  <c:v>-0.670170887849429</c:v>
                </c:pt>
                <c:pt idx="10">
                  <c:v>-0.773555532388181</c:v>
                </c:pt>
                <c:pt idx="11">
                  <c:v>-0.838545836866502</c:v>
                </c:pt>
                <c:pt idx="12">
                  <c:v>-0.86071281943575</c:v>
                </c:pt>
                <c:pt idx="13">
                  <c:v>-0.838545836866502</c:v>
                </c:pt>
                <c:pt idx="14">
                  <c:v>-0.773555532388181</c:v>
                </c:pt>
                <c:pt idx="15">
                  <c:v>-0.670170887849429</c:v>
                </c:pt>
                <c:pt idx="16">
                  <c:v>-0.535437395924358</c:v>
                </c:pt>
                <c:pt idx="17">
                  <c:v>-0.378536921430039</c:v>
                </c:pt>
                <c:pt idx="18">
                  <c:v>-0.210161972412966</c:v>
                </c:pt>
                <c:pt idx="19">
                  <c:v>-0.0417870233958934</c:v>
                </c:pt>
                <c:pt idx="20">
                  <c:v>0.115113451098426</c:v>
                </c:pt>
                <c:pt idx="21">
                  <c:v>0.249846943023497</c:v>
                </c:pt>
                <c:pt idx="22">
                  <c:v>0.353231587562249</c:v>
                </c:pt>
                <c:pt idx="23">
                  <c:v>0.41822189204057</c:v>
                </c:pt>
                <c:pt idx="24">
                  <c:v>0.440388874609818</c:v>
                </c:pt>
              </c:numCache>
            </c:numRef>
          </c:xVal>
          <c:yVal>
            <c:numRef>
              <c:f>'Hypersphere Data'!$AU$397:$AU$421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2"/>
          <c:order val="2"/>
          <c:tx>
            <c:v>own class in F, not in L</c:v>
          </c:tx>
          <c:spPr>
            <a:ln w="15875" cap="rnd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Data'!$AW$397:$AW$421</c:f>
              <c:numCache>
                <c:formatCode>General</c:formatCode>
                <c:ptCount val="25"/>
              </c:numCache>
            </c:numRef>
          </c:xVal>
          <c:yVal>
            <c:numRef>
              <c:f>'Hypersphere Data'!$AY$397:$AY$421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3"/>
          <c:order val="3"/>
          <c:tx>
            <c:v>own class in F, not in L</c:v>
          </c:tx>
          <c:spPr>
            <a:ln w="15875" cap="rnd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Data'!$BA$397:$BA$421</c:f>
              <c:numCache>
                <c:formatCode>General</c:formatCode>
                <c:ptCount val="25"/>
                <c:pt idx="0">
                  <c:v>0.593056286803824</c:v>
                </c:pt>
                <c:pt idx="1">
                  <c:v>0.582055487882235</c:v>
                </c:pt>
                <c:pt idx="2">
                  <c:v>0.549802777384294</c:v>
                </c:pt>
                <c:pt idx="3">
                  <c:v>0.498496124230313</c:v>
                </c:pt>
                <c:pt idx="4">
                  <c:v>0.43163199204448</c:v>
                </c:pt>
                <c:pt idx="5">
                  <c:v>0.353767060937058</c:v>
                </c:pt>
                <c:pt idx="6">
                  <c:v>0.270207697285136</c:v>
                </c:pt>
                <c:pt idx="7">
                  <c:v>0.186648333633213</c:v>
                </c:pt>
                <c:pt idx="8">
                  <c:v>0.108783402525792</c:v>
                </c:pt>
                <c:pt idx="9">
                  <c:v>0.0419192703399591</c:v>
                </c:pt>
                <c:pt idx="10">
                  <c:v>-0.00938738281402285</c:v>
                </c:pt>
                <c:pt idx="11">
                  <c:v>-0.0416400933119635</c:v>
                </c:pt>
                <c:pt idx="12">
                  <c:v>-0.0526408922335526</c:v>
                </c:pt>
                <c:pt idx="13">
                  <c:v>-0.0416400933119636</c:v>
                </c:pt>
                <c:pt idx="14">
                  <c:v>-0.0093873828140229</c:v>
                </c:pt>
                <c:pt idx="15">
                  <c:v>0.041919270339959</c:v>
                </c:pt>
                <c:pt idx="16">
                  <c:v>0.108783402525791</c:v>
                </c:pt>
                <c:pt idx="17">
                  <c:v>0.186648333633213</c:v>
                </c:pt>
                <c:pt idx="18">
                  <c:v>0.270207697285136</c:v>
                </c:pt>
                <c:pt idx="19">
                  <c:v>0.353767060937058</c:v>
                </c:pt>
                <c:pt idx="20">
                  <c:v>0.43163199204448</c:v>
                </c:pt>
                <c:pt idx="21">
                  <c:v>0.498496124230312</c:v>
                </c:pt>
                <c:pt idx="22">
                  <c:v>0.549802777384294</c:v>
                </c:pt>
                <c:pt idx="23">
                  <c:v>0.582055487882235</c:v>
                </c:pt>
                <c:pt idx="24">
                  <c:v>0.593056286803824</c:v>
                </c:pt>
              </c:numCache>
            </c:numRef>
          </c:xVal>
          <c:yVal>
            <c:numRef>
              <c:f>'Hypersphere Data'!$BC$397:$BC$421</c:f>
              <c:numCache>
                <c:formatCode>General</c:formatCode>
                <c:ptCount val="25"/>
                <c:pt idx="0">
                  <c:v>-0.39916665653921</c:v>
                </c:pt>
                <c:pt idx="1">
                  <c:v>-0.315607292887288</c:v>
                </c:pt>
                <c:pt idx="2">
                  <c:v>-0.237742361779866</c:v>
                </c:pt>
                <c:pt idx="3">
                  <c:v>-0.170878229594034</c:v>
                </c:pt>
                <c:pt idx="4">
                  <c:v>-0.119571576440052</c:v>
                </c:pt>
                <c:pt idx="5">
                  <c:v>-0.0873188659421109</c:v>
                </c:pt>
                <c:pt idx="6">
                  <c:v>-0.0763180670205218</c:v>
                </c:pt>
                <c:pt idx="7">
                  <c:v>-0.0873188659421109</c:v>
                </c:pt>
                <c:pt idx="8">
                  <c:v>-0.119571576440052</c:v>
                </c:pt>
                <c:pt idx="9">
                  <c:v>-0.170878229594033</c:v>
                </c:pt>
                <c:pt idx="10">
                  <c:v>-0.237742361779866</c:v>
                </c:pt>
                <c:pt idx="11">
                  <c:v>-0.315607292887288</c:v>
                </c:pt>
                <c:pt idx="12">
                  <c:v>-0.39916665653921</c:v>
                </c:pt>
                <c:pt idx="13">
                  <c:v>-0.482726020191133</c:v>
                </c:pt>
                <c:pt idx="14">
                  <c:v>-0.560590951298554</c:v>
                </c:pt>
                <c:pt idx="15">
                  <c:v>-0.627455083484387</c:v>
                </c:pt>
                <c:pt idx="16">
                  <c:v>-0.678761736638369</c:v>
                </c:pt>
                <c:pt idx="17">
                  <c:v>-0.71101444713631</c:v>
                </c:pt>
                <c:pt idx="18">
                  <c:v>-0.722015246057899</c:v>
                </c:pt>
                <c:pt idx="19">
                  <c:v>-0.71101444713631</c:v>
                </c:pt>
                <c:pt idx="20">
                  <c:v>-0.678761736638369</c:v>
                </c:pt>
                <c:pt idx="21">
                  <c:v>-0.627455083484387</c:v>
                </c:pt>
                <c:pt idx="22">
                  <c:v>-0.560590951298555</c:v>
                </c:pt>
                <c:pt idx="23">
                  <c:v>-0.482726020191133</c:v>
                </c:pt>
                <c:pt idx="24">
                  <c:v>-0.39916665653921</c:v>
                </c:pt>
              </c:numCache>
            </c:numRef>
          </c:yVal>
          <c:smooth val="1"/>
        </c:ser>
        <c:ser>
          <c:idx val="4"/>
          <c:order val="4"/>
          <c:tx>
            <c:v>own class in F, not in L</c:v>
          </c:tx>
          <c:spPr>
            <a:ln w="15875" cap="rnd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Data'!$BE$397:$BE$421</c:f>
              <c:numCache>
                <c:formatCode>General</c:formatCode>
                <c:ptCount val="25"/>
                <c:pt idx="0">
                  <c:v>0.869565217391304</c:v>
                </c:pt>
                <c:pt idx="1">
                  <c:v>0.848461381433177</c:v>
                </c:pt>
                <c:pt idx="2">
                  <c:v>0.786588065103602</c:v>
                </c:pt>
                <c:pt idx="3">
                  <c:v>0.688161832659951</c:v>
                </c:pt>
                <c:pt idx="4">
                  <c:v>0.559890269186219</c:v>
                </c:pt>
                <c:pt idx="5">
                  <c:v>0.410514869754359</c:v>
                </c:pt>
                <c:pt idx="6">
                  <c:v>0.250215320981134</c:v>
                </c:pt>
                <c:pt idx="7">
                  <c:v>0.0899157722079083</c:v>
                </c:pt>
                <c:pt idx="8">
                  <c:v>-0.0594596272239514</c:v>
                </c:pt>
                <c:pt idx="9">
                  <c:v>-0.187731190697684</c:v>
                </c:pt>
                <c:pt idx="10">
                  <c:v>-0.286157423141335</c:v>
                </c:pt>
                <c:pt idx="11">
                  <c:v>-0.348030739470909</c:v>
                </c:pt>
                <c:pt idx="12">
                  <c:v>-0.369134575429037</c:v>
                </c:pt>
                <c:pt idx="13">
                  <c:v>-0.348030739470909</c:v>
                </c:pt>
                <c:pt idx="14">
                  <c:v>-0.286157423141335</c:v>
                </c:pt>
                <c:pt idx="15">
                  <c:v>-0.187731190697684</c:v>
                </c:pt>
                <c:pt idx="16">
                  <c:v>-0.0594596272239518</c:v>
                </c:pt>
                <c:pt idx="17">
                  <c:v>0.0899157722079083</c:v>
                </c:pt>
                <c:pt idx="18">
                  <c:v>0.250215320981134</c:v>
                </c:pt>
                <c:pt idx="19">
                  <c:v>0.410514869754359</c:v>
                </c:pt>
                <c:pt idx="20">
                  <c:v>0.559890269186219</c:v>
                </c:pt>
                <c:pt idx="21">
                  <c:v>0.688161832659951</c:v>
                </c:pt>
                <c:pt idx="22">
                  <c:v>0.786588065103602</c:v>
                </c:pt>
                <c:pt idx="23">
                  <c:v>0.848461381433177</c:v>
                </c:pt>
                <c:pt idx="24">
                  <c:v>0.869565217391304</c:v>
                </c:pt>
              </c:numCache>
            </c:numRef>
          </c:xVal>
          <c:yVal>
            <c:numRef>
              <c:f>'Hypersphere Data'!$BG$397:$BG$421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5"/>
          <c:order val="5"/>
          <c:tx>
            <c:v>own class in F, not in L</c:v>
          </c:tx>
          <c:spPr>
            <a:ln w="15875" cap="rnd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Data'!$BI$397:$BI$421</c:f>
              <c:numCache>
                <c:formatCode>General</c:formatCode>
                <c:ptCount val="25"/>
              </c:numCache>
            </c:numRef>
          </c:xVal>
          <c:yVal>
            <c:numRef>
              <c:f>'Hypersphere Data'!$BK$397:$BK$421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6"/>
          <c:order val="6"/>
          <c:tx>
            <c:v>own class in F, not in L</c:v>
          </c:tx>
          <c:spPr>
            <a:ln w="15875" cap="rnd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Data'!$BM$397:$BM$421</c:f>
              <c:numCache>
                <c:formatCode>General</c:formatCode>
                <c:ptCount val="25"/>
              </c:numCache>
            </c:numRef>
          </c:xVal>
          <c:yVal>
            <c:numRef>
              <c:f>'Hypersphere Data'!$BO$397:$BO$421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7"/>
          <c:order val="7"/>
          <c:tx>
            <c:v>own class in D (no longer counts)</c:v>
          </c:tx>
          <c:spPr>
            <a:ln w="15875" cap="rnd">
              <a:solidFill>
                <a:srgbClr val="A6A6A6"/>
              </a:solidFill>
              <a:prstDash val="sysDot"/>
              <a:round/>
            </a:ln>
          </c:spPr>
          <c:marker>
            <c:symbol val="none"/>
          </c:marker>
          <c:xVal>
            <c:numRef>
              <c:f>'Hypersphere Data'!$AO$397:$AO$421</c:f>
              <c:numCache>
                <c:formatCode>General</c:formatCode>
                <c:ptCount val="25"/>
                <c:pt idx="0">
                  <c:v>0.278152049323035</c:v>
                </c:pt>
                <c:pt idx="1">
                  <c:v>0.261513152520919</c:v>
                </c:pt>
                <c:pt idx="2">
                  <c:v>0.212730375434557</c:v>
                </c:pt>
                <c:pt idx="3">
                  <c:v>0.135128183705035</c:v>
                </c:pt>
                <c:pt idx="4">
                  <c:v>0.0339950384550344</c:v>
                </c:pt>
                <c:pt idx="5">
                  <c:v>-0.0837770035970828</c:v>
                </c:pt>
                <c:pt idx="6">
                  <c:v>-0.210161972412966</c:v>
                </c:pt>
                <c:pt idx="7">
                  <c:v>-0.336546941228849</c:v>
                </c:pt>
                <c:pt idx="8">
                  <c:v>-0.454318983280966</c:v>
                </c:pt>
                <c:pt idx="9">
                  <c:v>-0.555452128530967</c:v>
                </c:pt>
                <c:pt idx="10">
                  <c:v>-0.633054320260489</c:v>
                </c:pt>
                <c:pt idx="11">
                  <c:v>-0.681837097346851</c:v>
                </c:pt>
                <c:pt idx="12">
                  <c:v>-0.698475994148967</c:v>
                </c:pt>
                <c:pt idx="13">
                  <c:v>-0.681837097346851</c:v>
                </c:pt>
                <c:pt idx="14">
                  <c:v>-0.633054320260489</c:v>
                </c:pt>
                <c:pt idx="15">
                  <c:v>-0.555452128530968</c:v>
                </c:pt>
                <c:pt idx="16">
                  <c:v>-0.454318983280967</c:v>
                </c:pt>
                <c:pt idx="17">
                  <c:v>-0.336546941228849</c:v>
                </c:pt>
                <c:pt idx="18">
                  <c:v>-0.210161972412966</c:v>
                </c:pt>
                <c:pt idx="19">
                  <c:v>-0.083777003597083</c:v>
                </c:pt>
                <c:pt idx="20">
                  <c:v>0.0339950384550344</c:v>
                </c:pt>
                <c:pt idx="21">
                  <c:v>0.135128183705035</c:v>
                </c:pt>
                <c:pt idx="22">
                  <c:v>0.212730375434557</c:v>
                </c:pt>
                <c:pt idx="23">
                  <c:v>0.261513152520918</c:v>
                </c:pt>
                <c:pt idx="24">
                  <c:v>0.278152049323035</c:v>
                </c:pt>
              </c:numCache>
            </c:numRef>
          </c:xVal>
          <c:yVal>
            <c:numRef>
              <c:f>'Hypersphere Data'!$AR$397:$AR$421</c:f>
              <c:numCache>
                <c:formatCode>General</c:formatCode>
                <c:ptCount val="25"/>
                <c:pt idx="0">
                  <c:v>0.284061923715263</c:v>
                </c:pt>
                <c:pt idx="1">
                  <c:v>0.410446892531146</c:v>
                </c:pt>
                <c:pt idx="2">
                  <c:v>0.528218934583263</c:v>
                </c:pt>
                <c:pt idx="3">
                  <c:v>0.629352079833264</c:v>
                </c:pt>
                <c:pt idx="4">
                  <c:v>0.706954271562786</c:v>
                </c:pt>
                <c:pt idx="5">
                  <c:v>0.755737048649147</c:v>
                </c:pt>
                <c:pt idx="6">
                  <c:v>0.772375945451264</c:v>
                </c:pt>
                <c:pt idx="7">
                  <c:v>0.755737048649147</c:v>
                </c:pt>
                <c:pt idx="8">
                  <c:v>0.706954271562786</c:v>
                </c:pt>
                <c:pt idx="9">
                  <c:v>0.629352079833264</c:v>
                </c:pt>
                <c:pt idx="10">
                  <c:v>0.528218934583263</c:v>
                </c:pt>
                <c:pt idx="11">
                  <c:v>0.410446892531146</c:v>
                </c:pt>
                <c:pt idx="12">
                  <c:v>0.284061923715263</c:v>
                </c:pt>
                <c:pt idx="13">
                  <c:v>0.15767695489938</c:v>
                </c:pt>
                <c:pt idx="14">
                  <c:v>0.0399049128472626</c:v>
                </c:pt>
                <c:pt idx="15">
                  <c:v>-0.0612282324027383</c:v>
                </c:pt>
                <c:pt idx="16">
                  <c:v>-0.13883042413226</c:v>
                </c:pt>
                <c:pt idx="17">
                  <c:v>-0.187613201218622</c:v>
                </c:pt>
                <c:pt idx="18">
                  <c:v>-0.204252098020738</c:v>
                </c:pt>
                <c:pt idx="19">
                  <c:v>-0.187613201218622</c:v>
                </c:pt>
                <c:pt idx="20">
                  <c:v>-0.13883042413226</c:v>
                </c:pt>
                <c:pt idx="21">
                  <c:v>-0.0612282324027386</c:v>
                </c:pt>
                <c:pt idx="22">
                  <c:v>0.0399049128472622</c:v>
                </c:pt>
                <c:pt idx="23">
                  <c:v>0.157676954899379</c:v>
                </c:pt>
                <c:pt idx="24">
                  <c:v>0.284061923715263</c:v>
                </c:pt>
              </c:numCache>
            </c:numRef>
          </c:yVal>
          <c:smooth val="1"/>
        </c:ser>
        <c:ser>
          <c:idx val="8"/>
          <c:order val="8"/>
          <c:tx>
            <c:v>own class in D (no longer counts)</c:v>
          </c:tx>
          <c:spPr>
            <a:ln w="15875" cap="rnd">
              <a:solidFill>
                <a:srgbClr val="A6A6A6"/>
              </a:solidFill>
              <a:prstDash val="sysDot"/>
              <a:round/>
            </a:ln>
          </c:spPr>
          <c:marker>
            <c:symbol val="none"/>
          </c:marker>
          <c:xVal>
            <c:numRef>
              <c:f>'Hypersphere Data'!$AS$397:$AS$421</c:f>
              <c:numCache>
                <c:formatCode>General</c:formatCode>
                <c:ptCount val="25"/>
                <c:pt idx="0">
                  <c:v>0.440388874609818</c:v>
                </c:pt>
                <c:pt idx="1">
                  <c:v>0.41822189204057</c:v>
                </c:pt>
                <c:pt idx="2">
                  <c:v>0.353231587562249</c:v>
                </c:pt>
                <c:pt idx="3">
                  <c:v>0.249846943023497</c:v>
                </c:pt>
                <c:pt idx="4">
                  <c:v>0.115113451098426</c:v>
                </c:pt>
                <c:pt idx="5">
                  <c:v>-0.0417870233958931</c:v>
                </c:pt>
                <c:pt idx="6">
                  <c:v>-0.210161972412966</c:v>
                </c:pt>
                <c:pt idx="7">
                  <c:v>-0.378536921430039</c:v>
                </c:pt>
                <c:pt idx="8">
                  <c:v>-0.535437395924358</c:v>
                </c:pt>
                <c:pt idx="9">
                  <c:v>-0.670170887849429</c:v>
                </c:pt>
                <c:pt idx="10">
                  <c:v>-0.773555532388181</c:v>
                </c:pt>
                <c:pt idx="11">
                  <c:v>-0.838545836866502</c:v>
                </c:pt>
                <c:pt idx="12">
                  <c:v>-0.86071281943575</c:v>
                </c:pt>
                <c:pt idx="13">
                  <c:v>-0.838545836866502</c:v>
                </c:pt>
                <c:pt idx="14">
                  <c:v>-0.773555532388181</c:v>
                </c:pt>
                <c:pt idx="15">
                  <c:v>-0.670170887849429</c:v>
                </c:pt>
                <c:pt idx="16">
                  <c:v>-0.535437395924358</c:v>
                </c:pt>
                <c:pt idx="17">
                  <c:v>-0.378536921430039</c:v>
                </c:pt>
                <c:pt idx="18">
                  <c:v>-0.210161972412966</c:v>
                </c:pt>
                <c:pt idx="19">
                  <c:v>-0.0417870233958934</c:v>
                </c:pt>
                <c:pt idx="20">
                  <c:v>0.115113451098426</c:v>
                </c:pt>
                <c:pt idx="21">
                  <c:v>0.249846943023497</c:v>
                </c:pt>
                <c:pt idx="22">
                  <c:v>0.353231587562249</c:v>
                </c:pt>
                <c:pt idx="23">
                  <c:v>0.41822189204057</c:v>
                </c:pt>
                <c:pt idx="24">
                  <c:v>0.440388874609818</c:v>
                </c:pt>
              </c:numCache>
            </c:numRef>
          </c:xVal>
          <c:yVal>
            <c:numRef>
              <c:f>'Hypersphere Data'!$AV$397:$AV$421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9"/>
          <c:order val="9"/>
          <c:tx>
            <c:v>own class in D (no longer counts)</c:v>
          </c:tx>
          <c:spPr>
            <a:ln w="15875" cap="rnd">
              <a:solidFill>
                <a:srgbClr val="A6A6A6"/>
              </a:solidFill>
              <a:prstDash val="sysDot"/>
              <a:round/>
            </a:ln>
          </c:spPr>
          <c:marker>
            <c:symbol val="none"/>
          </c:marker>
          <c:xVal>
            <c:numRef>
              <c:f>'Hypersphere Data'!$AW$397:$AW$421</c:f>
              <c:numCache>
                <c:formatCode>General</c:formatCode>
                <c:ptCount val="25"/>
              </c:numCache>
            </c:numRef>
          </c:xVal>
          <c:yVal>
            <c:numRef>
              <c:f>'Hypersphere Data'!$AZ$397:$AZ$421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0"/>
          <c:order val="10"/>
          <c:tx>
            <c:v>own class in D (no longer counts)</c:v>
          </c:tx>
          <c:spPr>
            <a:ln w="15875" cap="rnd">
              <a:solidFill>
                <a:srgbClr val="A6A6A6"/>
              </a:solidFill>
              <a:prstDash val="sysDot"/>
              <a:round/>
            </a:ln>
          </c:spPr>
          <c:marker>
            <c:symbol val="none"/>
          </c:marker>
          <c:xVal>
            <c:numRef>
              <c:f>'Hypersphere Data'!$BA$397:$BA$421</c:f>
              <c:numCache>
                <c:formatCode>General</c:formatCode>
                <c:ptCount val="25"/>
                <c:pt idx="0">
                  <c:v>0.593056286803824</c:v>
                </c:pt>
                <c:pt idx="1">
                  <c:v>0.582055487882235</c:v>
                </c:pt>
                <c:pt idx="2">
                  <c:v>0.549802777384294</c:v>
                </c:pt>
                <c:pt idx="3">
                  <c:v>0.498496124230313</c:v>
                </c:pt>
                <c:pt idx="4">
                  <c:v>0.43163199204448</c:v>
                </c:pt>
                <c:pt idx="5">
                  <c:v>0.353767060937058</c:v>
                </c:pt>
                <c:pt idx="6">
                  <c:v>0.270207697285136</c:v>
                </c:pt>
                <c:pt idx="7">
                  <c:v>0.186648333633213</c:v>
                </c:pt>
                <c:pt idx="8">
                  <c:v>0.108783402525792</c:v>
                </c:pt>
                <c:pt idx="9">
                  <c:v>0.0419192703399591</c:v>
                </c:pt>
                <c:pt idx="10">
                  <c:v>-0.00938738281402285</c:v>
                </c:pt>
                <c:pt idx="11">
                  <c:v>-0.0416400933119635</c:v>
                </c:pt>
                <c:pt idx="12">
                  <c:v>-0.0526408922335526</c:v>
                </c:pt>
                <c:pt idx="13">
                  <c:v>-0.0416400933119636</c:v>
                </c:pt>
                <c:pt idx="14">
                  <c:v>-0.0093873828140229</c:v>
                </c:pt>
                <c:pt idx="15">
                  <c:v>0.041919270339959</c:v>
                </c:pt>
                <c:pt idx="16">
                  <c:v>0.108783402525791</c:v>
                </c:pt>
                <c:pt idx="17">
                  <c:v>0.186648333633213</c:v>
                </c:pt>
                <c:pt idx="18">
                  <c:v>0.270207697285136</c:v>
                </c:pt>
                <c:pt idx="19">
                  <c:v>0.353767060937058</c:v>
                </c:pt>
                <c:pt idx="20">
                  <c:v>0.43163199204448</c:v>
                </c:pt>
                <c:pt idx="21">
                  <c:v>0.498496124230312</c:v>
                </c:pt>
                <c:pt idx="22">
                  <c:v>0.549802777384294</c:v>
                </c:pt>
                <c:pt idx="23">
                  <c:v>0.582055487882235</c:v>
                </c:pt>
                <c:pt idx="24">
                  <c:v>0.593056286803824</c:v>
                </c:pt>
              </c:numCache>
            </c:numRef>
          </c:xVal>
          <c:yVal>
            <c:numRef>
              <c:f>'Hypersphere Data'!$BD$397:$BD$421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1"/>
          <c:order val="11"/>
          <c:tx>
            <c:v>own class in D (no longer counts)</c:v>
          </c:tx>
          <c:spPr>
            <a:ln w="15875" cap="rnd">
              <a:solidFill>
                <a:srgbClr val="A6A6A6"/>
              </a:solidFill>
              <a:prstDash val="sysDot"/>
              <a:round/>
            </a:ln>
          </c:spPr>
          <c:marker>
            <c:symbol val="none"/>
          </c:marker>
          <c:xVal>
            <c:numRef>
              <c:f>'Hypersphere Data'!$BE$397:$BE$421</c:f>
              <c:numCache>
                <c:formatCode>General</c:formatCode>
                <c:ptCount val="25"/>
                <c:pt idx="0">
                  <c:v>0.869565217391304</c:v>
                </c:pt>
                <c:pt idx="1">
                  <c:v>0.848461381433177</c:v>
                </c:pt>
                <c:pt idx="2">
                  <c:v>0.786588065103602</c:v>
                </c:pt>
                <c:pt idx="3">
                  <c:v>0.688161832659951</c:v>
                </c:pt>
                <c:pt idx="4">
                  <c:v>0.559890269186219</c:v>
                </c:pt>
                <c:pt idx="5">
                  <c:v>0.410514869754359</c:v>
                </c:pt>
                <c:pt idx="6">
                  <c:v>0.250215320981134</c:v>
                </c:pt>
                <c:pt idx="7">
                  <c:v>0.0899157722079083</c:v>
                </c:pt>
                <c:pt idx="8">
                  <c:v>-0.0594596272239514</c:v>
                </c:pt>
                <c:pt idx="9">
                  <c:v>-0.187731190697684</c:v>
                </c:pt>
                <c:pt idx="10">
                  <c:v>-0.286157423141335</c:v>
                </c:pt>
                <c:pt idx="11">
                  <c:v>-0.348030739470909</c:v>
                </c:pt>
                <c:pt idx="12">
                  <c:v>-0.369134575429037</c:v>
                </c:pt>
                <c:pt idx="13">
                  <c:v>-0.348030739470909</c:v>
                </c:pt>
                <c:pt idx="14">
                  <c:v>-0.286157423141335</c:v>
                </c:pt>
                <c:pt idx="15">
                  <c:v>-0.187731190697684</c:v>
                </c:pt>
                <c:pt idx="16">
                  <c:v>-0.0594596272239518</c:v>
                </c:pt>
                <c:pt idx="17">
                  <c:v>0.0899157722079083</c:v>
                </c:pt>
                <c:pt idx="18">
                  <c:v>0.250215320981134</c:v>
                </c:pt>
                <c:pt idx="19">
                  <c:v>0.410514869754359</c:v>
                </c:pt>
                <c:pt idx="20">
                  <c:v>0.559890269186219</c:v>
                </c:pt>
                <c:pt idx="21">
                  <c:v>0.688161832659951</c:v>
                </c:pt>
                <c:pt idx="22">
                  <c:v>0.786588065103602</c:v>
                </c:pt>
                <c:pt idx="23">
                  <c:v>0.848461381433177</c:v>
                </c:pt>
                <c:pt idx="24">
                  <c:v>0.869565217391304</c:v>
                </c:pt>
              </c:numCache>
            </c:numRef>
          </c:xVal>
          <c:yVal>
            <c:numRef>
              <c:f>'Hypersphere Data'!$BH$397:$BH$421</c:f>
              <c:numCache>
                <c:formatCode>General</c:formatCode>
                <c:ptCount val="25"/>
                <c:pt idx="0">
                  <c:v>0.143973855841395</c:v>
                </c:pt>
                <c:pt idx="1">
                  <c:v>0.304273404614621</c:v>
                </c:pt>
                <c:pt idx="2">
                  <c:v>0.453648804046481</c:v>
                </c:pt>
                <c:pt idx="3">
                  <c:v>0.581920367520213</c:v>
                </c:pt>
                <c:pt idx="4">
                  <c:v>0.680346599963864</c:v>
                </c:pt>
                <c:pt idx="5">
                  <c:v>0.742219916293438</c:v>
                </c:pt>
                <c:pt idx="6">
                  <c:v>0.763323752251566</c:v>
                </c:pt>
                <c:pt idx="7">
                  <c:v>0.742219916293438</c:v>
                </c:pt>
                <c:pt idx="8">
                  <c:v>0.680346599963864</c:v>
                </c:pt>
                <c:pt idx="9">
                  <c:v>0.581920367520213</c:v>
                </c:pt>
                <c:pt idx="10">
                  <c:v>0.453648804046481</c:v>
                </c:pt>
                <c:pt idx="11">
                  <c:v>0.304273404614621</c:v>
                </c:pt>
                <c:pt idx="12">
                  <c:v>0.143973855841395</c:v>
                </c:pt>
                <c:pt idx="13">
                  <c:v>-0.0163256929318302</c:v>
                </c:pt>
                <c:pt idx="14">
                  <c:v>-0.16570109236369</c:v>
                </c:pt>
                <c:pt idx="15">
                  <c:v>-0.293972655837422</c:v>
                </c:pt>
                <c:pt idx="16">
                  <c:v>-0.392398888281073</c:v>
                </c:pt>
                <c:pt idx="17">
                  <c:v>-0.454272204610648</c:v>
                </c:pt>
                <c:pt idx="18">
                  <c:v>-0.475376040568775</c:v>
                </c:pt>
                <c:pt idx="19">
                  <c:v>-0.454272204610648</c:v>
                </c:pt>
                <c:pt idx="20">
                  <c:v>-0.392398888281073</c:v>
                </c:pt>
                <c:pt idx="21">
                  <c:v>-0.293972655837422</c:v>
                </c:pt>
                <c:pt idx="22">
                  <c:v>-0.16570109236369</c:v>
                </c:pt>
                <c:pt idx="23">
                  <c:v>-0.0163256929318307</c:v>
                </c:pt>
                <c:pt idx="24">
                  <c:v>0.143973855841395</c:v>
                </c:pt>
              </c:numCache>
            </c:numRef>
          </c:yVal>
          <c:smooth val="1"/>
        </c:ser>
        <c:ser>
          <c:idx val="12"/>
          <c:order val="12"/>
          <c:tx>
            <c:v>own class in D (no longer counts)</c:v>
          </c:tx>
          <c:spPr>
            <a:ln w="15875" cap="rnd">
              <a:solidFill>
                <a:srgbClr val="A6A6A6"/>
              </a:solidFill>
              <a:prstDash val="sysDot"/>
              <a:round/>
            </a:ln>
          </c:spPr>
          <c:marker>
            <c:symbol val="none"/>
          </c:marker>
          <c:xVal>
            <c:numRef>
              <c:f>'Hypersphere Data'!$BI$397:$BI$421</c:f>
              <c:numCache>
                <c:formatCode>General</c:formatCode>
                <c:ptCount val="25"/>
              </c:numCache>
            </c:numRef>
          </c:xVal>
          <c:yVal>
            <c:numRef>
              <c:f>'Hypersphere Data'!$BL$397:$BL$421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3"/>
          <c:order val="13"/>
          <c:tx>
            <c:v>own class in D (no longer counts)</c:v>
          </c:tx>
          <c:spPr>
            <a:ln w="15875" cap="rnd">
              <a:solidFill>
                <a:srgbClr val="A6A6A6"/>
              </a:solidFill>
              <a:prstDash val="sysDot"/>
              <a:round/>
            </a:ln>
          </c:spPr>
          <c:marker>
            <c:symbol val="none"/>
          </c:marker>
          <c:xVal>
            <c:numRef>
              <c:f>'Hypersphere Data'!$BM$397:$BM$421</c:f>
              <c:numCache>
                <c:formatCode>General</c:formatCode>
                <c:ptCount val="25"/>
              </c:numCache>
            </c:numRef>
          </c:xVal>
          <c:yVal>
            <c:numRef>
              <c:f>'Hypersphere Data'!$BP$397:$BP$421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4"/>
          <c:order val="14"/>
          <c:tx>
            <c:v>sphere of a member of L</c:v>
          </c:tx>
          <c:spPr>
            <a:ln w="28575" cap="rnd">
              <a:solidFill>
                <a:srgbClr val="BF8F00"/>
              </a:solidFill>
              <a:round/>
            </a:ln>
          </c:spPr>
          <c:marker>
            <c:symbol val="none"/>
          </c:marker>
          <c:xVal>
            <c:numRef>
              <c:f>'Hypersphere Data'!$AO$397:$AO$421</c:f>
              <c:numCache>
                <c:formatCode>General</c:formatCode>
                <c:ptCount val="25"/>
                <c:pt idx="0">
                  <c:v>0.278152049323035</c:v>
                </c:pt>
                <c:pt idx="1">
                  <c:v>0.261513152520919</c:v>
                </c:pt>
                <c:pt idx="2">
                  <c:v>0.212730375434557</c:v>
                </c:pt>
                <c:pt idx="3">
                  <c:v>0.135128183705035</c:v>
                </c:pt>
                <c:pt idx="4">
                  <c:v>0.0339950384550344</c:v>
                </c:pt>
                <c:pt idx="5">
                  <c:v>-0.0837770035970828</c:v>
                </c:pt>
                <c:pt idx="6">
                  <c:v>-0.210161972412966</c:v>
                </c:pt>
                <c:pt idx="7">
                  <c:v>-0.336546941228849</c:v>
                </c:pt>
                <c:pt idx="8">
                  <c:v>-0.454318983280966</c:v>
                </c:pt>
                <c:pt idx="9">
                  <c:v>-0.555452128530967</c:v>
                </c:pt>
                <c:pt idx="10">
                  <c:v>-0.633054320260489</c:v>
                </c:pt>
                <c:pt idx="11">
                  <c:v>-0.681837097346851</c:v>
                </c:pt>
                <c:pt idx="12">
                  <c:v>-0.698475994148967</c:v>
                </c:pt>
                <c:pt idx="13">
                  <c:v>-0.681837097346851</c:v>
                </c:pt>
                <c:pt idx="14">
                  <c:v>-0.633054320260489</c:v>
                </c:pt>
                <c:pt idx="15">
                  <c:v>-0.555452128530968</c:v>
                </c:pt>
                <c:pt idx="16">
                  <c:v>-0.454318983280967</c:v>
                </c:pt>
                <c:pt idx="17">
                  <c:v>-0.336546941228849</c:v>
                </c:pt>
                <c:pt idx="18">
                  <c:v>-0.210161972412966</c:v>
                </c:pt>
                <c:pt idx="19">
                  <c:v>-0.083777003597083</c:v>
                </c:pt>
                <c:pt idx="20">
                  <c:v>0.0339950384550344</c:v>
                </c:pt>
                <c:pt idx="21">
                  <c:v>0.135128183705035</c:v>
                </c:pt>
                <c:pt idx="22">
                  <c:v>0.212730375434557</c:v>
                </c:pt>
                <c:pt idx="23">
                  <c:v>0.261513152520918</c:v>
                </c:pt>
                <c:pt idx="24">
                  <c:v>0.278152049323035</c:v>
                </c:pt>
              </c:numCache>
            </c:numRef>
          </c:xVal>
          <c:yVal>
            <c:numRef>
              <c:f>'Hypersphere Data'!$AP$397:$AP$421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5"/>
          <c:order val="15"/>
          <c:tx>
            <c:v>sphere of a member of L</c:v>
          </c:tx>
          <c:spPr>
            <a:ln w="28575" cap="rnd">
              <a:solidFill>
                <a:srgbClr val="BF8F00"/>
              </a:solidFill>
              <a:round/>
            </a:ln>
          </c:spPr>
          <c:marker>
            <c:symbol val="none"/>
          </c:marker>
          <c:xVal>
            <c:numRef>
              <c:f>'Hypersphere Data'!$AS$397:$AS$421</c:f>
              <c:numCache>
                <c:formatCode>General</c:formatCode>
                <c:ptCount val="25"/>
                <c:pt idx="0">
                  <c:v>0.440388874609818</c:v>
                </c:pt>
                <c:pt idx="1">
                  <c:v>0.41822189204057</c:v>
                </c:pt>
                <c:pt idx="2">
                  <c:v>0.353231587562249</c:v>
                </c:pt>
                <c:pt idx="3">
                  <c:v>0.249846943023497</c:v>
                </c:pt>
                <c:pt idx="4">
                  <c:v>0.115113451098426</c:v>
                </c:pt>
                <c:pt idx="5">
                  <c:v>-0.0417870233958931</c:v>
                </c:pt>
                <c:pt idx="6">
                  <c:v>-0.210161972412966</c:v>
                </c:pt>
                <c:pt idx="7">
                  <c:v>-0.378536921430039</c:v>
                </c:pt>
                <c:pt idx="8">
                  <c:v>-0.535437395924358</c:v>
                </c:pt>
                <c:pt idx="9">
                  <c:v>-0.670170887849429</c:v>
                </c:pt>
                <c:pt idx="10">
                  <c:v>-0.773555532388181</c:v>
                </c:pt>
                <c:pt idx="11">
                  <c:v>-0.838545836866502</c:v>
                </c:pt>
                <c:pt idx="12">
                  <c:v>-0.86071281943575</c:v>
                </c:pt>
                <c:pt idx="13">
                  <c:v>-0.838545836866502</c:v>
                </c:pt>
                <c:pt idx="14">
                  <c:v>-0.773555532388181</c:v>
                </c:pt>
                <c:pt idx="15">
                  <c:v>-0.670170887849429</c:v>
                </c:pt>
                <c:pt idx="16">
                  <c:v>-0.535437395924358</c:v>
                </c:pt>
                <c:pt idx="17">
                  <c:v>-0.378536921430039</c:v>
                </c:pt>
                <c:pt idx="18">
                  <c:v>-0.210161972412966</c:v>
                </c:pt>
                <c:pt idx="19">
                  <c:v>-0.0417870233958934</c:v>
                </c:pt>
                <c:pt idx="20">
                  <c:v>0.115113451098426</c:v>
                </c:pt>
                <c:pt idx="21">
                  <c:v>0.249846943023497</c:v>
                </c:pt>
                <c:pt idx="22">
                  <c:v>0.353231587562249</c:v>
                </c:pt>
                <c:pt idx="23">
                  <c:v>0.41822189204057</c:v>
                </c:pt>
                <c:pt idx="24">
                  <c:v>0.440388874609818</c:v>
                </c:pt>
              </c:numCache>
            </c:numRef>
          </c:xVal>
          <c:yVal>
            <c:numRef>
              <c:f>'Hypersphere Data'!$AT$397:$AT$421</c:f>
              <c:numCache>
                <c:formatCode>General</c:formatCode>
                <c:ptCount val="25"/>
                <c:pt idx="0">
                  <c:v>-0.12182509842848</c:v>
                </c:pt>
                <c:pt idx="1">
                  <c:v>0.0465498505885934</c:v>
                </c:pt>
                <c:pt idx="2">
                  <c:v>0.203450325082912</c:v>
                </c:pt>
                <c:pt idx="3">
                  <c:v>0.338183817007983</c:v>
                </c:pt>
                <c:pt idx="4">
                  <c:v>0.441568461546735</c:v>
                </c:pt>
                <c:pt idx="5">
                  <c:v>0.506558766025056</c:v>
                </c:pt>
                <c:pt idx="6">
                  <c:v>0.528725748594304</c:v>
                </c:pt>
                <c:pt idx="7">
                  <c:v>0.506558766025056</c:v>
                </c:pt>
                <c:pt idx="8">
                  <c:v>0.441568461546735</c:v>
                </c:pt>
                <c:pt idx="9">
                  <c:v>0.338183817007983</c:v>
                </c:pt>
                <c:pt idx="10">
                  <c:v>0.203450325082912</c:v>
                </c:pt>
                <c:pt idx="11">
                  <c:v>0.0465498505885936</c:v>
                </c:pt>
                <c:pt idx="12">
                  <c:v>-0.121825098428479</c:v>
                </c:pt>
                <c:pt idx="13">
                  <c:v>-0.290200047445553</c:v>
                </c:pt>
                <c:pt idx="14">
                  <c:v>-0.447100521939871</c:v>
                </c:pt>
                <c:pt idx="15">
                  <c:v>-0.581834013864942</c:v>
                </c:pt>
                <c:pt idx="16">
                  <c:v>-0.685218658403694</c:v>
                </c:pt>
                <c:pt idx="17">
                  <c:v>-0.750208962882015</c:v>
                </c:pt>
                <c:pt idx="18">
                  <c:v>-0.772375945451263</c:v>
                </c:pt>
                <c:pt idx="19">
                  <c:v>-0.750208962882015</c:v>
                </c:pt>
                <c:pt idx="20">
                  <c:v>-0.685218658403694</c:v>
                </c:pt>
                <c:pt idx="21">
                  <c:v>-0.581834013864943</c:v>
                </c:pt>
                <c:pt idx="22">
                  <c:v>-0.447100521939872</c:v>
                </c:pt>
                <c:pt idx="23">
                  <c:v>-0.290200047445553</c:v>
                </c:pt>
                <c:pt idx="24">
                  <c:v>-0.12182509842848</c:v>
                </c:pt>
              </c:numCache>
            </c:numRef>
          </c:yVal>
          <c:smooth val="1"/>
        </c:ser>
        <c:ser>
          <c:idx val="16"/>
          <c:order val="16"/>
          <c:tx>
            <c:v>sphere of a member of L</c:v>
          </c:tx>
          <c:spPr>
            <a:ln w="28575" cap="rnd">
              <a:solidFill>
                <a:srgbClr val="BF8F00"/>
              </a:solidFill>
              <a:round/>
            </a:ln>
          </c:spPr>
          <c:marker>
            <c:symbol val="none"/>
          </c:marker>
          <c:xVal>
            <c:numRef>
              <c:f>'Hypersphere Data'!$AW$397:$AW$421</c:f>
              <c:numCache>
                <c:formatCode>General</c:formatCode>
                <c:ptCount val="25"/>
              </c:numCache>
            </c:numRef>
          </c:xVal>
          <c:yVal>
            <c:numRef>
              <c:f>'Hypersphere Data'!$AX$397:$AX$421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7"/>
          <c:order val="17"/>
          <c:tx>
            <c:v>sphere of a member of L</c:v>
          </c:tx>
          <c:spPr>
            <a:ln w="28575" cap="rnd">
              <a:solidFill>
                <a:srgbClr val="BF8F00"/>
              </a:solidFill>
              <a:round/>
            </a:ln>
          </c:spPr>
          <c:marker>
            <c:symbol val="none"/>
          </c:marker>
          <c:xVal>
            <c:numRef>
              <c:f>'Hypersphere Data'!$BA$397:$BA$421</c:f>
              <c:numCache>
                <c:formatCode>General</c:formatCode>
                <c:ptCount val="25"/>
                <c:pt idx="0">
                  <c:v>0.593056286803824</c:v>
                </c:pt>
                <c:pt idx="1">
                  <c:v>0.582055487882235</c:v>
                </c:pt>
                <c:pt idx="2">
                  <c:v>0.549802777384294</c:v>
                </c:pt>
                <c:pt idx="3">
                  <c:v>0.498496124230313</c:v>
                </c:pt>
                <c:pt idx="4">
                  <c:v>0.43163199204448</c:v>
                </c:pt>
                <c:pt idx="5">
                  <c:v>0.353767060937058</c:v>
                </c:pt>
                <c:pt idx="6">
                  <c:v>0.270207697285136</c:v>
                </c:pt>
                <c:pt idx="7">
                  <c:v>0.186648333633213</c:v>
                </c:pt>
                <c:pt idx="8">
                  <c:v>0.108783402525792</c:v>
                </c:pt>
                <c:pt idx="9">
                  <c:v>0.0419192703399591</c:v>
                </c:pt>
                <c:pt idx="10">
                  <c:v>-0.00938738281402285</c:v>
                </c:pt>
                <c:pt idx="11">
                  <c:v>-0.0416400933119635</c:v>
                </c:pt>
                <c:pt idx="12">
                  <c:v>-0.0526408922335526</c:v>
                </c:pt>
                <c:pt idx="13">
                  <c:v>-0.0416400933119636</c:v>
                </c:pt>
                <c:pt idx="14">
                  <c:v>-0.0093873828140229</c:v>
                </c:pt>
                <c:pt idx="15">
                  <c:v>0.041919270339959</c:v>
                </c:pt>
                <c:pt idx="16">
                  <c:v>0.108783402525791</c:v>
                </c:pt>
                <c:pt idx="17">
                  <c:v>0.186648333633213</c:v>
                </c:pt>
                <c:pt idx="18">
                  <c:v>0.270207697285136</c:v>
                </c:pt>
                <c:pt idx="19">
                  <c:v>0.353767060937058</c:v>
                </c:pt>
                <c:pt idx="20">
                  <c:v>0.43163199204448</c:v>
                </c:pt>
                <c:pt idx="21">
                  <c:v>0.498496124230312</c:v>
                </c:pt>
                <c:pt idx="22">
                  <c:v>0.549802777384294</c:v>
                </c:pt>
                <c:pt idx="23">
                  <c:v>0.582055487882235</c:v>
                </c:pt>
                <c:pt idx="24">
                  <c:v>0.593056286803824</c:v>
                </c:pt>
              </c:numCache>
            </c:numRef>
          </c:xVal>
          <c:yVal>
            <c:numRef>
              <c:f>'Hypersphere Data'!$BB$397:$BB$421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8"/>
          <c:order val="18"/>
          <c:tx>
            <c:v>sphere of a member of L</c:v>
          </c:tx>
          <c:spPr>
            <a:ln w="28575" cap="rnd">
              <a:solidFill>
                <a:srgbClr val="BF8F00"/>
              </a:solidFill>
              <a:round/>
            </a:ln>
          </c:spPr>
          <c:marker>
            <c:symbol val="none"/>
          </c:marker>
          <c:xVal>
            <c:numRef>
              <c:f>'Hypersphere Data'!$BE$397:$BE$421</c:f>
              <c:numCache>
                <c:formatCode>General</c:formatCode>
                <c:ptCount val="25"/>
                <c:pt idx="0">
                  <c:v>0.869565217391304</c:v>
                </c:pt>
                <c:pt idx="1">
                  <c:v>0.848461381433177</c:v>
                </c:pt>
                <c:pt idx="2">
                  <c:v>0.786588065103602</c:v>
                </c:pt>
                <c:pt idx="3">
                  <c:v>0.688161832659951</c:v>
                </c:pt>
                <c:pt idx="4">
                  <c:v>0.559890269186219</c:v>
                </c:pt>
                <c:pt idx="5">
                  <c:v>0.410514869754359</c:v>
                </c:pt>
                <c:pt idx="6">
                  <c:v>0.250215320981134</c:v>
                </c:pt>
                <c:pt idx="7">
                  <c:v>0.0899157722079083</c:v>
                </c:pt>
                <c:pt idx="8">
                  <c:v>-0.0594596272239514</c:v>
                </c:pt>
                <c:pt idx="9">
                  <c:v>-0.187731190697684</c:v>
                </c:pt>
                <c:pt idx="10">
                  <c:v>-0.286157423141335</c:v>
                </c:pt>
                <c:pt idx="11">
                  <c:v>-0.348030739470909</c:v>
                </c:pt>
                <c:pt idx="12">
                  <c:v>-0.369134575429037</c:v>
                </c:pt>
                <c:pt idx="13">
                  <c:v>-0.348030739470909</c:v>
                </c:pt>
                <c:pt idx="14">
                  <c:v>-0.286157423141335</c:v>
                </c:pt>
                <c:pt idx="15">
                  <c:v>-0.187731190697684</c:v>
                </c:pt>
                <c:pt idx="16">
                  <c:v>-0.0594596272239518</c:v>
                </c:pt>
                <c:pt idx="17">
                  <c:v>0.0899157722079083</c:v>
                </c:pt>
                <c:pt idx="18">
                  <c:v>0.250215320981134</c:v>
                </c:pt>
                <c:pt idx="19">
                  <c:v>0.410514869754359</c:v>
                </c:pt>
                <c:pt idx="20">
                  <c:v>0.559890269186219</c:v>
                </c:pt>
                <c:pt idx="21">
                  <c:v>0.688161832659951</c:v>
                </c:pt>
                <c:pt idx="22">
                  <c:v>0.786588065103602</c:v>
                </c:pt>
                <c:pt idx="23">
                  <c:v>0.848461381433177</c:v>
                </c:pt>
                <c:pt idx="24">
                  <c:v>0.869565217391304</c:v>
                </c:pt>
              </c:numCache>
            </c:numRef>
          </c:xVal>
          <c:yVal>
            <c:numRef>
              <c:f>'Hypersphere Data'!$BF$397:$BF$421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9"/>
          <c:order val="19"/>
          <c:tx>
            <c:v>sphere of a member of L</c:v>
          </c:tx>
          <c:spPr>
            <a:ln w="28575" cap="rnd">
              <a:solidFill>
                <a:srgbClr val="BF8F00"/>
              </a:solidFill>
              <a:round/>
            </a:ln>
          </c:spPr>
          <c:marker>
            <c:symbol val="none"/>
          </c:marker>
          <c:xVal>
            <c:numRef>
              <c:f>'Hypersphere Data'!$BI$397:$BI$421</c:f>
              <c:numCache>
                <c:formatCode>General</c:formatCode>
                <c:ptCount val="25"/>
              </c:numCache>
            </c:numRef>
          </c:xVal>
          <c:yVal>
            <c:numRef>
              <c:f>'Hypersphere Data'!$BJ$397:$BJ$421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20"/>
          <c:order val="20"/>
          <c:tx>
            <c:v>sphere of a member of L</c:v>
          </c:tx>
          <c:spPr>
            <a:ln w="28575" cap="rnd">
              <a:solidFill>
                <a:srgbClr val="BF8F00"/>
              </a:solidFill>
              <a:round/>
            </a:ln>
          </c:spPr>
          <c:marker>
            <c:symbol val="none"/>
          </c:marker>
          <c:xVal>
            <c:numRef>
              <c:f>'Hypersphere Data'!$BM$397:$BM$421</c:f>
              <c:numCache>
                <c:formatCode>General</c:formatCode>
                <c:ptCount val="25"/>
              </c:numCache>
            </c:numRef>
          </c:xVal>
          <c:yVal>
            <c:numRef>
              <c:f>'Hypersphere Data'!$BN$397:$BN$421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21"/>
          <c:order val="21"/>
          <c:tx>
            <c:v>K1 in D</c:v>
          </c:tx>
          <c:spPr>
            <a:ln w="19050">
              <a:noFill/>
            </a:ln>
          </c:spPr>
          <c:marker>
            <c:symbol val="circle"/>
            <c:size val="8"/>
            <c:spPr>
              <a:solidFill>
                <a:srgbClr val="A9C4EB"/>
              </a:solidFill>
              <a:ln w="12700">
                <a:solidFill>
                  <a:srgbClr val="2F5597"/>
                </a:solidFill>
              </a:ln>
            </c:spPr>
          </c:marker>
          <c:xVal>
            <c:numRef>
              <c:f>'Hypersphere Data'!$Z$397:$Z$403</c:f>
              <c:numCache>
                <c:formatCode>General</c:formatCode>
                <c:ptCount val="7"/>
                <c:pt idx="6">
                  <c:v>-0.797360240301012</c:v>
                </c:pt>
              </c:numCache>
            </c:numRef>
          </c:xVal>
          <c:yVal>
            <c:numRef>
              <c:f>'Hypersphere Data'!$AA$397:$AA$403</c:f>
              <c:numCache>
                <c:formatCode>General</c:formatCode>
                <c:ptCount val="7"/>
                <c:pt idx="6">
                  <c:v>-0.460844176461325</c:v>
                </c:pt>
              </c:numCache>
            </c:numRef>
          </c:yVal>
          <c:smooth val="0"/>
        </c:ser>
        <c:ser>
          <c:idx val="22"/>
          <c:order val="22"/>
          <c:tx>
            <c:v>K2 in D</c:v>
          </c:tx>
          <c:spPr>
            <a:ln w="19050">
              <a:noFill/>
            </a:ln>
          </c:spPr>
          <c:marker>
            <c:symbol val="triangle"/>
            <c:size val="9"/>
            <c:spPr>
              <a:solidFill>
                <a:srgbClr val="F2A7A7"/>
              </a:solidFill>
              <a:ln w="12700">
                <a:solidFill>
                  <a:srgbClr val="C00000"/>
                </a:solidFill>
              </a:ln>
            </c:spPr>
          </c:marker>
          <c:xVal>
            <c:numRef>
              <c:f>'Hypersphere Data'!$AD$397:$AD$403</c:f>
              <c:numCache>
                <c:formatCode>General</c:formatCode>
                <c:ptCount val="7"/>
                <c:pt idx="0">
                  <c:v>-0.210161972412966</c:v>
                </c:pt>
                <c:pt idx="4">
                  <c:v>0.250215320981134</c:v>
                </c:pt>
              </c:numCache>
            </c:numRef>
          </c:xVal>
          <c:yVal>
            <c:numRef>
              <c:f>'Hypersphere Data'!$AE$397:$AE$403</c:f>
              <c:numCache>
                <c:formatCode>General</c:formatCode>
                <c:ptCount val="7"/>
                <c:pt idx="0">
                  <c:v>0.284061923715263</c:v>
                </c:pt>
                <c:pt idx="4">
                  <c:v>0.143973855841395</c:v>
                </c:pt>
              </c:numCache>
            </c:numRef>
          </c:yVal>
          <c:smooth val="0"/>
        </c:ser>
        <c:ser>
          <c:idx val="23"/>
          <c:order val="23"/>
          <c:tx>
            <c:v>K1 in F</c:v>
          </c:tx>
          <c:spPr>
            <a:ln w="19050">
              <a:noFill/>
            </a:ln>
          </c:spPr>
          <c:marker>
            <c:symbol val="circle"/>
            <c:size val="8"/>
            <c:spPr>
              <a:solidFill>
                <a:srgbClr val="2F5597"/>
              </a:solidFill>
              <a:ln w="19050">
                <a:solidFill>
                  <a:srgbClr val="2F5597"/>
                </a:solidFill>
              </a:ln>
            </c:spPr>
          </c:marker>
          <c:xVal>
            <c:numRef>
              <c:f>'Hypersphere Data'!$X$397:$X$403</c:f>
              <c:numCache>
                <c:formatCode>General</c:formatCode>
                <c:ptCount val="7"/>
                <c:pt idx="2">
                  <c:v>-0.210161972412966</c:v>
                </c:pt>
                <c:pt idx="5">
                  <c:v>-0.869565217391304</c:v>
                </c:pt>
              </c:numCache>
            </c:numRef>
          </c:xVal>
          <c:yVal>
            <c:numRef>
              <c:f>'Hypersphere Data'!$Y$397:$Y$403</c:f>
              <c:numCache>
                <c:formatCode>General</c:formatCode>
                <c:ptCount val="7"/>
                <c:pt idx="2">
                  <c:v>-0.772375945451263</c:v>
                </c:pt>
                <c:pt idx="5">
                  <c:v>0.258881542564276</c:v>
                </c:pt>
              </c:numCache>
            </c:numRef>
          </c:yVal>
          <c:smooth val="0"/>
        </c:ser>
        <c:ser>
          <c:idx val="24"/>
          <c:order val="24"/>
          <c:tx>
            <c:v>K2 in F</c:v>
          </c:tx>
          <c:spPr>
            <a:ln w="19050">
              <a:noFill/>
            </a:ln>
          </c:spPr>
          <c:marker>
            <c:symbol val="triangle"/>
            <c:size val="9"/>
            <c:spPr>
              <a:solidFill>
                <a:srgbClr val="C00000"/>
              </a:solidFill>
              <a:ln w="19050">
                <a:solidFill>
                  <a:srgbClr val="C00000"/>
                </a:solidFill>
              </a:ln>
            </c:spPr>
          </c:marker>
          <c:xVal>
            <c:numRef>
              <c:f>'Hypersphere Data'!$AB$397:$AB$403</c:f>
              <c:numCache>
                <c:formatCode>General</c:formatCode>
                <c:ptCount val="7"/>
                <c:pt idx="3">
                  <c:v>0.270207697285136</c:v>
                </c:pt>
              </c:numCache>
            </c:numRef>
          </c:xVal>
          <c:yVal>
            <c:numRef>
              <c:f>'Hypersphere Data'!$AC$397:$AC$403</c:f>
              <c:numCache>
                <c:formatCode>General</c:formatCode>
                <c:ptCount val="7"/>
                <c:pt idx="3">
                  <c:v>-0.39916665653921</c:v>
                </c:pt>
              </c:numCache>
            </c:numRef>
          </c:yVal>
          <c:smooth val="0"/>
        </c:ser>
        <c:ser>
          <c:idx val="25"/>
          <c:order val="25"/>
          <c:tx>
            <c:v>Sᵢ, class 1</c:v>
          </c:tx>
          <c:spPr>
            <a:ln w="19050">
              <a:noFill/>
            </a:ln>
          </c:spPr>
          <c:marker>
            <c:symbol val="circle"/>
            <c:size val="10"/>
            <c:spPr>
              <a:solidFill>
                <a:srgbClr val="2F5597"/>
              </a:solidFill>
              <a:ln w="19050">
                <a:solidFill>
                  <a:srgbClr val="000000"/>
                </a:solidFill>
              </a:ln>
            </c:spPr>
          </c:marker>
          <c:xVal>
            <c:numRef>
              <c:f>'Hypersphere Data'!$AF$397:$AF$403</c:f>
              <c:numCache>
                <c:formatCode>General</c:formatCode>
                <c:ptCount val="7"/>
              </c:numCache>
            </c:numRef>
          </c:xVal>
          <c:yVal>
            <c:numRef>
              <c:f>'Hypersphere Data'!$AG$397:$AG$403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6"/>
          <c:order val="26"/>
          <c:tx>
            <c:v>Sᵢ, class 2</c:v>
          </c:tx>
          <c:spPr>
            <a:ln w="19050">
              <a:noFill/>
            </a:ln>
          </c:spPr>
          <c:marker>
            <c:symbol val="triangle"/>
            <c:size val="11"/>
            <c:spPr>
              <a:solidFill>
                <a:srgbClr val="C00000"/>
              </a:solidFill>
              <a:ln w="19050">
                <a:solidFill>
                  <a:srgbClr val="000000"/>
                </a:solidFill>
              </a:ln>
            </c:spPr>
          </c:marker>
          <c:xVal>
            <c:numRef>
              <c:f>'Hypersphere Data'!$AH$397:$AH$403</c:f>
              <c:numCache>
                <c:formatCode>General</c:formatCode>
                <c:ptCount val="7"/>
                <c:pt idx="1">
                  <c:v>-0.210161972412966</c:v>
                </c:pt>
              </c:numCache>
            </c:numRef>
          </c:xVal>
          <c:yVal>
            <c:numRef>
              <c:f>'Hypersphere Data'!$AI$397:$AI$403</c:f>
              <c:numCache>
                <c:formatCode>General</c:formatCode>
                <c:ptCount val="7"/>
                <c:pt idx="1">
                  <c:v>-0.12182509842848</c:v>
                </c:pt>
              </c:numCache>
            </c:numRef>
          </c:yVal>
          <c:smooth val="0"/>
        </c:ser>
        <c:ser>
          <c:idx val="27"/>
          <c:order val="27"/>
          <c:tx>
            <c:v>exact only for Sᵢ: inside a circle ⇔ ρ(Sⱼ, Sᵢ) &lt; r(Sⱼ)</c:v>
          </c:tx>
          <c:spPr>
            <a:ln w="19050">
              <a:noFill/>
            </a:ln>
          </c:spPr>
          <c:marker>
            <c:symbol val="plus"/>
            <c:size val="7"/>
            <c:spPr>
              <a:solidFill>
                <a:srgbClr val="000000"/>
              </a:solidFill>
              <a:ln w="15875">
                <a:solidFill>
                  <a:srgbClr val="000000"/>
                </a:solidFill>
              </a:ln>
            </c:spPr>
          </c:marker>
          <c:xVal>
            <c:numRef>
              <c:f>'Hypersphere Data'!$E$412</c:f>
              <c:numCache>
                <c:formatCode>General</c:formatCode>
                <c:ptCount val="1"/>
                <c:pt idx="0">
                  <c:v>-0.210161972412966</c:v>
                </c:pt>
              </c:numCache>
            </c:numRef>
          </c:xVal>
          <c:yVal>
            <c:numRef>
              <c:f>'Hypersphere Data'!$F$412</c:f>
              <c:numCache>
                <c:formatCode>General</c:formatCode>
                <c:ptCount val="1"/>
                <c:pt idx="0">
                  <c:v>-0.12182509842848</c:v>
                </c:pt>
              </c:numCache>
            </c:numRef>
          </c:yVal>
          <c:smooth val="0"/>
        </c:ser>
        <c:ser>
          <c:idx val="28"/>
          <c:order val="28"/>
          <c:tx>
            <c:strRef>
              <c:f>'Hypersphere Data'!$D$406</c:f>
              <c:strCache>
                <c:ptCount val="1"/>
                <c:pt idx="0">
                  <c:v>S₁ (in D)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Data'!$E$406</c:f>
              <c:numCache>
                <c:formatCode>General</c:formatCode>
                <c:ptCount val="1"/>
                <c:pt idx="0">
                  <c:v>-0.210161972412966</c:v>
                </c:pt>
              </c:numCache>
            </c:numRef>
          </c:xVal>
          <c:yVal>
            <c:numRef>
              <c:f>'Hypersphere Data'!$F$406</c:f>
              <c:numCache>
                <c:formatCode>General</c:formatCode>
                <c:ptCount val="1"/>
                <c:pt idx="0">
                  <c:v>0.284061923715263</c:v>
                </c:pt>
              </c:numCache>
            </c:numRef>
          </c:yVal>
          <c:smooth val="0"/>
        </c:ser>
        <c:ser>
          <c:idx val="29"/>
          <c:order val="29"/>
          <c:tx>
            <c:strRef>
              <c:f>'Hypersphere Data'!$D$407</c:f>
              <c:strCache>
                <c:ptCount val="1"/>
                <c:pt idx="0">
                  <c:v>S₅ (in D)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Data'!$E$407</c:f>
              <c:numCache>
                <c:formatCode>General</c:formatCode>
                <c:ptCount val="1"/>
                <c:pt idx="0">
                  <c:v>0.250215320981134</c:v>
                </c:pt>
              </c:numCache>
            </c:numRef>
          </c:xVal>
          <c:yVal>
            <c:numRef>
              <c:f>'Hypersphere Data'!$F$407</c:f>
              <c:numCache>
                <c:formatCode>General</c:formatCode>
                <c:ptCount val="1"/>
                <c:pt idx="0">
                  <c:v>0.143973855841395</c:v>
                </c:pt>
              </c:numCache>
            </c:numRef>
          </c:yVal>
          <c:smooth val="0"/>
        </c:ser>
        <c:ser>
          <c:idx val="30"/>
          <c:order val="30"/>
          <c:tx>
            <c:strRef>
              <c:f>'Hypersphere Data'!$D$408</c:f>
              <c:strCache>
                <c:ptCount val="1"/>
                <c:pt idx="0">
                  <c:v>S₄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Data'!$E$408</c:f>
              <c:numCache>
                <c:formatCode>General</c:formatCode>
                <c:ptCount val="1"/>
                <c:pt idx="0">
                  <c:v>0.270207697285136</c:v>
                </c:pt>
              </c:numCache>
            </c:numRef>
          </c:xVal>
          <c:yVal>
            <c:numRef>
              <c:f>'Hypersphere Data'!$F$408</c:f>
              <c:numCache>
                <c:formatCode>General</c:formatCode>
                <c:ptCount val="1"/>
                <c:pt idx="0">
                  <c:v>-0.39916665653921</c:v>
                </c:pt>
              </c:numCache>
            </c:numRef>
          </c:yVal>
          <c:smooth val="0"/>
        </c:ser>
        <c:ser>
          <c:idx val="31"/>
          <c:order val="31"/>
          <c:tx>
            <c:strRef>
              <c:f>'Hypersphere Data'!$D$409</c:f>
              <c:strCache>
                <c:ptCount val="1"/>
                <c:pt idx="0">
                  <c:v>S₃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Data'!$E$409</c:f>
              <c:numCache>
                <c:formatCode>General</c:formatCode>
                <c:ptCount val="1"/>
                <c:pt idx="0">
                  <c:v>-0.210161972412966</c:v>
                </c:pt>
              </c:numCache>
            </c:numRef>
          </c:xVal>
          <c:yVal>
            <c:numRef>
              <c:f>'Hypersphere Data'!$F$409</c:f>
              <c:numCache>
                <c:formatCode>General</c:formatCode>
                <c:ptCount val="1"/>
                <c:pt idx="0">
                  <c:v>-0.772375945451263</c:v>
                </c:pt>
              </c:numCache>
            </c:numRef>
          </c:yVal>
          <c:smooth val="0"/>
        </c:ser>
        <c:ser>
          <c:idx val="32"/>
          <c:order val="32"/>
          <c:tx>
            <c:strRef>
              <c:f>'Hypersphere Data'!$D$410</c:f>
              <c:strCache>
                <c:ptCount val="1"/>
                <c:pt idx="0">
                  <c:v>S₇ (in D)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Data'!$E$410</c:f>
              <c:numCache>
                <c:formatCode>General</c:formatCode>
                <c:ptCount val="1"/>
                <c:pt idx="0">
                  <c:v>-0.797360240301012</c:v>
                </c:pt>
              </c:numCache>
            </c:numRef>
          </c:xVal>
          <c:yVal>
            <c:numRef>
              <c:f>'Hypersphere Data'!$F$410</c:f>
              <c:numCache>
                <c:formatCode>General</c:formatCode>
                <c:ptCount val="1"/>
                <c:pt idx="0">
                  <c:v>-0.460844176461325</c:v>
                </c:pt>
              </c:numCache>
            </c:numRef>
          </c:yVal>
          <c:smooth val="0"/>
        </c:ser>
        <c:ser>
          <c:idx val="33"/>
          <c:order val="33"/>
          <c:tx>
            <c:strRef>
              <c:f>'Hypersphere Data'!$D$411</c:f>
              <c:strCache>
                <c:ptCount val="1"/>
                <c:pt idx="0">
                  <c:v>S₆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Data'!$E$411</c:f>
              <c:numCache>
                <c:formatCode>General</c:formatCode>
                <c:ptCount val="1"/>
                <c:pt idx="0">
                  <c:v>-0.869565217391304</c:v>
                </c:pt>
              </c:numCache>
            </c:numRef>
          </c:xVal>
          <c:yVal>
            <c:numRef>
              <c:f>'Hypersphere Data'!$F$411</c:f>
              <c:numCache>
                <c:formatCode>General</c:formatCode>
                <c:ptCount val="1"/>
                <c:pt idx="0">
                  <c:v>0.258881542564276</c:v>
                </c:pt>
              </c:numCache>
            </c:numRef>
          </c:yVal>
          <c:smooth val="0"/>
        </c:ser>
        <c:ser>
          <c:idx val="34"/>
          <c:order val="34"/>
          <c:tx>
            <c:strRef>
              <c:f>'Hypersphere Data'!$D$412</c:f>
              <c:strCache>
                <c:ptCount val="1"/>
                <c:pt idx="0">
                  <c:v>S₂ = Sᵢ  → D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Data'!$E$412</c:f>
              <c:numCache>
                <c:formatCode>General</c:formatCode>
                <c:ptCount val="1"/>
                <c:pt idx="0">
                  <c:v>-0.210161972412966</c:v>
                </c:pt>
              </c:numCache>
            </c:numRef>
          </c:xVal>
          <c:yVal>
            <c:numRef>
              <c:f>'Hypersphere Data'!$F$412</c:f>
              <c:numCache>
                <c:formatCode>General</c:formatCode>
                <c:ptCount val="1"/>
                <c:pt idx="0">
                  <c:v>-0.12182509842848</c:v>
                </c:pt>
              </c:numCache>
            </c:numRef>
          </c:yVal>
          <c:smooth val="0"/>
        </c:ser>
        <c:ser>
          <c:idx val="35"/>
          <c:order val="35"/>
          <c:tx>
            <c:strRef>
              <c:f>'Hypersphere Data'!$D$404</c:f>
              <c:strCache>
                <c:ptCount val="1"/>
                <c:pt idx="0">
                  <c:v>Queue empty → Step 6:   D = {S₁, S₂, S₅, S₆, S₇}   ·   F = {S₃, S₄}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1000" b="1">
                    <a:solidFill>
                      <a:srgbClr val="1F3864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Data'!$E$404</c:f>
              <c:numCache>
                <c:formatCode>General</c:formatCode>
                <c:ptCount val="1"/>
              </c:numCache>
            </c:numRef>
          </c:xVal>
          <c:yVal>
            <c:numRef>
              <c:f>'Hypersphere Data'!$F$404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36"/>
          <c:order val="36"/>
          <c:tx>
            <c:strRef>
              <c:f>'Hypersphere Data'!$D$413</c:f>
              <c:strCache>
                <c:ptCount val="1"/>
                <c:pt idx="0">
                  <c:v>Sᵢ = S₂   ·   L = {S₂}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50" b="1">
                    <a:solidFill>
                      <a:srgbClr val="1F3864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Data'!$E$413</c:f>
              <c:numCache>
                <c:formatCode>General</c:formatCode>
                <c:ptCount val="1"/>
                <c:pt idx="0">
                  <c:v>-0.97</c:v>
                </c:pt>
              </c:numCache>
            </c:numRef>
          </c:xVal>
          <c:yVal>
            <c:numRef>
              <c:f>'Hypersphere Data'!$F$413</c:f>
              <c:numCache>
                <c:formatCode>General</c:formatCode>
                <c:ptCount val="1"/>
                <c:pt idx="0">
                  <c:v>0.955</c:v>
                </c:pt>
              </c:numCache>
            </c:numRef>
          </c:yVal>
          <c:smooth val="0"/>
        </c:ser>
        <c:ser>
          <c:idx val="37"/>
          <c:order val="37"/>
          <c:tx>
            <c:strRef>
              <c:f>'Hypersphere Data'!$D$414</c:f>
              <c:strCache>
                <c:ptCount val="1"/>
                <c:pt idx="0">
                  <c:v>|L| = 1 → Sᵢ moves to D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50" b="1">
                    <a:solidFill>
                      <a:srgbClr val="1F3864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Data'!$E$414</c:f>
              <c:numCache>
                <c:formatCode>General</c:formatCode>
                <c:ptCount val="1"/>
                <c:pt idx="0">
                  <c:v>-0.97</c:v>
                </c:pt>
              </c:numCache>
            </c:numRef>
          </c:xVal>
          <c:yVal>
            <c:numRef>
              <c:f>'Hypersphere Data'!$F$414</c:f>
              <c:numCache>
                <c:formatCode>General</c:formatCode>
                <c:ptCount val="1"/>
                <c:pt idx="0">
                  <c:v>-0.955</c:v>
                </c:pt>
              </c:numCache>
            </c:numRef>
          </c:yVal>
          <c:smooth val="0"/>
        </c:ser>
        <c:axId val="9101"/>
        <c:axId val="9102"/>
      </c:scatterChart>
      <c:valAx>
        <c:axId val="9101"/>
        <c:scaling>
          <c:orientation val="minMax"/>
          <c:max val="1.0"/>
          <c:min val="-1.0"/>
        </c:scaling>
        <c:delete val="1"/>
        <c:axPos val="b"/>
        <c:numFmt formatCode="General" sourceLinked="0"/>
        <c:majorTickMark val="none"/>
        <c:minorTickMark val="none"/>
        <c:tickLblPos val="none"/>
        <c:crossAx val="9102"/>
        <c:crosses val="autoZero"/>
        <c:crossBetween val="midCat"/>
      </c:valAx>
      <c:valAx>
        <c:axId val="9102"/>
        <c:scaling>
          <c:orientation val="minMax"/>
          <c:max val="1.0"/>
          <c:min val="-1.0"/>
        </c:scaling>
        <c:delete val="1"/>
        <c:axPos val="l"/>
        <c:numFmt formatCode="General" sourceLinked="0"/>
        <c:majorTickMark val="none"/>
        <c:minorTickMark val="none"/>
        <c:tickLblPos val="none"/>
        <c:crossAx val="9101"/>
        <c:crosses val="autoZero"/>
        <c:crossBetween val="midCat"/>
      </c:valAx>
      <c:spPr>
        <a:noFill/>
        <a:ln>
          <a:noFill/>
        </a:ln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8"/>
        <c:delete val="1"/>
      </c:legendEntry>
      <c:legendEntry>
        <c:idx val="29"/>
        <c:delete val="1"/>
      </c:legendEntry>
      <c:legendEntry>
        <c:idx val="30"/>
        <c:delete val="1"/>
      </c:legendEntry>
      <c:legendEntry>
        <c:idx val="31"/>
        <c:delete val="1"/>
      </c:legendEntry>
      <c:legendEntry>
        <c:idx val="32"/>
        <c:delete val="1"/>
      </c:legendEntry>
      <c:legendEntry>
        <c:idx val="33"/>
        <c:delete val="1"/>
      </c:legendEntry>
      <c:legendEntry>
        <c:idx val="34"/>
        <c:delete val="1"/>
      </c:legendEntry>
      <c:legendEntry>
        <c:idx val="35"/>
        <c:delete val="1"/>
      </c:legendEntry>
      <c:legendEntry>
        <c:idx val="36"/>
        <c:delete val="1"/>
      </c:legendEntry>
      <c:legendEntry>
        <c:idx val="37"/>
        <c:delete val="1"/>
      </c:legendEntry>
      <c:layout>
        <c:manualLayout>
          <c:xMode val="edge"/>
          <c:yMode val="edge"/>
          <c:x val="0.7069"/>
          <c:y val="0.2700"/>
          <c:w val="0.2781"/>
          <c:h val="0.5000"/>
        </c:manualLayout>
      </c:layout>
      <c:overlay val="0"/>
      <c:txPr>
        <a:bodyPr/>
        <a:lstStyle/>
        <a:p>
          <a:pPr>
            <a:defRPr sz="900" b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/>
          <a:lstStyle/>
          <a:p>
            <a:pPr>
              <a:defRPr sz="1050" b="1">
                <a:solidFill>
                  <a:srgbClr val="1F3864"/>
                </a:solidFill>
                <a:latin typeface="Calibri"/>
              </a:defRPr>
            </a:pPr>
            <a:r>
              <a:rPr lang="en-US" sz="1050" b="1">
                <a:solidFill>
                  <a:srgbClr val="1F3864"/>
                </a:solidFill>
                <a:latin typeface="Calibri"/>
              </a:rPr>
              <a:t>Iteration 5 · enemy spheres around the selected Sᵢ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0152"/>
          <c:y val="0.0812"/>
          <c:w val="0.6768"/>
          <c:h val="0.8701"/>
        </c:manualLayout>
      </c:layout>
      <c:scatterChart>
        <c:scatterStyle val="lineMarker"/>
        <c:varyColors val="0"/>
        <c:ser>
          <c:idx val="0"/>
          <c:order val="0"/>
          <c:tx>
            <c:v>own class in F, not in L</c:v>
          </c:tx>
          <c:spPr>
            <a:ln w="15875" cap="rnd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Data'!$AO$426:$AO$450</c:f>
              <c:numCache>
                <c:formatCode>General</c:formatCode>
                <c:ptCount val="25"/>
              </c:numCache>
            </c:numRef>
          </c:xVal>
          <c:yVal>
            <c:numRef>
              <c:f>'Hypersphere Data'!$AQ$426:$AQ$450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"/>
          <c:order val="1"/>
          <c:tx>
            <c:v>own class in F, not in L</c:v>
          </c:tx>
          <c:spPr>
            <a:ln w="15875" cap="rnd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Data'!$AS$426:$AS$450</c:f>
              <c:numCache>
                <c:formatCode>General</c:formatCode>
                <c:ptCount val="25"/>
              </c:numCache>
            </c:numRef>
          </c:xVal>
          <c:yVal>
            <c:numRef>
              <c:f>'Hypersphere Data'!$AU$426:$AU$450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2"/>
          <c:order val="2"/>
          <c:tx>
            <c:v>own class in F, not in L</c:v>
          </c:tx>
          <c:spPr>
            <a:ln w="15875" cap="rnd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Data'!$AW$426:$AW$450</c:f>
              <c:numCache>
                <c:formatCode>General</c:formatCode>
                <c:ptCount val="25"/>
                <c:pt idx="0">
                  <c:v>0.869565217391304</c:v>
                </c:pt>
                <c:pt idx="1">
                  <c:v>0.851043835876814</c:v>
                </c:pt>
                <c:pt idx="2">
                  <c:v>0.796741892875523</c:v>
                </c:pt>
                <c:pt idx="3">
                  <c:v>0.710359976064767</c:v>
                </c:pt>
                <c:pt idx="4">
                  <c:v>0.597784870322332</c:v>
                </c:pt>
                <c:pt idx="5">
                  <c:v>0.466688383065406</c:v>
                </c:pt>
                <c:pt idx="6">
                  <c:v>0.32600452325336</c:v>
                </c:pt>
                <c:pt idx="7">
                  <c:v>0.185320663441313</c:v>
                </c:pt>
                <c:pt idx="8">
                  <c:v>0.0542241761843874</c:v>
                </c:pt>
                <c:pt idx="9">
                  <c:v>-0.0583509295580479</c:v>
                </c:pt>
                <c:pt idx="10">
                  <c:v>-0.144732846368804</c:v>
                </c:pt>
                <c:pt idx="11">
                  <c:v>-0.199034789370094</c:v>
                </c:pt>
                <c:pt idx="12">
                  <c:v>-0.217556170884585</c:v>
                </c:pt>
                <c:pt idx="13">
                  <c:v>-0.199034789370094</c:v>
                </c:pt>
                <c:pt idx="14">
                  <c:v>-0.144732846368804</c:v>
                </c:pt>
                <c:pt idx="15">
                  <c:v>-0.0583509295580482</c:v>
                </c:pt>
                <c:pt idx="16">
                  <c:v>0.054224176184387</c:v>
                </c:pt>
                <c:pt idx="17">
                  <c:v>0.185320663441313</c:v>
                </c:pt>
                <c:pt idx="18">
                  <c:v>0.32600452325336</c:v>
                </c:pt>
                <c:pt idx="19">
                  <c:v>0.466688383065406</c:v>
                </c:pt>
                <c:pt idx="20">
                  <c:v>0.597784870322332</c:v>
                </c:pt>
                <c:pt idx="21">
                  <c:v>0.710359976064767</c:v>
                </c:pt>
                <c:pt idx="22">
                  <c:v>0.796741892875523</c:v>
                </c:pt>
                <c:pt idx="23">
                  <c:v>0.851043835876814</c:v>
                </c:pt>
                <c:pt idx="24">
                  <c:v>0.869565217391304</c:v>
                </c:pt>
              </c:numCache>
            </c:numRef>
          </c:xVal>
          <c:yVal>
            <c:numRef>
              <c:f>'Hypersphere Data'!$AY$426:$AY$450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3"/>
          <c:order val="3"/>
          <c:tx>
            <c:v>own class in F, not in L</c:v>
          </c:tx>
          <c:spPr>
            <a:ln w="15875" cap="rnd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Data'!$BA$426:$BA$450</c:f>
              <c:numCache>
                <c:formatCode>General</c:formatCode>
                <c:ptCount val="25"/>
              </c:numCache>
            </c:numRef>
          </c:xVal>
          <c:yVal>
            <c:numRef>
              <c:f>'Hypersphere Data'!$BC$426:$BC$450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4"/>
          <c:order val="4"/>
          <c:tx>
            <c:v>own class in F, not in L</c:v>
          </c:tx>
          <c:spPr>
            <a:ln w="15875" cap="rnd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Data'!$BE$426:$BE$450</c:f>
              <c:numCache>
                <c:formatCode>General</c:formatCode>
                <c:ptCount val="25"/>
              </c:numCache>
            </c:numRef>
          </c:xVal>
          <c:yVal>
            <c:numRef>
              <c:f>'Hypersphere Data'!$BG$426:$BG$450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5"/>
          <c:order val="5"/>
          <c:tx>
            <c:v>own class in F, not in L</c:v>
          </c:tx>
          <c:spPr>
            <a:ln w="15875" cap="rnd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Data'!$BI$426:$BI$450</c:f>
              <c:numCache>
                <c:formatCode>General</c:formatCode>
                <c:ptCount val="25"/>
                <c:pt idx="0">
                  <c:v>0.24736754921482</c:v>
                </c:pt>
                <c:pt idx="1">
                  <c:v>0.235122146396706</c:v>
                </c:pt>
                <c:pt idx="2">
                  <c:v>0.199220441907931</c:v>
                </c:pt>
                <c:pt idx="3">
                  <c:v>0.142109077579035</c:v>
                </c:pt>
                <c:pt idx="4">
                  <c:v>0.06768009850804</c:v>
                </c:pt>
                <c:pt idx="5">
                  <c:v>-0.0189942833810701</c:v>
                </c:pt>
                <c:pt idx="6">
                  <c:v>-0.11200735219874</c:v>
                </c:pt>
                <c:pt idx="7">
                  <c:v>-0.205020421016411</c:v>
                </c:pt>
                <c:pt idx="8">
                  <c:v>-0.291694802905521</c:v>
                </c:pt>
                <c:pt idx="9">
                  <c:v>-0.366123781976516</c:v>
                </c:pt>
                <c:pt idx="10">
                  <c:v>-0.423235146305412</c:v>
                </c:pt>
                <c:pt idx="11">
                  <c:v>-0.459136850794187</c:v>
                </c:pt>
                <c:pt idx="12">
                  <c:v>-0.471382253612301</c:v>
                </c:pt>
                <c:pt idx="13">
                  <c:v>-0.459136850794187</c:v>
                </c:pt>
                <c:pt idx="14">
                  <c:v>-0.423235146305412</c:v>
                </c:pt>
                <c:pt idx="15">
                  <c:v>-0.366123781976517</c:v>
                </c:pt>
                <c:pt idx="16">
                  <c:v>-0.291694802905521</c:v>
                </c:pt>
                <c:pt idx="17">
                  <c:v>-0.205020421016411</c:v>
                </c:pt>
                <c:pt idx="18">
                  <c:v>-0.112007352198741</c:v>
                </c:pt>
                <c:pt idx="19">
                  <c:v>-0.0189942833810703</c:v>
                </c:pt>
                <c:pt idx="20">
                  <c:v>0.06768009850804</c:v>
                </c:pt>
                <c:pt idx="21">
                  <c:v>0.142109077579035</c:v>
                </c:pt>
                <c:pt idx="22">
                  <c:v>0.199220441907931</c:v>
                </c:pt>
                <c:pt idx="23">
                  <c:v>0.235122146396706</c:v>
                </c:pt>
                <c:pt idx="24">
                  <c:v>0.24736754921482</c:v>
                </c:pt>
              </c:numCache>
            </c:numRef>
          </c:xVal>
          <c:yVal>
            <c:numRef>
              <c:f>'Hypersphere Data'!$BK$426:$BK$450</c:f>
              <c:numCache>
                <c:formatCode>General</c:formatCode>
                <c:ptCount val="25"/>
                <c:pt idx="0">
                  <c:v>0.0867155719970874</c:v>
                </c:pt>
                <c:pt idx="1">
                  <c:v>0.179728640814758</c:v>
                </c:pt>
                <c:pt idx="2">
                  <c:v>0.266403022703868</c:v>
                </c:pt>
                <c:pt idx="3">
                  <c:v>0.340832001774863</c:v>
                </c:pt>
                <c:pt idx="4">
                  <c:v>0.397943366103759</c:v>
                </c:pt>
                <c:pt idx="5">
                  <c:v>0.433845070592534</c:v>
                </c:pt>
                <c:pt idx="6">
                  <c:v>0.446090473410648</c:v>
                </c:pt>
                <c:pt idx="7">
                  <c:v>0.433845070592534</c:v>
                </c:pt>
                <c:pt idx="8">
                  <c:v>0.397943366103759</c:v>
                </c:pt>
                <c:pt idx="9">
                  <c:v>0.340832001774863</c:v>
                </c:pt>
                <c:pt idx="10">
                  <c:v>0.266403022703868</c:v>
                </c:pt>
                <c:pt idx="11">
                  <c:v>0.179728640814758</c:v>
                </c:pt>
                <c:pt idx="12">
                  <c:v>0.0867155719970874</c:v>
                </c:pt>
                <c:pt idx="13">
                  <c:v>-0.00629749682058302</c:v>
                </c:pt>
                <c:pt idx="14">
                  <c:v>-0.092971878709693</c:v>
                </c:pt>
                <c:pt idx="15">
                  <c:v>-0.167400857780688</c:v>
                </c:pt>
                <c:pt idx="16">
                  <c:v>-0.224512222109584</c:v>
                </c:pt>
                <c:pt idx="17">
                  <c:v>-0.260413926598359</c:v>
                </c:pt>
                <c:pt idx="18">
                  <c:v>-0.272659329416474</c:v>
                </c:pt>
                <c:pt idx="19">
                  <c:v>-0.260413926598359</c:v>
                </c:pt>
                <c:pt idx="20">
                  <c:v>-0.224512222109585</c:v>
                </c:pt>
                <c:pt idx="21">
                  <c:v>-0.167400857780689</c:v>
                </c:pt>
                <c:pt idx="22">
                  <c:v>-0.0929718787096932</c:v>
                </c:pt>
                <c:pt idx="23">
                  <c:v>-0.0062974968205833</c:v>
                </c:pt>
                <c:pt idx="24">
                  <c:v>0.0867155719970873</c:v>
                </c:pt>
              </c:numCache>
            </c:numRef>
          </c:yVal>
          <c:smooth val="1"/>
        </c:ser>
        <c:ser>
          <c:idx val="6"/>
          <c:order val="6"/>
          <c:tx>
            <c:v>own class in F, not in L</c:v>
          </c:tx>
          <c:spPr>
            <a:ln w="15875" cap="rnd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Data'!$BM$426:$BM$450</c:f>
              <c:numCache>
                <c:formatCode>General</c:formatCode>
                <c:ptCount val="25"/>
                <c:pt idx="0">
                  <c:v>0.689539636370548</c:v>
                </c:pt>
                <c:pt idx="1">
                  <c:v>0.676620831885047</c:v>
                </c:pt>
                <c:pt idx="2">
                  <c:v>0.638744813604896</c:v>
                </c:pt>
                <c:pt idx="3">
                  <c:v>0.578492769582809</c:v>
                </c:pt>
                <c:pt idx="4">
                  <c:v>0.499970777047679</c:v>
                </c:pt>
                <c:pt idx="5">
                  <c:v>0.408529980027048</c:v>
                </c:pt>
                <c:pt idx="6">
                  <c:v>0.31040191772481</c:v>
                </c:pt>
                <c:pt idx="7">
                  <c:v>0.212273855422573</c:v>
                </c:pt>
                <c:pt idx="8">
                  <c:v>0.120833058401942</c:v>
                </c:pt>
                <c:pt idx="9">
                  <c:v>0.0423110658668122</c:v>
                </c:pt>
                <c:pt idx="10">
                  <c:v>-0.0179409781552752</c:v>
                </c:pt>
                <c:pt idx="11">
                  <c:v>-0.0558169964354257</c:v>
                </c:pt>
                <c:pt idx="12">
                  <c:v>-0.068735800920927</c:v>
                </c:pt>
                <c:pt idx="13">
                  <c:v>-0.0558169964354258</c:v>
                </c:pt>
                <c:pt idx="14">
                  <c:v>-0.0179409781552752</c:v>
                </c:pt>
                <c:pt idx="15">
                  <c:v>0.0423110658668121</c:v>
                </c:pt>
                <c:pt idx="16">
                  <c:v>0.120833058401942</c:v>
                </c:pt>
                <c:pt idx="17">
                  <c:v>0.212273855422573</c:v>
                </c:pt>
                <c:pt idx="18">
                  <c:v>0.31040191772481</c:v>
                </c:pt>
                <c:pt idx="19">
                  <c:v>0.408529980027048</c:v>
                </c:pt>
                <c:pt idx="20">
                  <c:v>0.499970777047679</c:v>
                </c:pt>
                <c:pt idx="21">
                  <c:v>0.578492769582809</c:v>
                </c:pt>
                <c:pt idx="22">
                  <c:v>0.638744813604896</c:v>
                </c:pt>
                <c:pt idx="23">
                  <c:v>0.676620831885047</c:v>
                </c:pt>
                <c:pt idx="24">
                  <c:v>0.689539636370548</c:v>
                </c:pt>
              </c:numCache>
            </c:numRef>
          </c:xVal>
          <c:yVal>
            <c:numRef>
              <c:f>'Hypersphere Data'!$BO$426:$BO$450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7"/>
          <c:order val="7"/>
          <c:tx>
            <c:v>own class in D (no longer counts)</c:v>
          </c:tx>
          <c:spPr>
            <a:ln w="15875" cap="rnd">
              <a:solidFill>
                <a:srgbClr val="A6A6A6"/>
              </a:solidFill>
              <a:prstDash val="sysDot"/>
              <a:round/>
            </a:ln>
          </c:spPr>
          <c:marker>
            <c:symbol val="none"/>
          </c:marker>
          <c:xVal>
            <c:numRef>
              <c:f>'Hypersphere Data'!$AO$426:$AO$450</c:f>
              <c:numCache>
                <c:formatCode>General</c:formatCode>
                <c:ptCount val="25"/>
              </c:numCache>
            </c:numRef>
          </c:xVal>
          <c:yVal>
            <c:numRef>
              <c:f>'Hypersphere Data'!$AR$426:$AR$450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8"/>
          <c:order val="8"/>
          <c:tx>
            <c:v>own class in D (no longer counts)</c:v>
          </c:tx>
          <c:spPr>
            <a:ln w="15875" cap="rnd">
              <a:solidFill>
                <a:srgbClr val="A6A6A6"/>
              </a:solidFill>
              <a:prstDash val="sysDot"/>
              <a:round/>
            </a:ln>
          </c:spPr>
          <c:marker>
            <c:symbol val="none"/>
          </c:marker>
          <c:xVal>
            <c:numRef>
              <c:f>'Hypersphere Data'!$AS$426:$AS$450</c:f>
              <c:numCache>
                <c:formatCode>General</c:formatCode>
                <c:ptCount val="25"/>
              </c:numCache>
            </c:numRef>
          </c:xVal>
          <c:yVal>
            <c:numRef>
              <c:f>'Hypersphere Data'!$AV$426:$AV$450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9"/>
          <c:order val="9"/>
          <c:tx>
            <c:v>own class in D (no longer counts)</c:v>
          </c:tx>
          <c:spPr>
            <a:ln w="15875" cap="rnd">
              <a:solidFill>
                <a:srgbClr val="A6A6A6"/>
              </a:solidFill>
              <a:prstDash val="sysDot"/>
              <a:round/>
            </a:ln>
          </c:spPr>
          <c:marker>
            <c:symbol val="none"/>
          </c:marker>
          <c:xVal>
            <c:numRef>
              <c:f>'Hypersphere Data'!$AW$426:$AW$450</c:f>
              <c:numCache>
                <c:formatCode>General</c:formatCode>
                <c:ptCount val="25"/>
                <c:pt idx="0">
                  <c:v>0.869565217391304</c:v>
                </c:pt>
                <c:pt idx="1">
                  <c:v>0.851043835876814</c:v>
                </c:pt>
                <c:pt idx="2">
                  <c:v>0.796741892875523</c:v>
                </c:pt>
                <c:pt idx="3">
                  <c:v>0.710359976064767</c:v>
                </c:pt>
                <c:pt idx="4">
                  <c:v>0.597784870322332</c:v>
                </c:pt>
                <c:pt idx="5">
                  <c:v>0.466688383065406</c:v>
                </c:pt>
                <c:pt idx="6">
                  <c:v>0.32600452325336</c:v>
                </c:pt>
                <c:pt idx="7">
                  <c:v>0.185320663441313</c:v>
                </c:pt>
                <c:pt idx="8">
                  <c:v>0.0542241761843874</c:v>
                </c:pt>
                <c:pt idx="9">
                  <c:v>-0.0583509295580479</c:v>
                </c:pt>
                <c:pt idx="10">
                  <c:v>-0.144732846368804</c:v>
                </c:pt>
                <c:pt idx="11">
                  <c:v>-0.199034789370094</c:v>
                </c:pt>
                <c:pt idx="12">
                  <c:v>-0.217556170884585</c:v>
                </c:pt>
                <c:pt idx="13">
                  <c:v>-0.199034789370094</c:v>
                </c:pt>
                <c:pt idx="14">
                  <c:v>-0.144732846368804</c:v>
                </c:pt>
                <c:pt idx="15">
                  <c:v>-0.0583509295580482</c:v>
                </c:pt>
                <c:pt idx="16">
                  <c:v>0.054224176184387</c:v>
                </c:pt>
                <c:pt idx="17">
                  <c:v>0.185320663441313</c:v>
                </c:pt>
                <c:pt idx="18">
                  <c:v>0.32600452325336</c:v>
                </c:pt>
                <c:pt idx="19">
                  <c:v>0.466688383065406</c:v>
                </c:pt>
                <c:pt idx="20">
                  <c:v>0.597784870322332</c:v>
                </c:pt>
                <c:pt idx="21">
                  <c:v>0.710359976064767</c:v>
                </c:pt>
                <c:pt idx="22">
                  <c:v>0.796741892875523</c:v>
                </c:pt>
                <c:pt idx="23">
                  <c:v>0.851043835876814</c:v>
                </c:pt>
                <c:pt idx="24">
                  <c:v>0.869565217391304</c:v>
                </c:pt>
              </c:numCache>
            </c:numRef>
          </c:xVal>
          <c:yVal>
            <c:numRef>
              <c:f>'Hypersphere Data'!$AZ$426:$AZ$450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0"/>
          <c:order val="10"/>
          <c:tx>
            <c:v>own class in D (no longer counts)</c:v>
          </c:tx>
          <c:spPr>
            <a:ln w="15875" cap="rnd">
              <a:solidFill>
                <a:srgbClr val="A6A6A6"/>
              </a:solidFill>
              <a:prstDash val="sysDot"/>
              <a:round/>
            </a:ln>
          </c:spPr>
          <c:marker>
            <c:symbol val="none"/>
          </c:marker>
          <c:xVal>
            <c:numRef>
              <c:f>'Hypersphere Data'!$BA$426:$BA$450</c:f>
              <c:numCache>
                <c:formatCode>General</c:formatCode>
                <c:ptCount val="25"/>
              </c:numCache>
            </c:numRef>
          </c:xVal>
          <c:yVal>
            <c:numRef>
              <c:f>'Hypersphere Data'!$BD$426:$BD$450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1"/>
          <c:order val="11"/>
          <c:tx>
            <c:v>own class in D (no longer counts)</c:v>
          </c:tx>
          <c:spPr>
            <a:ln w="15875" cap="rnd">
              <a:solidFill>
                <a:srgbClr val="A6A6A6"/>
              </a:solidFill>
              <a:prstDash val="sysDot"/>
              <a:round/>
            </a:ln>
          </c:spPr>
          <c:marker>
            <c:symbol val="none"/>
          </c:marker>
          <c:xVal>
            <c:numRef>
              <c:f>'Hypersphere Data'!$BE$426:$BE$450</c:f>
              <c:numCache>
                <c:formatCode>General</c:formatCode>
                <c:ptCount val="25"/>
              </c:numCache>
            </c:numRef>
          </c:xVal>
          <c:yVal>
            <c:numRef>
              <c:f>'Hypersphere Data'!$BH$426:$BH$450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2"/>
          <c:order val="12"/>
          <c:tx>
            <c:v>own class in D (no longer counts)</c:v>
          </c:tx>
          <c:spPr>
            <a:ln w="15875" cap="rnd">
              <a:solidFill>
                <a:srgbClr val="A6A6A6"/>
              </a:solidFill>
              <a:prstDash val="sysDot"/>
              <a:round/>
            </a:ln>
          </c:spPr>
          <c:marker>
            <c:symbol val="none"/>
          </c:marker>
          <c:xVal>
            <c:numRef>
              <c:f>'Hypersphere Data'!$BI$426:$BI$450</c:f>
              <c:numCache>
                <c:formatCode>General</c:formatCode>
                <c:ptCount val="25"/>
                <c:pt idx="0">
                  <c:v>0.24736754921482</c:v>
                </c:pt>
                <c:pt idx="1">
                  <c:v>0.235122146396706</c:v>
                </c:pt>
                <c:pt idx="2">
                  <c:v>0.199220441907931</c:v>
                </c:pt>
                <c:pt idx="3">
                  <c:v>0.142109077579035</c:v>
                </c:pt>
                <c:pt idx="4">
                  <c:v>0.06768009850804</c:v>
                </c:pt>
                <c:pt idx="5">
                  <c:v>-0.0189942833810701</c:v>
                </c:pt>
                <c:pt idx="6">
                  <c:v>-0.11200735219874</c:v>
                </c:pt>
                <c:pt idx="7">
                  <c:v>-0.205020421016411</c:v>
                </c:pt>
                <c:pt idx="8">
                  <c:v>-0.291694802905521</c:v>
                </c:pt>
                <c:pt idx="9">
                  <c:v>-0.366123781976516</c:v>
                </c:pt>
                <c:pt idx="10">
                  <c:v>-0.423235146305412</c:v>
                </c:pt>
                <c:pt idx="11">
                  <c:v>-0.459136850794187</c:v>
                </c:pt>
                <c:pt idx="12">
                  <c:v>-0.471382253612301</c:v>
                </c:pt>
                <c:pt idx="13">
                  <c:v>-0.459136850794187</c:v>
                </c:pt>
                <c:pt idx="14">
                  <c:v>-0.423235146305412</c:v>
                </c:pt>
                <c:pt idx="15">
                  <c:v>-0.366123781976517</c:v>
                </c:pt>
                <c:pt idx="16">
                  <c:v>-0.291694802905521</c:v>
                </c:pt>
                <c:pt idx="17">
                  <c:v>-0.205020421016411</c:v>
                </c:pt>
                <c:pt idx="18">
                  <c:v>-0.112007352198741</c:v>
                </c:pt>
                <c:pt idx="19">
                  <c:v>-0.0189942833810703</c:v>
                </c:pt>
                <c:pt idx="20">
                  <c:v>0.06768009850804</c:v>
                </c:pt>
                <c:pt idx="21">
                  <c:v>0.142109077579035</c:v>
                </c:pt>
                <c:pt idx="22">
                  <c:v>0.199220441907931</c:v>
                </c:pt>
                <c:pt idx="23">
                  <c:v>0.235122146396706</c:v>
                </c:pt>
                <c:pt idx="24">
                  <c:v>0.24736754921482</c:v>
                </c:pt>
              </c:numCache>
            </c:numRef>
          </c:xVal>
          <c:yVal>
            <c:numRef>
              <c:f>'Hypersphere Data'!$BL$426:$BL$450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3"/>
          <c:order val="13"/>
          <c:tx>
            <c:v>own class in D (no longer counts)</c:v>
          </c:tx>
          <c:spPr>
            <a:ln w="15875" cap="rnd">
              <a:solidFill>
                <a:srgbClr val="A6A6A6"/>
              </a:solidFill>
              <a:prstDash val="sysDot"/>
              <a:round/>
            </a:ln>
          </c:spPr>
          <c:marker>
            <c:symbol val="none"/>
          </c:marker>
          <c:xVal>
            <c:numRef>
              <c:f>'Hypersphere Data'!$BM$426:$BM$450</c:f>
              <c:numCache>
                <c:formatCode>General</c:formatCode>
                <c:ptCount val="25"/>
                <c:pt idx="0">
                  <c:v>0.689539636370548</c:v>
                </c:pt>
                <c:pt idx="1">
                  <c:v>0.676620831885047</c:v>
                </c:pt>
                <c:pt idx="2">
                  <c:v>0.638744813604896</c:v>
                </c:pt>
                <c:pt idx="3">
                  <c:v>0.578492769582809</c:v>
                </c:pt>
                <c:pt idx="4">
                  <c:v>0.499970777047679</c:v>
                </c:pt>
                <c:pt idx="5">
                  <c:v>0.408529980027048</c:v>
                </c:pt>
                <c:pt idx="6">
                  <c:v>0.31040191772481</c:v>
                </c:pt>
                <c:pt idx="7">
                  <c:v>0.212273855422573</c:v>
                </c:pt>
                <c:pt idx="8">
                  <c:v>0.120833058401942</c:v>
                </c:pt>
                <c:pt idx="9">
                  <c:v>0.0423110658668122</c:v>
                </c:pt>
                <c:pt idx="10">
                  <c:v>-0.0179409781552752</c:v>
                </c:pt>
                <c:pt idx="11">
                  <c:v>-0.0558169964354257</c:v>
                </c:pt>
                <c:pt idx="12">
                  <c:v>-0.068735800920927</c:v>
                </c:pt>
                <c:pt idx="13">
                  <c:v>-0.0558169964354258</c:v>
                </c:pt>
                <c:pt idx="14">
                  <c:v>-0.0179409781552752</c:v>
                </c:pt>
                <c:pt idx="15">
                  <c:v>0.0423110658668121</c:v>
                </c:pt>
                <c:pt idx="16">
                  <c:v>0.120833058401942</c:v>
                </c:pt>
                <c:pt idx="17">
                  <c:v>0.212273855422573</c:v>
                </c:pt>
                <c:pt idx="18">
                  <c:v>0.31040191772481</c:v>
                </c:pt>
                <c:pt idx="19">
                  <c:v>0.408529980027048</c:v>
                </c:pt>
                <c:pt idx="20">
                  <c:v>0.499970777047679</c:v>
                </c:pt>
                <c:pt idx="21">
                  <c:v>0.578492769582809</c:v>
                </c:pt>
                <c:pt idx="22">
                  <c:v>0.638744813604896</c:v>
                </c:pt>
                <c:pt idx="23">
                  <c:v>0.676620831885047</c:v>
                </c:pt>
                <c:pt idx="24">
                  <c:v>0.689539636370548</c:v>
                </c:pt>
              </c:numCache>
            </c:numRef>
          </c:xVal>
          <c:yVal>
            <c:numRef>
              <c:f>'Hypersphere Data'!$BP$426:$BP$450</c:f>
              <c:numCache>
                <c:formatCode>General</c:formatCode>
                <c:ptCount val="25"/>
                <c:pt idx="0">
                  <c:v>0.330593677695643</c:v>
                </c:pt>
                <c:pt idx="1">
                  <c:v>0.428721739997881</c:v>
                </c:pt>
                <c:pt idx="2">
                  <c:v>0.520162537018512</c:v>
                </c:pt>
                <c:pt idx="3">
                  <c:v>0.598684529553641</c:v>
                </c:pt>
                <c:pt idx="4">
                  <c:v>0.658936573575728</c:v>
                </c:pt>
                <c:pt idx="5">
                  <c:v>0.696812591855879</c:v>
                </c:pt>
                <c:pt idx="6">
                  <c:v>0.70973139634138</c:v>
                </c:pt>
                <c:pt idx="7">
                  <c:v>0.696812591855879</c:v>
                </c:pt>
                <c:pt idx="8">
                  <c:v>0.658936573575728</c:v>
                </c:pt>
                <c:pt idx="9">
                  <c:v>0.598684529553641</c:v>
                </c:pt>
                <c:pt idx="10">
                  <c:v>0.520162537018512</c:v>
                </c:pt>
                <c:pt idx="11">
                  <c:v>0.428721739997881</c:v>
                </c:pt>
                <c:pt idx="12">
                  <c:v>0.330593677695643</c:v>
                </c:pt>
                <c:pt idx="13">
                  <c:v>0.232465615393405</c:v>
                </c:pt>
                <c:pt idx="14">
                  <c:v>0.141024818372774</c:v>
                </c:pt>
                <c:pt idx="15">
                  <c:v>0.0625028258376447</c:v>
                </c:pt>
                <c:pt idx="16">
                  <c:v>0.00225078181555727</c:v>
                </c:pt>
                <c:pt idx="17">
                  <c:v>-0.0356252364645934</c:v>
                </c:pt>
                <c:pt idx="18">
                  <c:v>-0.0485440409500946</c:v>
                </c:pt>
                <c:pt idx="19">
                  <c:v>-0.0356252364645935</c:v>
                </c:pt>
                <c:pt idx="20">
                  <c:v>0.00225078181555716</c:v>
                </c:pt>
                <c:pt idx="21">
                  <c:v>0.0625028258376444</c:v>
                </c:pt>
                <c:pt idx="22">
                  <c:v>0.141024818372774</c:v>
                </c:pt>
                <c:pt idx="23">
                  <c:v>0.232465615393405</c:v>
                </c:pt>
                <c:pt idx="24">
                  <c:v>0.330593677695643</c:v>
                </c:pt>
              </c:numCache>
            </c:numRef>
          </c:yVal>
          <c:smooth val="1"/>
        </c:ser>
        <c:ser>
          <c:idx val="14"/>
          <c:order val="14"/>
          <c:tx>
            <c:v>sphere of a member of L</c:v>
          </c:tx>
          <c:spPr>
            <a:ln w="28575" cap="rnd">
              <a:solidFill>
                <a:srgbClr val="BF8F00"/>
              </a:solidFill>
              <a:round/>
            </a:ln>
          </c:spPr>
          <c:marker>
            <c:symbol val="none"/>
          </c:marker>
          <c:xVal>
            <c:numRef>
              <c:f>'Hypersphere Data'!$AO$426:$AO$450</c:f>
              <c:numCache>
                <c:formatCode>General</c:formatCode>
                <c:ptCount val="25"/>
              </c:numCache>
            </c:numRef>
          </c:xVal>
          <c:yVal>
            <c:numRef>
              <c:f>'Hypersphere Data'!$AP$426:$AP$450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5"/>
          <c:order val="15"/>
          <c:tx>
            <c:v>sphere of a member of L</c:v>
          </c:tx>
          <c:spPr>
            <a:ln w="28575" cap="rnd">
              <a:solidFill>
                <a:srgbClr val="BF8F00"/>
              </a:solidFill>
              <a:round/>
            </a:ln>
          </c:spPr>
          <c:marker>
            <c:symbol val="none"/>
          </c:marker>
          <c:xVal>
            <c:numRef>
              <c:f>'Hypersphere Data'!$AS$426:$AS$450</c:f>
              <c:numCache>
                <c:formatCode>General</c:formatCode>
                <c:ptCount val="25"/>
              </c:numCache>
            </c:numRef>
          </c:xVal>
          <c:yVal>
            <c:numRef>
              <c:f>'Hypersphere Data'!$AT$426:$AT$450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6"/>
          <c:order val="16"/>
          <c:tx>
            <c:v>sphere of a member of L</c:v>
          </c:tx>
          <c:spPr>
            <a:ln w="28575" cap="rnd">
              <a:solidFill>
                <a:srgbClr val="BF8F00"/>
              </a:solidFill>
              <a:round/>
            </a:ln>
          </c:spPr>
          <c:marker>
            <c:symbol val="none"/>
          </c:marker>
          <c:xVal>
            <c:numRef>
              <c:f>'Hypersphere Data'!$AW$426:$AW$450</c:f>
              <c:numCache>
                <c:formatCode>General</c:formatCode>
                <c:ptCount val="25"/>
                <c:pt idx="0">
                  <c:v>0.869565217391304</c:v>
                </c:pt>
                <c:pt idx="1">
                  <c:v>0.851043835876814</c:v>
                </c:pt>
                <c:pt idx="2">
                  <c:v>0.796741892875523</c:v>
                </c:pt>
                <c:pt idx="3">
                  <c:v>0.710359976064767</c:v>
                </c:pt>
                <c:pt idx="4">
                  <c:v>0.597784870322332</c:v>
                </c:pt>
                <c:pt idx="5">
                  <c:v>0.466688383065406</c:v>
                </c:pt>
                <c:pt idx="6">
                  <c:v>0.32600452325336</c:v>
                </c:pt>
                <c:pt idx="7">
                  <c:v>0.185320663441313</c:v>
                </c:pt>
                <c:pt idx="8">
                  <c:v>0.0542241761843874</c:v>
                </c:pt>
                <c:pt idx="9">
                  <c:v>-0.0583509295580479</c:v>
                </c:pt>
                <c:pt idx="10">
                  <c:v>-0.144732846368804</c:v>
                </c:pt>
                <c:pt idx="11">
                  <c:v>-0.199034789370094</c:v>
                </c:pt>
                <c:pt idx="12">
                  <c:v>-0.217556170884585</c:v>
                </c:pt>
                <c:pt idx="13">
                  <c:v>-0.199034789370094</c:v>
                </c:pt>
                <c:pt idx="14">
                  <c:v>-0.144732846368804</c:v>
                </c:pt>
                <c:pt idx="15">
                  <c:v>-0.0583509295580482</c:v>
                </c:pt>
                <c:pt idx="16">
                  <c:v>0.054224176184387</c:v>
                </c:pt>
                <c:pt idx="17">
                  <c:v>0.185320663441313</c:v>
                </c:pt>
                <c:pt idx="18">
                  <c:v>0.32600452325336</c:v>
                </c:pt>
                <c:pt idx="19">
                  <c:v>0.466688383065406</c:v>
                </c:pt>
                <c:pt idx="20">
                  <c:v>0.597784870322332</c:v>
                </c:pt>
                <c:pt idx="21">
                  <c:v>0.710359976064767</c:v>
                </c:pt>
                <c:pt idx="22">
                  <c:v>0.796741892875523</c:v>
                </c:pt>
                <c:pt idx="23">
                  <c:v>0.851043835876814</c:v>
                </c:pt>
                <c:pt idx="24">
                  <c:v>0.869565217391304</c:v>
                </c:pt>
              </c:numCache>
            </c:numRef>
          </c:xVal>
          <c:yVal>
            <c:numRef>
              <c:f>'Hypersphere Data'!$AX$426:$AX$450</c:f>
              <c:numCache>
                <c:formatCode>General</c:formatCode>
                <c:ptCount val="25"/>
                <c:pt idx="0">
                  <c:v>-0.166170702203435</c:v>
                </c:pt>
                <c:pt idx="1">
                  <c:v>-0.0254868423913891</c:v>
                </c:pt>
                <c:pt idx="2">
                  <c:v>0.105609644865537</c:v>
                </c:pt>
                <c:pt idx="3">
                  <c:v>0.218184750607972</c:v>
                </c:pt>
                <c:pt idx="4">
                  <c:v>0.304566667418728</c:v>
                </c:pt>
                <c:pt idx="5">
                  <c:v>0.358868610420019</c:v>
                </c:pt>
                <c:pt idx="6">
                  <c:v>0.37738999193451</c:v>
                </c:pt>
                <c:pt idx="7">
                  <c:v>0.358868610420019</c:v>
                </c:pt>
                <c:pt idx="8">
                  <c:v>0.304566667418728</c:v>
                </c:pt>
                <c:pt idx="9">
                  <c:v>0.218184750607972</c:v>
                </c:pt>
                <c:pt idx="10">
                  <c:v>0.105609644865537</c:v>
                </c:pt>
                <c:pt idx="11">
                  <c:v>-0.025486842391389</c:v>
                </c:pt>
                <c:pt idx="12">
                  <c:v>-0.166170702203435</c:v>
                </c:pt>
                <c:pt idx="13">
                  <c:v>-0.306854562015482</c:v>
                </c:pt>
                <c:pt idx="14">
                  <c:v>-0.437951049272408</c:v>
                </c:pt>
                <c:pt idx="15">
                  <c:v>-0.550526155014843</c:v>
                </c:pt>
                <c:pt idx="16">
                  <c:v>-0.636908071825599</c:v>
                </c:pt>
                <c:pt idx="17">
                  <c:v>-0.691210014826889</c:v>
                </c:pt>
                <c:pt idx="18">
                  <c:v>-0.70973139634138</c:v>
                </c:pt>
                <c:pt idx="19">
                  <c:v>-0.691210014826889</c:v>
                </c:pt>
                <c:pt idx="20">
                  <c:v>-0.636908071825599</c:v>
                </c:pt>
                <c:pt idx="21">
                  <c:v>-0.550526155014843</c:v>
                </c:pt>
                <c:pt idx="22">
                  <c:v>-0.437951049272408</c:v>
                </c:pt>
                <c:pt idx="23">
                  <c:v>-0.306854562015482</c:v>
                </c:pt>
                <c:pt idx="24">
                  <c:v>-0.166170702203436</c:v>
                </c:pt>
              </c:numCache>
            </c:numRef>
          </c:yVal>
          <c:smooth val="1"/>
        </c:ser>
        <c:ser>
          <c:idx val="17"/>
          <c:order val="17"/>
          <c:tx>
            <c:v>sphere of a member of L</c:v>
          </c:tx>
          <c:spPr>
            <a:ln w="28575" cap="rnd">
              <a:solidFill>
                <a:srgbClr val="BF8F00"/>
              </a:solidFill>
              <a:round/>
            </a:ln>
          </c:spPr>
          <c:marker>
            <c:symbol val="none"/>
          </c:marker>
          <c:xVal>
            <c:numRef>
              <c:f>'Hypersphere Data'!$BA$426:$BA$450</c:f>
              <c:numCache>
                <c:formatCode>General</c:formatCode>
                <c:ptCount val="25"/>
              </c:numCache>
            </c:numRef>
          </c:xVal>
          <c:yVal>
            <c:numRef>
              <c:f>'Hypersphere Data'!$BB$426:$BB$450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8"/>
          <c:order val="18"/>
          <c:tx>
            <c:v>sphere of a member of L</c:v>
          </c:tx>
          <c:spPr>
            <a:ln w="28575" cap="rnd">
              <a:solidFill>
                <a:srgbClr val="BF8F00"/>
              </a:solidFill>
              <a:round/>
            </a:ln>
          </c:spPr>
          <c:marker>
            <c:symbol val="none"/>
          </c:marker>
          <c:xVal>
            <c:numRef>
              <c:f>'Hypersphere Data'!$BE$426:$BE$450</c:f>
              <c:numCache>
                <c:formatCode>General</c:formatCode>
                <c:ptCount val="25"/>
              </c:numCache>
            </c:numRef>
          </c:xVal>
          <c:yVal>
            <c:numRef>
              <c:f>'Hypersphere Data'!$BF$426:$BF$450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9"/>
          <c:order val="19"/>
          <c:tx>
            <c:v>sphere of a member of L</c:v>
          </c:tx>
          <c:spPr>
            <a:ln w="28575" cap="rnd">
              <a:solidFill>
                <a:srgbClr val="BF8F00"/>
              </a:solidFill>
              <a:round/>
            </a:ln>
          </c:spPr>
          <c:marker>
            <c:symbol val="none"/>
          </c:marker>
          <c:xVal>
            <c:numRef>
              <c:f>'Hypersphere Data'!$BI$426:$BI$450</c:f>
              <c:numCache>
                <c:formatCode>General</c:formatCode>
                <c:ptCount val="25"/>
                <c:pt idx="0">
                  <c:v>0.24736754921482</c:v>
                </c:pt>
                <c:pt idx="1">
                  <c:v>0.235122146396706</c:v>
                </c:pt>
                <c:pt idx="2">
                  <c:v>0.199220441907931</c:v>
                </c:pt>
                <c:pt idx="3">
                  <c:v>0.142109077579035</c:v>
                </c:pt>
                <c:pt idx="4">
                  <c:v>0.06768009850804</c:v>
                </c:pt>
                <c:pt idx="5">
                  <c:v>-0.0189942833810701</c:v>
                </c:pt>
                <c:pt idx="6">
                  <c:v>-0.11200735219874</c:v>
                </c:pt>
                <c:pt idx="7">
                  <c:v>-0.205020421016411</c:v>
                </c:pt>
                <c:pt idx="8">
                  <c:v>-0.291694802905521</c:v>
                </c:pt>
                <c:pt idx="9">
                  <c:v>-0.366123781976516</c:v>
                </c:pt>
                <c:pt idx="10">
                  <c:v>-0.423235146305412</c:v>
                </c:pt>
                <c:pt idx="11">
                  <c:v>-0.459136850794187</c:v>
                </c:pt>
                <c:pt idx="12">
                  <c:v>-0.471382253612301</c:v>
                </c:pt>
                <c:pt idx="13">
                  <c:v>-0.459136850794187</c:v>
                </c:pt>
                <c:pt idx="14">
                  <c:v>-0.423235146305412</c:v>
                </c:pt>
                <c:pt idx="15">
                  <c:v>-0.366123781976517</c:v>
                </c:pt>
                <c:pt idx="16">
                  <c:v>-0.291694802905521</c:v>
                </c:pt>
                <c:pt idx="17">
                  <c:v>-0.205020421016411</c:v>
                </c:pt>
                <c:pt idx="18">
                  <c:v>-0.112007352198741</c:v>
                </c:pt>
                <c:pt idx="19">
                  <c:v>-0.0189942833810703</c:v>
                </c:pt>
                <c:pt idx="20">
                  <c:v>0.06768009850804</c:v>
                </c:pt>
                <c:pt idx="21">
                  <c:v>0.142109077579035</c:v>
                </c:pt>
                <c:pt idx="22">
                  <c:v>0.199220441907931</c:v>
                </c:pt>
                <c:pt idx="23">
                  <c:v>0.235122146396706</c:v>
                </c:pt>
                <c:pt idx="24">
                  <c:v>0.24736754921482</c:v>
                </c:pt>
              </c:numCache>
            </c:numRef>
          </c:xVal>
          <c:yVal>
            <c:numRef>
              <c:f>'Hypersphere Data'!$BJ$426:$BJ$450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20"/>
          <c:order val="20"/>
          <c:tx>
            <c:v>sphere of a member of L</c:v>
          </c:tx>
          <c:spPr>
            <a:ln w="28575" cap="rnd">
              <a:solidFill>
                <a:srgbClr val="BF8F00"/>
              </a:solidFill>
              <a:round/>
            </a:ln>
          </c:spPr>
          <c:marker>
            <c:symbol val="none"/>
          </c:marker>
          <c:xVal>
            <c:numRef>
              <c:f>'Hypersphere Data'!$BM$426:$BM$450</c:f>
              <c:numCache>
                <c:formatCode>General</c:formatCode>
                <c:ptCount val="25"/>
                <c:pt idx="0">
                  <c:v>0.689539636370548</c:v>
                </c:pt>
                <c:pt idx="1">
                  <c:v>0.676620831885047</c:v>
                </c:pt>
                <c:pt idx="2">
                  <c:v>0.638744813604896</c:v>
                </c:pt>
                <c:pt idx="3">
                  <c:v>0.578492769582809</c:v>
                </c:pt>
                <c:pt idx="4">
                  <c:v>0.499970777047679</c:v>
                </c:pt>
                <c:pt idx="5">
                  <c:v>0.408529980027048</c:v>
                </c:pt>
                <c:pt idx="6">
                  <c:v>0.31040191772481</c:v>
                </c:pt>
                <c:pt idx="7">
                  <c:v>0.212273855422573</c:v>
                </c:pt>
                <c:pt idx="8">
                  <c:v>0.120833058401942</c:v>
                </c:pt>
                <c:pt idx="9">
                  <c:v>0.0423110658668122</c:v>
                </c:pt>
                <c:pt idx="10">
                  <c:v>-0.0179409781552752</c:v>
                </c:pt>
                <c:pt idx="11">
                  <c:v>-0.0558169964354257</c:v>
                </c:pt>
                <c:pt idx="12">
                  <c:v>-0.068735800920927</c:v>
                </c:pt>
                <c:pt idx="13">
                  <c:v>-0.0558169964354258</c:v>
                </c:pt>
                <c:pt idx="14">
                  <c:v>-0.0179409781552752</c:v>
                </c:pt>
                <c:pt idx="15">
                  <c:v>0.0423110658668121</c:v>
                </c:pt>
                <c:pt idx="16">
                  <c:v>0.120833058401942</c:v>
                </c:pt>
                <c:pt idx="17">
                  <c:v>0.212273855422573</c:v>
                </c:pt>
                <c:pt idx="18">
                  <c:v>0.31040191772481</c:v>
                </c:pt>
                <c:pt idx="19">
                  <c:v>0.408529980027048</c:v>
                </c:pt>
                <c:pt idx="20">
                  <c:v>0.499970777047679</c:v>
                </c:pt>
                <c:pt idx="21">
                  <c:v>0.578492769582809</c:v>
                </c:pt>
                <c:pt idx="22">
                  <c:v>0.638744813604896</c:v>
                </c:pt>
                <c:pt idx="23">
                  <c:v>0.676620831885047</c:v>
                </c:pt>
                <c:pt idx="24">
                  <c:v>0.689539636370548</c:v>
                </c:pt>
              </c:numCache>
            </c:numRef>
          </c:xVal>
          <c:yVal>
            <c:numRef>
              <c:f>'Hypersphere Data'!$BN$426:$BN$450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21"/>
          <c:order val="21"/>
          <c:tx>
            <c:v>K1 in D</c:v>
          </c:tx>
          <c:spPr>
            <a:ln w="19050">
              <a:noFill/>
            </a:ln>
          </c:spPr>
          <c:marker>
            <c:symbol val="circle"/>
            <c:size val="8"/>
            <c:spPr>
              <a:solidFill>
                <a:srgbClr val="A9C4EB"/>
              </a:solidFill>
              <a:ln w="12700">
                <a:solidFill>
                  <a:srgbClr val="2F5597"/>
                </a:solidFill>
              </a:ln>
            </c:spPr>
          </c:marker>
          <c:xVal>
            <c:numRef>
              <c:f>'Hypersphere Data'!$Z$426:$Z$432</c:f>
              <c:numCache>
                <c:formatCode>General</c:formatCode>
                <c:ptCount val="7"/>
                <c:pt idx="6">
                  <c:v>0.31040191772481</c:v>
                </c:pt>
              </c:numCache>
            </c:numRef>
          </c:xVal>
          <c:yVal>
            <c:numRef>
              <c:f>'Hypersphere Data'!$AA$426:$AA$432</c:f>
              <c:numCache>
                <c:formatCode>General</c:formatCode>
                <c:ptCount val="7"/>
                <c:pt idx="6">
                  <c:v>0.330593677695643</c:v>
                </c:pt>
              </c:numCache>
            </c:numRef>
          </c:yVal>
          <c:smooth val="0"/>
        </c:ser>
        <c:ser>
          <c:idx val="22"/>
          <c:order val="22"/>
          <c:tx>
            <c:v>K2 in D</c:v>
          </c:tx>
          <c:spPr>
            <a:ln w="19050">
              <a:noFill/>
            </a:ln>
          </c:spPr>
          <c:marker>
            <c:symbol val="triangle"/>
            <c:size val="9"/>
            <c:spPr>
              <a:solidFill>
                <a:srgbClr val="F2A7A7"/>
              </a:solidFill>
              <a:ln w="12700">
                <a:solidFill>
                  <a:srgbClr val="C00000"/>
                </a:solidFill>
              </a:ln>
            </c:spPr>
          </c:marker>
          <c:xVal>
            <c:numRef>
              <c:f>'Hypersphere Data'!$AD$426:$AD$432</c:f>
              <c:numCache>
                <c:formatCode>General</c:formatCode>
                <c:ptCount val="7"/>
                <c:pt idx="0">
                  <c:v>-0.11200735219874</c:v>
                </c:pt>
                <c:pt idx="1">
                  <c:v>-0.846013892258767</c:v>
                </c:pt>
                <c:pt idx="4">
                  <c:v>-0.869565217391304</c:v>
                </c:pt>
              </c:numCache>
            </c:numRef>
          </c:xVal>
          <c:yVal>
            <c:numRef>
              <c:f>'Hypersphere Data'!$AE$426:$AE$432</c:f>
              <c:numCache>
                <c:formatCode>General</c:formatCode>
                <c:ptCount val="7"/>
                <c:pt idx="0">
                  <c:v>-0.572640822281218</c:v>
                </c:pt>
                <c:pt idx="1">
                  <c:v>-0.337063301493515</c:v>
                </c:pt>
                <c:pt idx="4">
                  <c:v>0.524091809392732</c:v>
                </c:pt>
              </c:numCache>
            </c:numRef>
          </c:yVal>
          <c:smooth val="0"/>
        </c:ser>
        <c:ser>
          <c:idx val="23"/>
          <c:order val="23"/>
          <c:tx>
            <c:v>K1 in F</c:v>
          </c:tx>
          <c:spPr>
            <a:ln w="19050">
              <a:noFill/>
            </a:ln>
          </c:spPr>
          <c:marker>
            <c:symbol val="circle"/>
            <c:size val="8"/>
            <c:spPr>
              <a:solidFill>
                <a:srgbClr val="2F5597"/>
              </a:solidFill>
              <a:ln w="19050">
                <a:solidFill>
                  <a:srgbClr val="2F5597"/>
                </a:solidFill>
              </a:ln>
            </c:spPr>
          </c:marker>
          <c:xVal>
            <c:numRef>
              <c:f>'Hypersphere Data'!$X$426:$X$432</c:f>
              <c:numCache>
                <c:formatCode>General</c:formatCode>
                <c:ptCount val="7"/>
                <c:pt idx="2">
                  <c:v>0.32600452325336</c:v>
                </c:pt>
              </c:numCache>
            </c:numRef>
          </c:xVal>
          <c:yVal>
            <c:numRef>
              <c:f>'Hypersphere Data'!$Y$426:$Y$432</c:f>
              <c:numCache>
                <c:formatCode>General</c:formatCode>
                <c:ptCount val="7"/>
                <c:pt idx="2">
                  <c:v>-0.166170702203435</c:v>
                </c:pt>
              </c:numCache>
            </c:numRef>
          </c:yVal>
          <c:smooth val="0"/>
        </c:ser>
        <c:ser>
          <c:idx val="24"/>
          <c:order val="24"/>
          <c:tx>
            <c:v>K2 in F</c:v>
          </c:tx>
          <c:spPr>
            <a:ln w="19050">
              <a:noFill/>
            </a:ln>
          </c:spPr>
          <c:marker>
            <c:symbol val="triangle"/>
            <c:size val="9"/>
            <c:spPr>
              <a:solidFill>
                <a:srgbClr val="C00000"/>
              </a:solidFill>
              <a:ln w="19050">
                <a:solidFill>
                  <a:srgbClr val="C00000"/>
                </a:solidFill>
              </a:ln>
            </c:spPr>
          </c:marker>
          <c:xVal>
            <c:numRef>
              <c:f>'Hypersphere Data'!$AB$426:$AB$432</c:f>
              <c:numCache>
                <c:formatCode>General</c:formatCode>
                <c:ptCount val="7"/>
                <c:pt idx="3">
                  <c:v>-0.11200735219874</c:v>
                </c:pt>
              </c:numCache>
            </c:numRef>
          </c:xVal>
          <c:yVal>
            <c:numRef>
              <c:f>'Hypersphere Data'!$AC$426:$AC$432</c:f>
              <c:numCache>
                <c:formatCode>General</c:formatCode>
                <c:ptCount val="7"/>
                <c:pt idx="3">
                  <c:v>0.446090473410648</c:v>
                </c:pt>
              </c:numCache>
            </c:numRef>
          </c:yVal>
          <c:smooth val="0"/>
        </c:ser>
        <c:ser>
          <c:idx val="25"/>
          <c:order val="25"/>
          <c:tx>
            <c:v>Sᵢ, class 1</c:v>
          </c:tx>
          <c:spPr>
            <a:ln w="19050">
              <a:noFill/>
            </a:ln>
          </c:spPr>
          <c:marker>
            <c:symbol val="circle"/>
            <c:size val="10"/>
            <c:spPr>
              <a:solidFill>
                <a:srgbClr val="2F5597"/>
              </a:solidFill>
              <a:ln w="19050">
                <a:solidFill>
                  <a:srgbClr val="000000"/>
                </a:solidFill>
              </a:ln>
            </c:spPr>
          </c:marker>
          <c:xVal>
            <c:numRef>
              <c:f>'Hypersphere Data'!$AF$426:$AF$432</c:f>
              <c:numCache>
                <c:formatCode>General</c:formatCode>
                <c:ptCount val="7"/>
                <c:pt idx="5">
                  <c:v>-0.11200735219874</c:v>
                </c:pt>
              </c:numCache>
            </c:numRef>
          </c:xVal>
          <c:yVal>
            <c:numRef>
              <c:f>'Hypersphere Data'!$AG$426:$AG$432</c:f>
              <c:numCache>
                <c:formatCode>General</c:formatCode>
                <c:ptCount val="7"/>
                <c:pt idx="5">
                  <c:v>0.0867155719970874</c:v>
                </c:pt>
              </c:numCache>
            </c:numRef>
          </c:yVal>
          <c:smooth val="0"/>
        </c:ser>
        <c:ser>
          <c:idx val="26"/>
          <c:order val="26"/>
          <c:tx>
            <c:v>Sᵢ, class 2</c:v>
          </c:tx>
          <c:spPr>
            <a:ln w="19050">
              <a:noFill/>
            </a:ln>
          </c:spPr>
          <c:marker>
            <c:symbol val="triangle"/>
            <c:size val="11"/>
            <c:spPr>
              <a:solidFill>
                <a:srgbClr val="C00000"/>
              </a:solidFill>
              <a:ln w="19050">
                <a:solidFill>
                  <a:srgbClr val="000000"/>
                </a:solidFill>
              </a:ln>
            </c:spPr>
          </c:marker>
          <c:xVal>
            <c:numRef>
              <c:f>'Hypersphere Data'!$AH$426:$AH$432</c:f>
              <c:numCache>
                <c:formatCode>General</c:formatCode>
                <c:ptCount val="7"/>
              </c:numCache>
            </c:numRef>
          </c:xVal>
          <c:yVal>
            <c:numRef>
              <c:f>'Hypersphere Data'!$AI$426:$AI$432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7"/>
          <c:order val="27"/>
          <c:tx>
            <c:v>exact only for Sᵢ: inside a circle ⇔ ρ(Sⱼ, Sᵢ) &lt; r(Sⱼ)</c:v>
          </c:tx>
          <c:spPr>
            <a:ln w="19050">
              <a:noFill/>
            </a:ln>
          </c:spPr>
          <c:marker>
            <c:symbol val="plus"/>
            <c:size val="7"/>
            <c:spPr>
              <a:solidFill>
                <a:srgbClr val="000000"/>
              </a:solidFill>
              <a:ln w="15875">
                <a:solidFill>
                  <a:srgbClr val="000000"/>
                </a:solidFill>
              </a:ln>
            </c:spPr>
          </c:marker>
          <c:xVal>
            <c:numRef>
              <c:f>'Hypersphere Data'!$E$441</c:f>
              <c:numCache>
                <c:formatCode>General</c:formatCode>
                <c:ptCount val="1"/>
                <c:pt idx="0">
                  <c:v>-0.11200735219874</c:v>
                </c:pt>
              </c:numCache>
            </c:numRef>
          </c:xVal>
          <c:yVal>
            <c:numRef>
              <c:f>'Hypersphere Data'!$F$441</c:f>
              <c:numCache>
                <c:formatCode>General</c:formatCode>
                <c:ptCount val="1"/>
                <c:pt idx="0">
                  <c:v>0.0867155719970874</c:v>
                </c:pt>
              </c:numCache>
            </c:numRef>
          </c:yVal>
          <c:smooth val="0"/>
        </c:ser>
        <c:ser>
          <c:idx val="28"/>
          <c:order val="28"/>
          <c:tx>
            <c:strRef>
              <c:f>'Hypersphere Data'!$D$435</c:f>
              <c:strCache>
                <c:ptCount val="1"/>
                <c:pt idx="0">
                  <c:v>S₄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Data'!$E$435</c:f>
              <c:numCache>
                <c:formatCode>General</c:formatCode>
                <c:ptCount val="1"/>
                <c:pt idx="0">
                  <c:v>-0.11200735219874</c:v>
                </c:pt>
              </c:numCache>
            </c:numRef>
          </c:xVal>
          <c:yVal>
            <c:numRef>
              <c:f>'Hypersphere Data'!$F$435</c:f>
              <c:numCache>
                <c:formatCode>General</c:formatCode>
                <c:ptCount val="1"/>
                <c:pt idx="0">
                  <c:v>0.446090473410648</c:v>
                </c:pt>
              </c:numCache>
            </c:numRef>
          </c:yVal>
          <c:smooth val="0"/>
        </c:ser>
        <c:ser>
          <c:idx val="29"/>
          <c:order val="29"/>
          <c:tx>
            <c:strRef>
              <c:f>'Hypersphere Data'!$D$436</c:f>
              <c:strCache>
                <c:ptCount val="1"/>
                <c:pt idx="0">
                  <c:v>S₇ (in D)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Data'!$E$436</c:f>
              <c:numCache>
                <c:formatCode>General</c:formatCode>
                <c:ptCount val="1"/>
                <c:pt idx="0">
                  <c:v>0.31040191772481</c:v>
                </c:pt>
              </c:numCache>
            </c:numRef>
          </c:xVal>
          <c:yVal>
            <c:numRef>
              <c:f>'Hypersphere Data'!$F$436</c:f>
              <c:numCache>
                <c:formatCode>General</c:formatCode>
                <c:ptCount val="1"/>
                <c:pt idx="0">
                  <c:v>0.330593677695643</c:v>
                </c:pt>
              </c:numCache>
            </c:numRef>
          </c:yVal>
          <c:smooth val="0"/>
        </c:ser>
        <c:ser>
          <c:idx val="30"/>
          <c:order val="30"/>
          <c:tx>
            <c:strRef>
              <c:f>'Hypersphere Data'!$D$437</c:f>
              <c:strCache>
                <c:ptCount val="1"/>
                <c:pt idx="0">
                  <c:v>S₃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Data'!$E$437</c:f>
              <c:numCache>
                <c:formatCode>General</c:formatCode>
                <c:ptCount val="1"/>
                <c:pt idx="0">
                  <c:v>0.32600452325336</c:v>
                </c:pt>
              </c:numCache>
            </c:numRef>
          </c:xVal>
          <c:yVal>
            <c:numRef>
              <c:f>'Hypersphere Data'!$F$437</c:f>
              <c:numCache>
                <c:formatCode>General</c:formatCode>
                <c:ptCount val="1"/>
                <c:pt idx="0">
                  <c:v>-0.166170702203435</c:v>
                </c:pt>
              </c:numCache>
            </c:numRef>
          </c:yVal>
          <c:smooth val="0"/>
        </c:ser>
        <c:ser>
          <c:idx val="31"/>
          <c:order val="31"/>
          <c:tx>
            <c:strRef>
              <c:f>'Hypersphere Data'!$D$438</c:f>
              <c:strCache>
                <c:ptCount val="1"/>
                <c:pt idx="0">
                  <c:v>S₁ (in D)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Data'!$E$438</c:f>
              <c:numCache>
                <c:formatCode>General</c:formatCode>
                <c:ptCount val="1"/>
                <c:pt idx="0">
                  <c:v>-0.11200735219874</c:v>
                </c:pt>
              </c:numCache>
            </c:numRef>
          </c:xVal>
          <c:yVal>
            <c:numRef>
              <c:f>'Hypersphere Data'!$F$438</c:f>
              <c:numCache>
                <c:formatCode>General</c:formatCode>
                <c:ptCount val="1"/>
                <c:pt idx="0">
                  <c:v>-0.572640822281218</c:v>
                </c:pt>
              </c:numCache>
            </c:numRef>
          </c:yVal>
          <c:smooth val="0"/>
        </c:ser>
        <c:ser>
          <c:idx val="32"/>
          <c:order val="32"/>
          <c:tx>
            <c:strRef>
              <c:f>'Hypersphere Data'!$D$439</c:f>
              <c:strCache>
                <c:ptCount val="1"/>
                <c:pt idx="0">
                  <c:v>S₂ (in D)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Data'!$E$439</c:f>
              <c:numCache>
                <c:formatCode>General</c:formatCode>
                <c:ptCount val="1"/>
                <c:pt idx="0">
                  <c:v>-0.846013892258767</c:v>
                </c:pt>
              </c:numCache>
            </c:numRef>
          </c:xVal>
          <c:yVal>
            <c:numRef>
              <c:f>'Hypersphere Data'!$F$439</c:f>
              <c:numCache>
                <c:formatCode>General</c:formatCode>
                <c:ptCount val="1"/>
                <c:pt idx="0">
                  <c:v>-0.337063301493515</c:v>
                </c:pt>
              </c:numCache>
            </c:numRef>
          </c:yVal>
          <c:smooth val="0"/>
        </c:ser>
        <c:ser>
          <c:idx val="33"/>
          <c:order val="33"/>
          <c:tx>
            <c:strRef>
              <c:f>'Hypersphere Data'!$D$440</c:f>
              <c:strCache>
                <c:ptCount val="1"/>
                <c:pt idx="0">
                  <c:v>S₅ (in D)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Data'!$E$440</c:f>
              <c:numCache>
                <c:formatCode>General</c:formatCode>
                <c:ptCount val="1"/>
                <c:pt idx="0">
                  <c:v>-0.869565217391304</c:v>
                </c:pt>
              </c:numCache>
            </c:numRef>
          </c:xVal>
          <c:yVal>
            <c:numRef>
              <c:f>'Hypersphere Data'!$F$440</c:f>
              <c:numCache>
                <c:formatCode>General</c:formatCode>
                <c:ptCount val="1"/>
                <c:pt idx="0">
                  <c:v>0.524091809392732</c:v>
                </c:pt>
              </c:numCache>
            </c:numRef>
          </c:yVal>
          <c:smooth val="0"/>
        </c:ser>
        <c:ser>
          <c:idx val="34"/>
          <c:order val="34"/>
          <c:tx>
            <c:strRef>
              <c:f>'Hypersphere Data'!$D$441</c:f>
              <c:strCache>
                <c:ptCount val="1"/>
                <c:pt idx="0">
                  <c:v>S₆ = Sᵢ  → D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Data'!$E$441</c:f>
              <c:numCache>
                <c:formatCode>General</c:formatCode>
                <c:ptCount val="1"/>
                <c:pt idx="0">
                  <c:v>-0.11200735219874</c:v>
                </c:pt>
              </c:numCache>
            </c:numRef>
          </c:xVal>
          <c:yVal>
            <c:numRef>
              <c:f>'Hypersphere Data'!$F$441</c:f>
              <c:numCache>
                <c:formatCode>General</c:formatCode>
                <c:ptCount val="1"/>
                <c:pt idx="0">
                  <c:v>0.0867155719970874</c:v>
                </c:pt>
              </c:numCache>
            </c:numRef>
          </c:yVal>
          <c:smooth val="0"/>
        </c:ser>
        <c:ser>
          <c:idx val="35"/>
          <c:order val="35"/>
          <c:tx>
            <c:strRef>
              <c:f>'Hypersphere Data'!$D$433</c:f>
              <c:strCache>
                <c:ptCount val="1"/>
                <c:pt idx="0">
                  <c:v>Queue empty → Step 6:   D = {S₁, S₂, S₅, S₆, S₇}   ·   F = {S₃, S₄}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1000" b="1">
                    <a:solidFill>
                      <a:srgbClr val="1F3864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Data'!$E$433</c:f>
              <c:numCache>
                <c:formatCode>General</c:formatCode>
                <c:ptCount val="1"/>
              </c:numCache>
            </c:numRef>
          </c:xVal>
          <c:yVal>
            <c:numRef>
              <c:f>'Hypersphere Data'!$F$433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36"/>
          <c:order val="36"/>
          <c:tx>
            <c:strRef>
              <c:f>'Hypersphere Data'!$D$442</c:f>
              <c:strCache>
                <c:ptCount val="1"/>
                <c:pt idx="0">
                  <c:v>Sᵢ = S₆   ·   L = {S₃}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50" b="1">
                    <a:solidFill>
                      <a:srgbClr val="1F3864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Data'!$E$442</c:f>
              <c:numCache>
                <c:formatCode>General</c:formatCode>
                <c:ptCount val="1"/>
                <c:pt idx="0">
                  <c:v>-0.97</c:v>
                </c:pt>
              </c:numCache>
            </c:numRef>
          </c:xVal>
          <c:yVal>
            <c:numRef>
              <c:f>'Hypersphere Data'!$F$442</c:f>
              <c:numCache>
                <c:formatCode>General</c:formatCode>
                <c:ptCount val="1"/>
                <c:pt idx="0">
                  <c:v>0.955</c:v>
                </c:pt>
              </c:numCache>
            </c:numRef>
          </c:yVal>
          <c:smooth val="0"/>
        </c:ser>
        <c:ser>
          <c:idx val="37"/>
          <c:order val="37"/>
          <c:tx>
            <c:strRef>
              <c:f>'Hypersphere Data'!$D$443</c:f>
              <c:strCache>
                <c:ptCount val="1"/>
                <c:pt idx="0">
                  <c:v>|L| = 1 → Sᵢ moves to D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50" b="1">
                    <a:solidFill>
                      <a:srgbClr val="1F3864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Data'!$E$443</c:f>
              <c:numCache>
                <c:formatCode>General</c:formatCode>
                <c:ptCount val="1"/>
                <c:pt idx="0">
                  <c:v>-0.97</c:v>
                </c:pt>
              </c:numCache>
            </c:numRef>
          </c:xVal>
          <c:yVal>
            <c:numRef>
              <c:f>'Hypersphere Data'!$F$443</c:f>
              <c:numCache>
                <c:formatCode>General</c:formatCode>
                <c:ptCount val="1"/>
                <c:pt idx="0">
                  <c:v>-0.955</c:v>
                </c:pt>
              </c:numCache>
            </c:numRef>
          </c:yVal>
          <c:smooth val="0"/>
        </c:ser>
        <c:axId val="9101"/>
        <c:axId val="9102"/>
      </c:scatterChart>
      <c:valAx>
        <c:axId val="9101"/>
        <c:scaling>
          <c:orientation val="minMax"/>
          <c:max val="1.0"/>
          <c:min val="-1.0"/>
        </c:scaling>
        <c:delete val="1"/>
        <c:axPos val="b"/>
        <c:numFmt formatCode="General" sourceLinked="0"/>
        <c:majorTickMark val="none"/>
        <c:minorTickMark val="none"/>
        <c:tickLblPos val="none"/>
        <c:crossAx val="9102"/>
        <c:crosses val="autoZero"/>
        <c:crossBetween val="midCat"/>
      </c:valAx>
      <c:valAx>
        <c:axId val="9102"/>
        <c:scaling>
          <c:orientation val="minMax"/>
          <c:max val="1.0"/>
          <c:min val="-1.0"/>
        </c:scaling>
        <c:delete val="1"/>
        <c:axPos val="l"/>
        <c:numFmt formatCode="General" sourceLinked="0"/>
        <c:majorTickMark val="none"/>
        <c:minorTickMark val="none"/>
        <c:tickLblPos val="none"/>
        <c:crossAx val="9101"/>
        <c:crosses val="autoZero"/>
        <c:crossBetween val="midCat"/>
      </c:valAx>
      <c:spPr>
        <a:noFill/>
        <a:ln>
          <a:noFill/>
        </a:ln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8"/>
        <c:delete val="1"/>
      </c:legendEntry>
      <c:legendEntry>
        <c:idx val="29"/>
        <c:delete val="1"/>
      </c:legendEntry>
      <c:legendEntry>
        <c:idx val="30"/>
        <c:delete val="1"/>
      </c:legendEntry>
      <c:legendEntry>
        <c:idx val="31"/>
        <c:delete val="1"/>
      </c:legendEntry>
      <c:legendEntry>
        <c:idx val="32"/>
        <c:delete val="1"/>
      </c:legendEntry>
      <c:legendEntry>
        <c:idx val="33"/>
        <c:delete val="1"/>
      </c:legendEntry>
      <c:legendEntry>
        <c:idx val="34"/>
        <c:delete val="1"/>
      </c:legendEntry>
      <c:legendEntry>
        <c:idx val="35"/>
        <c:delete val="1"/>
      </c:legendEntry>
      <c:legendEntry>
        <c:idx val="36"/>
        <c:delete val="1"/>
      </c:legendEntry>
      <c:legendEntry>
        <c:idx val="37"/>
        <c:delete val="1"/>
      </c:legendEntry>
      <c:layout>
        <c:manualLayout>
          <c:xMode val="edge"/>
          <c:yMode val="edge"/>
          <c:x val="0.7069"/>
          <c:y val="0.2700"/>
          <c:w val="0.2781"/>
          <c:h val="0.5000"/>
        </c:manualLayout>
      </c:layout>
      <c:overlay val="0"/>
      <c:txPr>
        <a:bodyPr/>
        <a:lstStyle/>
        <a:p>
          <a:pPr>
            <a:defRPr sz="900" b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/>
          <a:lstStyle/>
          <a:p>
            <a:pPr>
              <a:defRPr sz="1050" b="1">
                <a:solidFill>
                  <a:srgbClr val="1F3864"/>
                </a:solidFill>
                <a:latin typeface="Calibri"/>
              </a:defRPr>
            </a:pPr>
            <a:r>
              <a:rPr lang="en-US" sz="1050" b="1">
                <a:solidFill>
                  <a:srgbClr val="1F3864"/>
                </a:solidFill>
                <a:latin typeface="Calibri"/>
              </a:rPr>
              <a:t>Iteration 6 · enemy spheres around the selected Sᵢ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0152"/>
          <c:y val="0.0812"/>
          <c:w val="0.6768"/>
          <c:h val="0.8701"/>
        </c:manualLayout>
      </c:layout>
      <c:scatterChart>
        <c:scatterStyle val="lineMarker"/>
        <c:varyColors val="0"/>
        <c:ser>
          <c:idx val="0"/>
          <c:order val="0"/>
          <c:tx>
            <c:v>own class in F, not in L</c:v>
          </c:tx>
          <c:spPr>
            <a:ln w="15875" cap="rnd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Data'!$AO$455:$AO$479</c:f>
              <c:numCache>
                <c:formatCode>General</c:formatCode>
                <c:ptCount val="25"/>
                <c:pt idx="0">
                  <c:v>0.215850300096653</c:v>
                </c:pt>
                <c:pt idx="1">
                  <c:v>0.202492830270734</c:v>
                </c:pt>
                <c:pt idx="2">
                  <c:v>0.163330710287352</c:v>
                </c:pt>
                <c:pt idx="3">
                  <c:v>0.10103277390491</c:v>
                </c:pt>
                <c:pt idx="4">
                  <c:v>0.0198445225356653</c:v>
                </c:pt>
                <c:pt idx="5">
                  <c:v>-0.0747011986594984</c:v>
                </c:pt>
                <c:pt idx="6">
                  <c:v>-0.176161255025322</c:v>
                </c:pt>
                <c:pt idx="7">
                  <c:v>-0.277621311391146</c:v>
                </c:pt>
                <c:pt idx="8">
                  <c:v>-0.372167032586309</c:v>
                </c:pt>
                <c:pt idx="9">
                  <c:v>-0.453355283955554</c:v>
                </c:pt>
                <c:pt idx="10">
                  <c:v>-0.515653220337996</c:v>
                </c:pt>
                <c:pt idx="11">
                  <c:v>-0.554815340321378</c:v>
                </c:pt>
                <c:pt idx="12">
                  <c:v>-0.568172810147297</c:v>
                </c:pt>
                <c:pt idx="13">
                  <c:v>-0.554815340321378</c:v>
                </c:pt>
                <c:pt idx="14">
                  <c:v>-0.515653220337996</c:v>
                </c:pt>
                <c:pt idx="15">
                  <c:v>-0.453355283955555</c:v>
                </c:pt>
                <c:pt idx="16">
                  <c:v>-0.37216703258631</c:v>
                </c:pt>
                <c:pt idx="17">
                  <c:v>-0.277621311391146</c:v>
                </c:pt>
                <c:pt idx="18">
                  <c:v>-0.176161255025322</c:v>
                </c:pt>
                <c:pt idx="19">
                  <c:v>-0.0747011986594986</c:v>
                </c:pt>
                <c:pt idx="20">
                  <c:v>0.0198445225356653</c:v>
                </c:pt>
                <c:pt idx="21">
                  <c:v>0.10103277390491</c:v>
                </c:pt>
                <c:pt idx="22">
                  <c:v>0.163330710287352</c:v>
                </c:pt>
                <c:pt idx="23">
                  <c:v>0.202492830270734</c:v>
                </c:pt>
                <c:pt idx="24">
                  <c:v>0.215850300096653</c:v>
                </c:pt>
              </c:numCache>
            </c:numRef>
          </c:xVal>
          <c:yVal>
            <c:numRef>
              <c:f>'Hypersphere Data'!$AQ$455:$AQ$479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"/>
          <c:order val="1"/>
          <c:tx>
            <c:v>own class in F, not in L</c:v>
          </c:tx>
          <c:spPr>
            <a:ln w="15875" cap="rnd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Data'!$AS$455:$AS$479</c:f>
              <c:numCache>
                <c:formatCode>General</c:formatCode>
                <c:ptCount val="25"/>
                <c:pt idx="0">
                  <c:v>0.747349571758953</c:v>
                </c:pt>
                <c:pt idx="1">
                  <c:v>0.729554233262548</c:v>
                </c:pt>
                <c:pt idx="2">
                  <c:v>0.677380940683678</c:v>
                </c:pt>
                <c:pt idx="3">
                  <c:v>0.594385217691149</c:v>
                </c:pt>
                <c:pt idx="4">
                  <c:v>0.486223085649986</c:v>
                </c:pt>
                <c:pt idx="5">
                  <c:v>0.360265615112417</c:v>
                </c:pt>
                <c:pt idx="6">
                  <c:v>0.225096599541018</c:v>
                </c:pt>
                <c:pt idx="7">
                  <c:v>0.0899275839696193</c:v>
                </c:pt>
                <c:pt idx="8">
                  <c:v>-0.0360298865679488</c:v>
                </c:pt>
                <c:pt idx="9">
                  <c:v>-0.144192018609113</c:v>
                </c:pt>
                <c:pt idx="10">
                  <c:v>-0.227187741601642</c:v>
                </c:pt>
                <c:pt idx="11">
                  <c:v>-0.279361034180512</c:v>
                </c:pt>
                <c:pt idx="12">
                  <c:v>-0.297156372676916</c:v>
                </c:pt>
                <c:pt idx="13">
                  <c:v>-0.279361034180512</c:v>
                </c:pt>
                <c:pt idx="14">
                  <c:v>-0.227187741601642</c:v>
                </c:pt>
                <c:pt idx="15">
                  <c:v>-0.144192018609113</c:v>
                </c:pt>
                <c:pt idx="16">
                  <c:v>-0.0360298865679491</c:v>
                </c:pt>
                <c:pt idx="17">
                  <c:v>0.0899275839696193</c:v>
                </c:pt>
                <c:pt idx="18">
                  <c:v>0.225096599541018</c:v>
                </c:pt>
                <c:pt idx="19">
                  <c:v>0.360265615112417</c:v>
                </c:pt>
                <c:pt idx="20">
                  <c:v>0.486223085649986</c:v>
                </c:pt>
                <c:pt idx="21">
                  <c:v>0.594385217691149</c:v>
                </c:pt>
                <c:pt idx="22">
                  <c:v>0.677380940683678</c:v>
                </c:pt>
                <c:pt idx="23">
                  <c:v>0.729554233262548</c:v>
                </c:pt>
                <c:pt idx="24">
                  <c:v>0.747349571758953</c:v>
                </c:pt>
              </c:numCache>
            </c:numRef>
          </c:xVal>
          <c:yVal>
            <c:numRef>
              <c:f>'Hypersphere Data'!$AU$455:$AU$479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2"/>
          <c:order val="2"/>
          <c:tx>
            <c:v>own class in F, not in L</c:v>
          </c:tx>
          <c:spPr>
            <a:ln w="15875" cap="rnd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Data'!$AW$455:$AW$479</c:f>
              <c:numCache>
                <c:formatCode>General</c:formatCode>
                <c:ptCount val="25"/>
              </c:numCache>
            </c:numRef>
          </c:xVal>
          <c:yVal>
            <c:numRef>
              <c:f>'Hypersphere Data'!$AY$455:$AY$479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3"/>
          <c:order val="3"/>
          <c:tx>
            <c:v>own class in F, not in L</c:v>
          </c:tx>
          <c:spPr>
            <a:ln w="15875" cap="rnd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Data'!$BA$455:$BA$479</c:f>
              <c:numCache>
                <c:formatCode>General</c:formatCode>
                <c:ptCount val="25"/>
                <c:pt idx="0">
                  <c:v>0.484274857818803</c:v>
                </c:pt>
                <c:pt idx="1">
                  <c:v>0.475443572824149</c:v>
                </c:pt>
                <c:pt idx="2">
                  <c:v>0.449551555318184</c:v>
                </c:pt>
                <c:pt idx="3">
                  <c:v>0.408363303505358</c:v>
                </c:pt>
                <c:pt idx="4">
                  <c:v>0.354685728679911</c:v>
                </c:pt>
                <c:pt idx="5">
                  <c:v>0.292176868859809</c:v>
                </c:pt>
                <c:pt idx="6">
                  <c:v>0.225096599541018</c:v>
                </c:pt>
                <c:pt idx="7">
                  <c:v>0.158016330222227</c:v>
                </c:pt>
                <c:pt idx="8">
                  <c:v>0.0955074704021258</c:v>
                </c:pt>
                <c:pt idx="9">
                  <c:v>0.0418298955766781</c:v>
                </c:pt>
                <c:pt idx="10">
                  <c:v>0.000641643763851979</c:v>
                </c:pt>
                <c:pt idx="11">
                  <c:v>-0.0252503737421128</c:v>
                </c:pt>
                <c:pt idx="12">
                  <c:v>-0.0340816587367667</c:v>
                </c:pt>
                <c:pt idx="13">
                  <c:v>-0.0252503737421128</c:v>
                </c:pt>
                <c:pt idx="14">
                  <c:v>0.000641643763851951</c:v>
                </c:pt>
                <c:pt idx="15">
                  <c:v>0.041829895576678</c:v>
                </c:pt>
                <c:pt idx="16">
                  <c:v>0.0955074704021257</c:v>
                </c:pt>
                <c:pt idx="17">
                  <c:v>0.158016330222227</c:v>
                </c:pt>
                <c:pt idx="18">
                  <c:v>0.225096599541018</c:v>
                </c:pt>
                <c:pt idx="19">
                  <c:v>0.292176868859809</c:v>
                </c:pt>
                <c:pt idx="20">
                  <c:v>0.354685728679911</c:v>
                </c:pt>
                <c:pt idx="21">
                  <c:v>0.408363303505358</c:v>
                </c:pt>
                <c:pt idx="22">
                  <c:v>0.449551555318184</c:v>
                </c:pt>
                <c:pt idx="23">
                  <c:v>0.475443572824149</c:v>
                </c:pt>
                <c:pt idx="24">
                  <c:v>0.484274857818803</c:v>
                </c:pt>
              </c:numCache>
            </c:numRef>
          </c:xVal>
          <c:yVal>
            <c:numRef>
              <c:f>'Hypersphere Data'!$BC$455:$BC$479</c:f>
              <c:numCache>
                <c:formatCode>General</c:formatCode>
                <c:ptCount val="25"/>
                <c:pt idx="0">
                  <c:v>0.0979794755453005</c:v>
                </c:pt>
                <c:pt idx="1">
                  <c:v>0.165059744864091</c:v>
                </c:pt>
                <c:pt idx="2">
                  <c:v>0.227568604684193</c:v>
                </c:pt>
                <c:pt idx="3">
                  <c:v>0.281246179509641</c:v>
                </c:pt>
                <c:pt idx="4">
                  <c:v>0.322434431322467</c:v>
                </c:pt>
                <c:pt idx="5">
                  <c:v>0.348326448828432</c:v>
                </c:pt>
                <c:pt idx="6">
                  <c:v>0.357157733823085</c:v>
                </c:pt>
                <c:pt idx="7">
                  <c:v>0.348326448828432</c:v>
                </c:pt>
                <c:pt idx="8">
                  <c:v>0.322434431322467</c:v>
                </c:pt>
                <c:pt idx="9">
                  <c:v>0.281246179509641</c:v>
                </c:pt>
                <c:pt idx="10">
                  <c:v>0.227568604684193</c:v>
                </c:pt>
                <c:pt idx="11">
                  <c:v>0.165059744864091</c:v>
                </c:pt>
                <c:pt idx="12">
                  <c:v>0.0979794755453006</c:v>
                </c:pt>
                <c:pt idx="13">
                  <c:v>0.0308992062265097</c:v>
                </c:pt>
                <c:pt idx="14">
                  <c:v>-0.0316096535935919</c:v>
                </c:pt>
                <c:pt idx="15">
                  <c:v>-0.0852872284190396</c:v>
                </c:pt>
                <c:pt idx="16">
                  <c:v>-0.126475480231866</c:v>
                </c:pt>
                <c:pt idx="17">
                  <c:v>-0.15236749773783</c:v>
                </c:pt>
                <c:pt idx="18">
                  <c:v>-0.161198782732484</c:v>
                </c:pt>
                <c:pt idx="19">
                  <c:v>-0.152367497737831</c:v>
                </c:pt>
                <c:pt idx="20">
                  <c:v>-0.126475480231866</c:v>
                </c:pt>
                <c:pt idx="21">
                  <c:v>-0.0852872284190397</c:v>
                </c:pt>
                <c:pt idx="22">
                  <c:v>-0.0316096535935921</c:v>
                </c:pt>
                <c:pt idx="23">
                  <c:v>0.0308992062265095</c:v>
                </c:pt>
                <c:pt idx="24">
                  <c:v>0.0979794755453005</c:v>
                </c:pt>
              </c:numCache>
            </c:numRef>
          </c:yVal>
          <c:smooth val="1"/>
        </c:ser>
        <c:ser>
          <c:idx val="4"/>
          <c:order val="4"/>
          <c:tx>
            <c:v>own class in F, not in L</c:v>
          </c:tx>
          <c:spPr>
            <a:ln w="15875" cap="rnd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Data'!$BE$455:$BE$479</c:f>
              <c:numCache>
                <c:formatCode>General</c:formatCode>
                <c:ptCount val="25"/>
                <c:pt idx="0">
                  <c:v>0.247061013434715</c:v>
                </c:pt>
                <c:pt idx="1">
                  <c:v>0.230119153924776</c:v>
                </c:pt>
                <c:pt idx="2">
                  <c:v>0.180448135122814</c:v>
                </c:pt>
                <c:pt idx="3">
                  <c:v>0.101432954874944</c:v>
                </c:pt>
                <c:pt idx="4">
                  <c:v>-0.00154163286370185</c:v>
                </c:pt>
                <c:pt idx="5">
                  <c:v>-0.121458080112287</c:v>
                </c:pt>
                <c:pt idx="6">
                  <c:v>-0.250144279162119</c:v>
                </c:pt>
                <c:pt idx="7">
                  <c:v>-0.378830478211951</c:v>
                </c:pt>
                <c:pt idx="8">
                  <c:v>-0.498746925460536</c:v>
                </c:pt>
                <c:pt idx="9">
                  <c:v>-0.601721513199181</c:v>
                </c:pt>
                <c:pt idx="10">
                  <c:v>-0.680736693447052</c:v>
                </c:pt>
                <c:pt idx="11">
                  <c:v>-0.730407712249013</c:v>
                </c:pt>
                <c:pt idx="12">
                  <c:v>-0.747349571758953</c:v>
                </c:pt>
                <c:pt idx="13">
                  <c:v>-0.730407712249013</c:v>
                </c:pt>
                <c:pt idx="14">
                  <c:v>-0.680736693447052</c:v>
                </c:pt>
                <c:pt idx="15">
                  <c:v>-0.601721513199182</c:v>
                </c:pt>
                <c:pt idx="16">
                  <c:v>-0.498746925460536</c:v>
                </c:pt>
                <c:pt idx="17">
                  <c:v>-0.378830478211951</c:v>
                </c:pt>
                <c:pt idx="18">
                  <c:v>-0.250144279162119</c:v>
                </c:pt>
                <c:pt idx="19">
                  <c:v>-0.121458080112287</c:v>
                </c:pt>
                <c:pt idx="20">
                  <c:v>-0.00154163286370185</c:v>
                </c:pt>
                <c:pt idx="21">
                  <c:v>0.101432954874944</c:v>
                </c:pt>
                <c:pt idx="22">
                  <c:v>0.180448135122814</c:v>
                </c:pt>
                <c:pt idx="23">
                  <c:v>0.230119153924776</c:v>
                </c:pt>
                <c:pt idx="24">
                  <c:v>0.247061013434715</c:v>
                </c:pt>
              </c:numCache>
            </c:numRef>
          </c:xVal>
          <c:yVal>
            <c:numRef>
              <c:f>'Hypersphere Data'!$BG$455:$BG$479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5"/>
          <c:order val="5"/>
          <c:tx>
            <c:v>own class in F, not in L</c:v>
          </c:tx>
          <c:spPr>
            <a:ln w="15875" cap="rnd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Data'!$BI$455:$BI$479</c:f>
              <c:numCache>
                <c:formatCode>General</c:formatCode>
                <c:ptCount val="25"/>
              </c:numCache>
            </c:numRef>
          </c:xVal>
          <c:yVal>
            <c:numRef>
              <c:f>'Hypersphere Data'!$BK$455:$BK$479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6"/>
          <c:order val="6"/>
          <c:tx>
            <c:v>own class in F, not in L</c:v>
          </c:tx>
          <c:spPr>
            <a:ln w="15875" cap="rnd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Data'!$BM$455:$BM$479</c:f>
              <c:numCache>
                <c:formatCode>General</c:formatCode>
                <c:ptCount val="25"/>
              </c:numCache>
            </c:numRef>
          </c:xVal>
          <c:yVal>
            <c:numRef>
              <c:f>'Hypersphere Data'!$BO$455:$BO$479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7"/>
          <c:order val="7"/>
          <c:tx>
            <c:v>own class in D (no longer counts)</c:v>
          </c:tx>
          <c:spPr>
            <a:ln w="15875" cap="rnd">
              <a:solidFill>
                <a:srgbClr val="A6A6A6"/>
              </a:solidFill>
              <a:prstDash val="sysDot"/>
              <a:round/>
            </a:ln>
          </c:spPr>
          <c:marker>
            <c:symbol val="none"/>
          </c:marker>
          <c:xVal>
            <c:numRef>
              <c:f>'Hypersphere Data'!$AO$455:$AO$479</c:f>
              <c:numCache>
                <c:formatCode>General</c:formatCode>
                <c:ptCount val="25"/>
                <c:pt idx="0">
                  <c:v>0.215850300096653</c:v>
                </c:pt>
                <c:pt idx="1">
                  <c:v>0.202492830270734</c:v>
                </c:pt>
                <c:pt idx="2">
                  <c:v>0.163330710287352</c:v>
                </c:pt>
                <c:pt idx="3">
                  <c:v>0.10103277390491</c:v>
                </c:pt>
                <c:pt idx="4">
                  <c:v>0.0198445225356653</c:v>
                </c:pt>
                <c:pt idx="5">
                  <c:v>-0.0747011986594984</c:v>
                </c:pt>
                <c:pt idx="6">
                  <c:v>-0.176161255025322</c:v>
                </c:pt>
                <c:pt idx="7">
                  <c:v>-0.277621311391146</c:v>
                </c:pt>
                <c:pt idx="8">
                  <c:v>-0.372167032586309</c:v>
                </c:pt>
                <c:pt idx="9">
                  <c:v>-0.453355283955554</c:v>
                </c:pt>
                <c:pt idx="10">
                  <c:v>-0.515653220337996</c:v>
                </c:pt>
                <c:pt idx="11">
                  <c:v>-0.554815340321378</c:v>
                </c:pt>
                <c:pt idx="12">
                  <c:v>-0.568172810147297</c:v>
                </c:pt>
                <c:pt idx="13">
                  <c:v>-0.554815340321378</c:v>
                </c:pt>
                <c:pt idx="14">
                  <c:v>-0.515653220337996</c:v>
                </c:pt>
                <c:pt idx="15">
                  <c:v>-0.453355283955555</c:v>
                </c:pt>
                <c:pt idx="16">
                  <c:v>-0.37216703258631</c:v>
                </c:pt>
                <c:pt idx="17">
                  <c:v>-0.277621311391146</c:v>
                </c:pt>
                <c:pt idx="18">
                  <c:v>-0.176161255025322</c:v>
                </c:pt>
                <c:pt idx="19">
                  <c:v>-0.0747011986594986</c:v>
                </c:pt>
                <c:pt idx="20">
                  <c:v>0.0198445225356653</c:v>
                </c:pt>
                <c:pt idx="21">
                  <c:v>0.10103277390491</c:v>
                </c:pt>
                <c:pt idx="22">
                  <c:v>0.163330710287352</c:v>
                </c:pt>
                <c:pt idx="23">
                  <c:v>0.202492830270734</c:v>
                </c:pt>
                <c:pt idx="24">
                  <c:v>0.215850300096653</c:v>
                </c:pt>
              </c:numCache>
            </c:numRef>
          </c:xVal>
          <c:yVal>
            <c:numRef>
              <c:f>'Hypersphere Data'!$AR$455:$AR$479</c:f>
              <c:numCache>
                <c:formatCode>General</c:formatCode>
                <c:ptCount val="25"/>
                <c:pt idx="0">
                  <c:v>-0.133686854803028</c:v>
                </c:pt>
                <c:pt idx="1">
                  <c:v>-0.0322267984372043</c:v>
                </c:pt>
                <c:pt idx="2">
                  <c:v>0.0623189227579593</c:v>
                </c:pt>
                <c:pt idx="3">
                  <c:v>0.143507174127204</c:v>
                </c:pt>
                <c:pt idx="4">
                  <c:v>0.205805110509646</c:v>
                </c:pt>
                <c:pt idx="5">
                  <c:v>0.244967230493028</c:v>
                </c:pt>
                <c:pt idx="6">
                  <c:v>0.258324700318947</c:v>
                </c:pt>
                <c:pt idx="7">
                  <c:v>0.244967230493028</c:v>
                </c:pt>
                <c:pt idx="8">
                  <c:v>0.205805110509646</c:v>
                </c:pt>
                <c:pt idx="9">
                  <c:v>0.143507174127204</c:v>
                </c:pt>
                <c:pt idx="10">
                  <c:v>0.0623189227579593</c:v>
                </c:pt>
                <c:pt idx="11">
                  <c:v>-0.0322267984372042</c:v>
                </c:pt>
                <c:pt idx="12">
                  <c:v>-0.133686854803028</c:v>
                </c:pt>
                <c:pt idx="13">
                  <c:v>-0.235146911168852</c:v>
                </c:pt>
                <c:pt idx="14">
                  <c:v>-0.329692632364015</c:v>
                </c:pt>
                <c:pt idx="15">
                  <c:v>-0.41088088373326</c:v>
                </c:pt>
                <c:pt idx="16">
                  <c:v>-0.473178820115702</c:v>
                </c:pt>
                <c:pt idx="17">
                  <c:v>-0.512340940099084</c:v>
                </c:pt>
                <c:pt idx="18">
                  <c:v>-0.525698409925003</c:v>
                </c:pt>
                <c:pt idx="19">
                  <c:v>-0.512340940099084</c:v>
                </c:pt>
                <c:pt idx="20">
                  <c:v>-0.473178820115702</c:v>
                </c:pt>
                <c:pt idx="21">
                  <c:v>-0.41088088373326</c:v>
                </c:pt>
                <c:pt idx="22">
                  <c:v>-0.329692632364015</c:v>
                </c:pt>
                <c:pt idx="23">
                  <c:v>-0.235146911168852</c:v>
                </c:pt>
                <c:pt idx="24">
                  <c:v>-0.133686854803028</c:v>
                </c:pt>
              </c:numCache>
            </c:numRef>
          </c:yVal>
          <c:smooth val="1"/>
        </c:ser>
        <c:ser>
          <c:idx val="8"/>
          <c:order val="8"/>
          <c:tx>
            <c:v>own class in D (no longer counts)</c:v>
          </c:tx>
          <c:spPr>
            <a:ln w="15875" cap="rnd">
              <a:solidFill>
                <a:srgbClr val="A6A6A6"/>
              </a:solidFill>
              <a:prstDash val="sysDot"/>
              <a:round/>
            </a:ln>
          </c:spPr>
          <c:marker>
            <c:symbol val="none"/>
          </c:marker>
          <c:xVal>
            <c:numRef>
              <c:f>'Hypersphere Data'!$AS$455:$AS$479</c:f>
              <c:numCache>
                <c:formatCode>General</c:formatCode>
                <c:ptCount val="25"/>
                <c:pt idx="0">
                  <c:v>0.747349571758953</c:v>
                </c:pt>
                <c:pt idx="1">
                  <c:v>0.729554233262548</c:v>
                </c:pt>
                <c:pt idx="2">
                  <c:v>0.677380940683678</c:v>
                </c:pt>
                <c:pt idx="3">
                  <c:v>0.594385217691149</c:v>
                </c:pt>
                <c:pt idx="4">
                  <c:v>0.486223085649986</c:v>
                </c:pt>
                <c:pt idx="5">
                  <c:v>0.360265615112417</c:v>
                </c:pt>
                <c:pt idx="6">
                  <c:v>0.225096599541018</c:v>
                </c:pt>
                <c:pt idx="7">
                  <c:v>0.0899275839696193</c:v>
                </c:pt>
                <c:pt idx="8">
                  <c:v>-0.0360298865679488</c:v>
                </c:pt>
                <c:pt idx="9">
                  <c:v>-0.144192018609113</c:v>
                </c:pt>
                <c:pt idx="10">
                  <c:v>-0.227187741601642</c:v>
                </c:pt>
                <c:pt idx="11">
                  <c:v>-0.279361034180512</c:v>
                </c:pt>
                <c:pt idx="12">
                  <c:v>-0.297156372676916</c:v>
                </c:pt>
                <c:pt idx="13">
                  <c:v>-0.279361034180512</c:v>
                </c:pt>
                <c:pt idx="14">
                  <c:v>-0.227187741601642</c:v>
                </c:pt>
                <c:pt idx="15">
                  <c:v>-0.144192018609113</c:v>
                </c:pt>
                <c:pt idx="16">
                  <c:v>-0.0360298865679491</c:v>
                </c:pt>
                <c:pt idx="17">
                  <c:v>0.0899275839696193</c:v>
                </c:pt>
                <c:pt idx="18">
                  <c:v>0.225096599541018</c:v>
                </c:pt>
                <c:pt idx="19">
                  <c:v>0.360265615112417</c:v>
                </c:pt>
                <c:pt idx="20">
                  <c:v>0.486223085649986</c:v>
                </c:pt>
                <c:pt idx="21">
                  <c:v>0.594385217691149</c:v>
                </c:pt>
                <c:pt idx="22">
                  <c:v>0.677380940683678</c:v>
                </c:pt>
                <c:pt idx="23">
                  <c:v>0.729554233262548</c:v>
                </c:pt>
                <c:pt idx="24">
                  <c:v>0.747349571758953</c:v>
                </c:pt>
              </c:numCache>
            </c:numRef>
          </c:xVal>
          <c:yVal>
            <c:numRef>
              <c:f>'Hypersphere Data'!$AV$455:$AV$479</c:f>
              <c:numCache>
                <c:formatCode>General</c:formatCode>
                <c:ptCount val="25"/>
                <c:pt idx="0">
                  <c:v>-0.34731224517337</c:v>
                </c:pt>
                <c:pt idx="1">
                  <c:v>-0.212143229601971</c:v>
                </c:pt>
                <c:pt idx="2">
                  <c:v>-0.086185759064403</c:v>
                </c:pt>
                <c:pt idx="3">
                  <c:v>0.0219763729767608</c:v>
                </c:pt>
                <c:pt idx="4">
                  <c:v>0.10497209596929</c:v>
                </c:pt>
                <c:pt idx="5">
                  <c:v>0.15714538854816</c:v>
                </c:pt>
                <c:pt idx="6">
                  <c:v>0.174940727044564</c:v>
                </c:pt>
                <c:pt idx="7">
                  <c:v>0.15714538854816</c:v>
                </c:pt>
                <c:pt idx="8">
                  <c:v>0.10497209596929</c:v>
                </c:pt>
                <c:pt idx="9">
                  <c:v>0.0219763729767609</c:v>
                </c:pt>
                <c:pt idx="10">
                  <c:v>-0.086185759064403</c:v>
                </c:pt>
                <c:pt idx="11">
                  <c:v>-0.212143229601971</c:v>
                </c:pt>
                <c:pt idx="12">
                  <c:v>-0.34731224517337</c:v>
                </c:pt>
                <c:pt idx="13">
                  <c:v>-0.482481260744769</c:v>
                </c:pt>
                <c:pt idx="14">
                  <c:v>-0.608438731282337</c:v>
                </c:pt>
                <c:pt idx="15">
                  <c:v>-0.716600863323501</c:v>
                </c:pt>
                <c:pt idx="16">
                  <c:v>-0.79959658631603</c:v>
                </c:pt>
                <c:pt idx="17">
                  <c:v>-0.8517698788949</c:v>
                </c:pt>
                <c:pt idx="18">
                  <c:v>-0.869565217391304</c:v>
                </c:pt>
                <c:pt idx="19">
                  <c:v>-0.8517698788949</c:v>
                </c:pt>
                <c:pt idx="20">
                  <c:v>-0.79959658631603</c:v>
                </c:pt>
                <c:pt idx="21">
                  <c:v>-0.716600863323501</c:v>
                </c:pt>
                <c:pt idx="22">
                  <c:v>-0.608438731282338</c:v>
                </c:pt>
                <c:pt idx="23">
                  <c:v>-0.48248126074477</c:v>
                </c:pt>
                <c:pt idx="24">
                  <c:v>-0.34731224517337</c:v>
                </c:pt>
              </c:numCache>
            </c:numRef>
          </c:yVal>
          <c:smooth val="1"/>
        </c:ser>
        <c:ser>
          <c:idx val="9"/>
          <c:order val="9"/>
          <c:tx>
            <c:v>own class in D (no longer counts)</c:v>
          </c:tx>
          <c:spPr>
            <a:ln w="15875" cap="rnd">
              <a:solidFill>
                <a:srgbClr val="A6A6A6"/>
              </a:solidFill>
              <a:prstDash val="sysDot"/>
              <a:round/>
            </a:ln>
          </c:spPr>
          <c:marker>
            <c:symbol val="none"/>
          </c:marker>
          <c:xVal>
            <c:numRef>
              <c:f>'Hypersphere Data'!$AW$455:$AW$479</c:f>
              <c:numCache>
                <c:formatCode>General</c:formatCode>
                <c:ptCount val="25"/>
              </c:numCache>
            </c:numRef>
          </c:xVal>
          <c:yVal>
            <c:numRef>
              <c:f>'Hypersphere Data'!$AZ$455:$AZ$479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0"/>
          <c:order val="10"/>
          <c:tx>
            <c:v>own class in D (no longer counts)</c:v>
          </c:tx>
          <c:spPr>
            <a:ln w="15875" cap="rnd">
              <a:solidFill>
                <a:srgbClr val="A6A6A6"/>
              </a:solidFill>
              <a:prstDash val="sysDot"/>
              <a:round/>
            </a:ln>
          </c:spPr>
          <c:marker>
            <c:symbol val="none"/>
          </c:marker>
          <c:xVal>
            <c:numRef>
              <c:f>'Hypersphere Data'!$BA$455:$BA$479</c:f>
              <c:numCache>
                <c:formatCode>General</c:formatCode>
                <c:ptCount val="25"/>
                <c:pt idx="0">
                  <c:v>0.484274857818803</c:v>
                </c:pt>
                <c:pt idx="1">
                  <c:v>0.475443572824149</c:v>
                </c:pt>
                <c:pt idx="2">
                  <c:v>0.449551555318184</c:v>
                </c:pt>
                <c:pt idx="3">
                  <c:v>0.408363303505358</c:v>
                </c:pt>
                <c:pt idx="4">
                  <c:v>0.354685728679911</c:v>
                </c:pt>
                <c:pt idx="5">
                  <c:v>0.292176868859809</c:v>
                </c:pt>
                <c:pt idx="6">
                  <c:v>0.225096599541018</c:v>
                </c:pt>
                <c:pt idx="7">
                  <c:v>0.158016330222227</c:v>
                </c:pt>
                <c:pt idx="8">
                  <c:v>0.0955074704021258</c:v>
                </c:pt>
                <c:pt idx="9">
                  <c:v>0.0418298955766781</c:v>
                </c:pt>
                <c:pt idx="10">
                  <c:v>0.000641643763851979</c:v>
                </c:pt>
                <c:pt idx="11">
                  <c:v>-0.0252503737421128</c:v>
                </c:pt>
                <c:pt idx="12">
                  <c:v>-0.0340816587367667</c:v>
                </c:pt>
                <c:pt idx="13">
                  <c:v>-0.0252503737421128</c:v>
                </c:pt>
                <c:pt idx="14">
                  <c:v>0.000641643763851951</c:v>
                </c:pt>
                <c:pt idx="15">
                  <c:v>0.041829895576678</c:v>
                </c:pt>
                <c:pt idx="16">
                  <c:v>0.0955074704021257</c:v>
                </c:pt>
                <c:pt idx="17">
                  <c:v>0.158016330222227</c:v>
                </c:pt>
                <c:pt idx="18">
                  <c:v>0.225096599541018</c:v>
                </c:pt>
                <c:pt idx="19">
                  <c:v>0.292176868859809</c:v>
                </c:pt>
                <c:pt idx="20">
                  <c:v>0.354685728679911</c:v>
                </c:pt>
                <c:pt idx="21">
                  <c:v>0.408363303505358</c:v>
                </c:pt>
                <c:pt idx="22">
                  <c:v>0.449551555318184</c:v>
                </c:pt>
                <c:pt idx="23">
                  <c:v>0.475443572824149</c:v>
                </c:pt>
                <c:pt idx="24">
                  <c:v>0.484274857818803</c:v>
                </c:pt>
              </c:numCache>
            </c:numRef>
          </c:xVal>
          <c:yVal>
            <c:numRef>
              <c:f>'Hypersphere Data'!$BD$455:$BD$479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1"/>
          <c:order val="11"/>
          <c:tx>
            <c:v>own class in D (no longer counts)</c:v>
          </c:tx>
          <c:spPr>
            <a:ln w="15875" cap="rnd">
              <a:solidFill>
                <a:srgbClr val="A6A6A6"/>
              </a:solidFill>
              <a:prstDash val="sysDot"/>
              <a:round/>
            </a:ln>
          </c:spPr>
          <c:marker>
            <c:symbol val="none"/>
          </c:marker>
          <c:xVal>
            <c:numRef>
              <c:f>'Hypersphere Data'!$BE$455:$BE$479</c:f>
              <c:numCache>
                <c:formatCode>General</c:formatCode>
                <c:ptCount val="25"/>
                <c:pt idx="0">
                  <c:v>0.247061013434715</c:v>
                </c:pt>
                <c:pt idx="1">
                  <c:v>0.230119153924776</c:v>
                </c:pt>
                <c:pt idx="2">
                  <c:v>0.180448135122814</c:v>
                </c:pt>
                <c:pt idx="3">
                  <c:v>0.101432954874944</c:v>
                </c:pt>
                <c:pt idx="4">
                  <c:v>-0.00154163286370185</c:v>
                </c:pt>
                <c:pt idx="5">
                  <c:v>-0.121458080112287</c:v>
                </c:pt>
                <c:pt idx="6">
                  <c:v>-0.250144279162119</c:v>
                </c:pt>
                <c:pt idx="7">
                  <c:v>-0.378830478211951</c:v>
                </c:pt>
                <c:pt idx="8">
                  <c:v>-0.498746925460536</c:v>
                </c:pt>
                <c:pt idx="9">
                  <c:v>-0.601721513199181</c:v>
                </c:pt>
                <c:pt idx="10">
                  <c:v>-0.680736693447052</c:v>
                </c:pt>
                <c:pt idx="11">
                  <c:v>-0.730407712249013</c:v>
                </c:pt>
                <c:pt idx="12">
                  <c:v>-0.747349571758953</c:v>
                </c:pt>
                <c:pt idx="13">
                  <c:v>-0.730407712249013</c:v>
                </c:pt>
                <c:pt idx="14">
                  <c:v>-0.680736693447052</c:v>
                </c:pt>
                <c:pt idx="15">
                  <c:v>-0.601721513199182</c:v>
                </c:pt>
                <c:pt idx="16">
                  <c:v>-0.498746925460536</c:v>
                </c:pt>
                <c:pt idx="17">
                  <c:v>-0.378830478211951</c:v>
                </c:pt>
                <c:pt idx="18">
                  <c:v>-0.250144279162119</c:v>
                </c:pt>
                <c:pt idx="19">
                  <c:v>-0.121458080112287</c:v>
                </c:pt>
                <c:pt idx="20">
                  <c:v>-0.00154163286370185</c:v>
                </c:pt>
                <c:pt idx="21">
                  <c:v>0.101432954874944</c:v>
                </c:pt>
                <c:pt idx="22">
                  <c:v>0.180448135122814</c:v>
                </c:pt>
                <c:pt idx="23">
                  <c:v>0.230119153924776</c:v>
                </c:pt>
                <c:pt idx="24">
                  <c:v>0.247061013434715</c:v>
                </c:pt>
              </c:numCache>
            </c:numRef>
          </c:xVal>
          <c:yVal>
            <c:numRef>
              <c:f>'Hypersphere Data'!$BH$455:$BH$479</c:f>
              <c:numCache>
                <c:formatCode>General</c:formatCode>
                <c:ptCount val="25"/>
                <c:pt idx="0">
                  <c:v>0.372359924794471</c:v>
                </c:pt>
                <c:pt idx="1">
                  <c:v>0.501046123844303</c:v>
                </c:pt>
                <c:pt idx="2">
                  <c:v>0.620962571092887</c:v>
                </c:pt>
                <c:pt idx="3">
                  <c:v>0.723937158831533</c:v>
                </c:pt>
                <c:pt idx="4">
                  <c:v>0.802952339079403</c:v>
                </c:pt>
                <c:pt idx="5">
                  <c:v>0.852623357881365</c:v>
                </c:pt>
                <c:pt idx="6">
                  <c:v>0.869565217391304</c:v>
                </c:pt>
                <c:pt idx="7">
                  <c:v>0.852623357881365</c:v>
                </c:pt>
                <c:pt idx="8">
                  <c:v>0.802952339079404</c:v>
                </c:pt>
                <c:pt idx="9">
                  <c:v>0.723937158831533</c:v>
                </c:pt>
                <c:pt idx="10">
                  <c:v>0.620962571092887</c:v>
                </c:pt>
                <c:pt idx="11">
                  <c:v>0.501046123844303</c:v>
                </c:pt>
                <c:pt idx="12">
                  <c:v>0.372359924794471</c:v>
                </c:pt>
                <c:pt idx="13">
                  <c:v>0.243673725744639</c:v>
                </c:pt>
                <c:pt idx="14">
                  <c:v>0.123757278496054</c:v>
                </c:pt>
                <c:pt idx="15">
                  <c:v>0.0207826907574081</c:v>
                </c:pt>
                <c:pt idx="16">
                  <c:v>-0.0582324894904622</c:v>
                </c:pt>
                <c:pt idx="17">
                  <c:v>-0.107903508292424</c:v>
                </c:pt>
                <c:pt idx="18">
                  <c:v>-0.124845367802363</c:v>
                </c:pt>
                <c:pt idx="19">
                  <c:v>-0.107903508292424</c:v>
                </c:pt>
                <c:pt idx="20">
                  <c:v>-0.0582324894904623</c:v>
                </c:pt>
                <c:pt idx="21">
                  <c:v>0.0207826907574078</c:v>
                </c:pt>
                <c:pt idx="22">
                  <c:v>0.123757278496053</c:v>
                </c:pt>
                <c:pt idx="23">
                  <c:v>0.243673725744638</c:v>
                </c:pt>
                <c:pt idx="24">
                  <c:v>0.37235992479447</c:v>
                </c:pt>
              </c:numCache>
            </c:numRef>
          </c:yVal>
          <c:smooth val="1"/>
        </c:ser>
        <c:ser>
          <c:idx val="12"/>
          <c:order val="12"/>
          <c:tx>
            <c:v>own class in D (no longer counts)</c:v>
          </c:tx>
          <c:spPr>
            <a:ln w="15875" cap="rnd">
              <a:solidFill>
                <a:srgbClr val="A6A6A6"/>
              </a:solidFill>
              <a:prstDash val="sysDot"/>
              <a:round/>
            </a:ln>
          </c:spPr>
          <c:marker>
            <c:symbol val="none"/>
          </c:marker>
          <c:xVal>
            <c:numRef>
              <c:f>'Hypersphere Data'!$BI$455:$BI$479</c:f>
              <c:numCache>
                <c:formatCode>General</c:formatCode>
                <c:ptCount val="25"/>
              </c:numCache>
            </c:numRef>
          </c:xVal>
          <c:yVal>
            <c:numRef>
              <c:f>'Hypersphere Data'!$BL$455:$BL$479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3"/>
          <c:order val="13"/>
          <c:tx>
            <c:v>own class in D (no longer counts)</c:v>
          </c:tx>
          <c:spPr>
            <a:ln w="15875" cap="rnd">
              <a:solidFill>
                <a:srgbClr val="A6A6A6"/>
              </a:solidFill>
              <a:prstDash val="sysDot"/>
              <a:round/>
            </a:ln>
          </c:spPr>
          <c:marker>
            <c:symbol val="none"/>
          </c:marker>
          <c:xVal>
            <c:numRef>
              <c:f>'Hypersphere Data'!$BM$455:$BM$479</c:f>
              <c:numCache>
                <c:formatCode>General</c:formatCode>
                <c:ptCount val="25"/>
              </c:numCache>
            </c:numRef>
          </c:xVal>
          <c:yVal>
            <c:numRef>
              <c:f>'Hypersphere Data'!$BP$455:$BP$479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4"/>
          <c:order val="14"/>
          <c:tx>
            <c:v>sphere of a member of L</c:v>
          </c:tx>
          <c:spPr>
            <a:ln w="28575" cap="rnd">
              <a:solidFill>
                <a:srgbClr val="BF8F00"/>
              </a:solidFill>
              <a:round/>
            </a:ln>
          </c:spPr>
          <c:marker>
            <c:symbol val="none"/>
          </c:marker>
          <c:xVal>
            <c:numRef>
              <c:f>'Hypersphere Data'!$AO$455:$AO$479</c:f>
              <c:numCache>
                <c:formatCode>General</c:formatCode>
                <c:ptCount val="25"/>
                <c:pt idx="0">
                  <c:v>0.215850300096653</c:v>
                </c:pt>
                <c:pt idx="1">
                  <c:v>0.202492830270734</c:v>
                </c:pt>
                <c:pt idx="2">
                  <c:v>0.163330710287352</c:v>
                </c:pt>
                <c:pt idx="3">
                  <c:v>0.10103277390491</c:v>
                </c:pt>
                <c:pt idx="4">
                  <c:v>0.0198445225356653</c:v>
                </c:pt>
                <c:pt idx="5">
                  <c:v>-0.0747011986594984</c:v>
                </c:pt>
                <c:pt idx="6">
                  <c:v>-0.176161255025322</c:v>
                </c:pt>
                <c:pt idx="7">
                  <c:v>-0.277621311391146</c:v>
                </c:pt>
                <c:pt idx="8">
                  <c:v>-0.372167032586309</c:v>
                </c:pt>
                <c:pt idx="9">
                  <c:v>-0.453355283955554</c:v>
                </c:pt>
                <c:pt idx="10">
                  <c:v>-0.515653220337996</c:v>
                </c:pt>
                <c:pt idx="11">
                  <c:v>-0.554815340321378</c:v>
                </c:pt>
                <c:pt idx="12">
                  <c:v>-0.568172810147297</c:v>
                </c:pt>
                <c:pt idx="13">
                  <c:v>-0.554815340321378</c:v>
                </c:pt>
                <c:pt idx="14">
                  <c:v>-0.515653220337996</c:v>
                </c:pt>
                <c:pt idx="15">
                  <c:v>-0.453355283955555</c:v>
                </c:pt>
                <c:pt idx="16">
                  <c:v>-0.37216703258631</c:v>
                </c:pt>
                <c:pt idx="17">
                  <c:v>-0.277621311391146</c:v>
                </c:pt>
                <c:pt idx="18">
                  <c:v>-0.176161255025322</c:v>
                </c:pt>
                <c:pt idx="19">
                  <c:v>-0.0747011986594986</c:v>
                </c:pt>
                <c:pt idx="20">
                  <c:v>0.0198445225356653</c:v>
                </c:pt>
                <c:pt idx="21">
                  <c:v>0.10103277390491</c:v>
                </c:pt>
                <c:pt idx="22">
                  <c:v>0.163330710287352</c:v>
                </c:pt>
                <c:pt idx="23">
                  <c:v>0.202492830270734</c:v>
                </c:pt>
                <c:pt idx="24">
                  <c:v>0.215850300096653</c:v>
                </c:pt>
              </c:numCache>
            </c:numRef>
          </c:xVal>
          <c:yVal>
            <c:numRef>
              <c:f>'Hypersphere Data'!$AP$455:$AP$479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5"/>
          <c:order val="15"/>
          <c:tx>
            <c:v>sphere of a member of L</c:v>
          </c:tx>
          <c:spPr>
            <a:ln w="28575" cap="rnd">
              <a:solidFill>
                <a:srgbClr val="BF8F00"/>
              </a:solidFill>
              <a:round/>
            </a:ln>
          </c:spPr>
          <c:marker>
            <c:symbol val="none"/>
          </c:marker>
          <c:xVal>
            <c:numRef>
              <c:f>'Hypersphere Data'!$AS$455:$AS$479</c:f>
              <c:numCache>
                <c:formatCode>General</c:formatCode>
                <c:ptCount val="25"/>
                <c:pt idx="0">
                  <c:v>0.747349571758953</c:v>
                </c:pt>
                <c:pt idx="1">
                  <c:v>0.729554233262548</c:v>
                </c:pt>
                <c:pt idx="2">
                  <c:v>0.677380940683678</c:v>
                </c:pt>
                <c:pt idx="3">
                  <c:v>0.594385217691149</c:v>
                </c:pt>
                <c:pt idx="4">
                  <c:v>0.486223085649986</c:v>
                </c:pt>
                <c:pt idx="5">
                  <c:v>0.360265615112417</c:v>
                </c:pt>
                <c:pt idx="6">
                  <c:v>0.225096599541018</c:v>
                </c:pt>
                <c:pt idx="7">
                  <c:v>0.0899275839696193</c:v>
                </c:pt>
                <c:pt idx="8">
                  <c:v>-0.0360298865679488</c:v>
                </c:pt>
                <c:pt idx="9">
                  <c:v>-0.144192018609113</c:v>
                </c:pt>
                <c:pt idx="10">
                  <c:v>-0.227187741601642</c:v>
                </c:pt>
                <c:pt idx="11">
                  <c:v>-0.279361034180512</c:v>
                </c:pt>
                <c:pt idx="12">
                  <c:v>-0.297156372676916</c:v>
                </c:pt>
                <c:pt idx="13">
                  <c:v>-0.279361034180512</c:v>
                </c:pt>
                <c:pt idx="14">
                  <c:v>-0.227187741601642</c:v>
                </c:pt>
                <c:pt idx="15">
                  <c:v>-0.144192018609113</c:v>
                </c:pt>
                <c:pt idx="16">
                  <c:v>-0.0360298865679491</c:v>
                </c:pt>
                <c:pt idx="17">
                  <c:v>0.0899275839696193</c:v>
                </c:pt>
                <c:pt idx="18">
                  <c:v>0.225096599541018</c:v>
                </c:pt>
                <c:pt idx="19">
                  <c:v>0.360265615112417</c:v>
                </c:pt>
                <c:pt idx="20">
                  <c:v>0.486223085649986</c:v>
                </c:pt>
                <c:pt idx="21">
                  <c:v>0.594385217691149</c:v>
                </c:pt>
                <c:pt idx="22">
                  <c:v>0.677380940683678</c:v>
                </c:pt>
                <c:pt idx="23">
                  <c:v>0.729554233262548</c:v>
                </c:pt>
                <c:pt idx="24">
                  <c:v>0.747349571758953</c:v>
                </c:pt>
              </c:numCache>
            </c:numRef>
          </c:xVal>
          <c:yVal>
            <c:numRef>
              <c:f>'Hypersphere Data'!$AT$455:$AT$479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6"/>
          <c:order val="16"/>
          <c:tx>
            <c:v>sphere of a member of L</c:v>
          </c:tx>
          <c:spPr>
            <a:ln w="28575" cap="rnd">
              <a:solidFill>
                <a:srgbClr val="BF8F00"/>
              </a:solidFill>
              <a:round/>
            </a:ln>
          </c:spPr>
          <c:marker>
            <c:symbol val="none"/>
          </c:marker>
          <c:xVal>
            <c:numRef>
              <c:f>'Hypersphere Data'!$AW$455:$AW$479</c:f>
              <c:numCache>
                <c:formatCode>General</c:formatCode>
                <c:ptCount val="25"/>
              </c:numCache>
            </c:numRef>
          </c:xVal>
          <c:yVal>
            <c:numRef>
              <c:f>'Hypersphere Data'!$AX$455:$AX$479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7"/>
          <c:order val="17"/>
          <c:tx>
            <c:v>sphere of a member of L</c:v>
          </c:tx>
          <c:spPr>
            <a:ln w="28575" cap="rnd">
              <a:solidFill>
                <a:srgbClr val="BF8F00"/>
              </a:solidFill>
              <a:round/>
            </a:ln>
          </c:spPr>
          <c:marker>
            <c:symbol val="none"/>
          </c:marker>
          <c:xVal>
            <c:numRef>
              <c:f>'Hypersphere Data'!$BA$455:$BA$479</c:f>
              <c:numCache>
                <c:formatCode>General</c:formatCode>
                <c:ptCount val="25"/>
                <c:pt idx="0">
                  <c:v>0.484274857818803</c:v>
                </c:pt>
                <c:pt idx="1">
                  <c:v>0.475443572824149</c:v>
                </c:pt>
                <c:pt idx="2">
                  <c:v>0.449551555318184</c:v>
                </c:pt>
                <c:pt idx="3">
                  <c:v>0.408363303505358</c:v>
                </c:pt>
                <c:pt idx="4">
                  <c:v>0.354685728679911</c:v>
                </c:pt>
                <c:pt idx="5">
                  <c:v>0.292176868859809</c:v>
                </c:pt>
                <c:pt idx="6">
                  <c:v>0.225096599541018</c:v>
                </c:pt>
                <c:pt idx="7">
                  <c:v>0.158016330222227</c:v>
                </c:pt>
                <c:pt idx="8">
                  <c:v>0.0955074704021258</c:v>
                </c:pt>
                <c:pt idx="9">
                  <c:v>0.0418298955766781</c:v>
                </c:pt>
                <c:pt idx="10">
                  <c:v>0.000641643763851979</c:v>
                </c:pt>
                <c:pt idx="11">
                  <c:v>-0.0252503737421128</c:v>
                </c:pt>
                <c:pt idx="12">
                  <c:v>-0.0340816587367667</c:v>
                </c:pt>
                <c:pt idx="13">
                  <c:v>-0.0252503737421128</c:v>
                </c:pt>
                <c:pt idx="14">
                  <c:v>0.000641643763851951</c:v>
                </c:pt>
                <c:pt idx="15">
                  <c:v>0.041829895576678</c:v>
                </c:pt>
                <c:pt idx="16">
                  <c:v>0.0955074704021257</c:v>
                </c:pt>
                <c:pt idx="17">
                  <c:v>0.158016330222227</c:v>
                </c:pt>
                <c:pt idx="18">
                  <c:v>0.225096599541018</c:v>
                </c:pt>
                <c:pt idx="19">
                  <c:v>0.292176868859809</c:v>
                </c:pt>
                <c:pt idx="20">
                  <c:v>0.354685728679911</c:v>
                </c:pt>
                <c:pt idx="21">
                  <c:v>0.408363303505358</c:v>
                </c:pt>
                <c:pt idx="22">
                  <c:v>0.449551555318184</c:v>
                </c:pt>
                <c:pt idx="23">
                  <c:v>0.475443572824149</c:v>
                </c:pt>
                <c:pt idx="24">
                  <c:v>0.484274857818803</c:v>
                </c:pt>
              </c:numCache>
            </c:numRef>
          </c:xVal>
          <c:yVal>
            <c:numRef>
              <c:f>'Hypersphere Data'!$BB$455:$BB$479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8"/>
          <c:order val="18"/>
          <c:tx>
            <c:v>sphere of a member of L</c:v>
          </c:tx>
          <c:spPr>
            <a:ln w="28575" cap="rnd">
              <a:solidFill>
                <a:srgbClr val="BF8F00"/>
              </a:solidFill>
              <a:round/>
            </a:ln>
          </c:spPr>
          <c:marker>
            <c:symbol val="none"/>
          </c:marker>
          <c:xVal>
            <c:numRef>
              <c:f>'Hypersphere Data'!$BE$455:$BE$479</c:f>
              <c:numCache>
                <c:formatCode>General</c:formatCode>
                <c:ptCount val="25"/>
                <c:pt idx="0">
                  <c:v>0.247061013434715</c:v>
                </c:pt>
                <c:pt idx="1">
                  <c:v>0.230119153924776</c:v>
                </c:pt>
                <c:pt idx="2">
                  <c:v>0.180448135122814</c:v>
                </c:pt>
                <c:pt idx="3">
                  <c:v>0.101432954874944</c:v>
                </c:pt>
                <c:pt idx="4">
                  <c:v>-0.00154163286370185</c:v>
                </c:pt>
                <c:pt idx="5">
                  <c:v>-0.121458080112287</c:v>
                </c:pt>
                <c:pt idx="6">
                  <c:v>-0.250144279162119</c:v>
                </c:pt>
                <c:pt idx="7">
                  <c:v>-0.378830478211951</c:v>
                </c:pt>
                <c:pt idx="8">
                  <c:v>-0.498746925460536</c:v>
                </c:pt>
                <c:pt idx="9">
                  <c:v>-0.601721513199181</c:v>
                </c:pt>
                <c:pt idx="10">
                  <c:v>-0.680736693447052</c:v>
                </c:pt>
                <c:pt idx="11">
                  <c:v>-0.730407712249013</c:v>
                </c:pt>
                <c:pt idx="12">
                  <c:v>-0.747349571758953</c:v>
                </c:pt>
                <c:pt idx="13">
                  <c:v>-0.730407712249013</c:v>
                </c:pt>
                <c:pt idx="14">
                  <c:v>-0.680736693447052</c:v>
                </c:pt>
                <c:pt idx="15">
                  <c:v>-0.601721513199182</c:v>
                </c:pt>
                <c:pt idx="16">
                  <c:v>-0.498746925460536</c:v>
                </c:pt>
                <c:pt idx="17">
                  <c:v>-0.378830478211951</c:v>
                </c:pt>
                <c:pt idx="18">
                  <c:v>-0.250144279162119</c:v>
                </c:pt>
                <c:pt idx="19">
                  <c:v>-0.121458080112287</c:v>
                </c:pt>
                <c:pt idx="20">
                  <c:v>-0.00154163286370185</c:v>
                </c:pt>
                <c:pt idx="21">
                  <c:v>0.101432954874944</c:v>
                </c:pt>
                <c:pt idx="22">
                  <c:v>0.180448135122814</c:v>
                </c:pt>
                <c:pt idx="23">
                  <c:v>0.230119153924776</c:v>
                </c:pt>
                <c:pt idx="24">
                  <c:v>0.247061013434715</c:v>
                </c:pt>
              </c:numCache>
            </c:numRef>
          </c:xVal>
          <c:yVal>
            <c:numRef>
              <c:f>'Hypersphere Data'!$BF$455:$BF$479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9"/>
          <c:order val="19"/>
          <c:tx>
            <c:v>sphere of a member of L</c:v>
          </c:tx>
          <c:spPr>
            <a:ln w="28575" cap="rnd">
              <a:solidFill>
                <a:srgbClr val="BF8F00"/>
              </a:solidFill>
              <a:round/>
            </a:ln>
          </c:spPr>
          <c:marker>
            <c:symbol val="none"/>
          </c:marker>
          <c:xVal>
            <c:numRef>
              <c:f>'Hypersphere Data'!$BI$455:$BI$479</c:f>
              <c:numCache>
                <c:formatCode>General</c:formatCode>
                <c:ptCount val="25"/>
              </c:numCache>
            </c:numRef>
          </c:xVal>
          <c:yVal>
            <c:numRef>
              <c:f>'Hypersphere Data'!$BJ$455:$BJ$479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20"/>
          <c:order val="20"/>
          <c:tx>
            <c:v>sphere of a member of L</c:v>
          </c:tx>
          <c:spPr>
            <a:ln w="28575" cap="rnd">
              <a:solidFill>
                <a:srgbClr val="BF8F00"/>
              </a:solidFill>
              <a:round/>
            </a:ln>
          </c:spPr>
          <c:marker>
            <c:symbol val="none"/>
          </c:marker>
          <c:xVal>
            <c:numRef>
              <c:f>'Hypersphere Data'!$BM$455:$BM$479</c:f>
              <c:numCache>
                <c:formatCode>General</c:formatCode>
                <c:ptCount val="25"/>
              </c:numCache>
            </c:numRef>
          </c:xVal>
          <c:yVal>
            <c:numRef>
              <c:f>'Hypersphere Data'!$BN$455:$BN$479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21"/>
          <c:order val="21"/>
          <c:tx>
            <c:v>K1 in D</c:v>
          </c:tx>
          <c:spPr>
            <a:ln w="19050">
              <a:noFill/>
            </a:ln>
          </c:spPr>
          <c:marker>
            <c:symbol val="circle"/>
            <c:size val="8"/>
            <c:spPr>
              <a:solidFill>
                <a:srgbClr val="A9C4EB"/>
              </a:solidFill>
              <a:ln w="12700">
                <a:solidFill>
                  <a:srgbClr val="2F5597"/>
                </a:solidFill>
              </a:ln>
            </c:spPr>
          </c:marker>
          <c:xVal>
            <c:numRef>
              <c:f>'Hypersphere Data'!$Z$455:$Z$461</c:f>
              <c:numCache>
                <c:formatCode>General</c:formatCode>
                <c:ptCount val="7"/>
                <c:pt idx="5">
                  <c:v>0.225096599541018</c:v>
                </c:pt>
                <c:pt idx="6">
                  <c:v>0.461894827623603</c:v>
                </c:pt>
              </c:numCache>
            </c:numRef>
          </c:xVal>
          <c:yVal>
            <c:numRef>
              <c:f>'Hypersphere Data'!$AA$455:$AA$461</c:f>
              <c:numCache>
                <c:formatCode>General</c:formatCode>
                <c:ptCount val="7"/>
                <c:pt idx="5">
                  <c:v>0.357157733823086</c:v>
                </c:pt>
                <c:pt idx="6">
                  <c:v>0.234694996272407</c:v>
                </c:pt>
              </c:numCache>
            </c:numRef>
          </c:yVal>
          <c:smooth val="0"/>
        </c:ser>
        <c:ser>
          <c:idx val="22"/>
          <c:order val="22"/>
          <c:tx>
            <c:v>K2 in D</c:v>
          </c:tx>
          <c:spPr>
            <a:ln w="19050">
              <a:noFill/>
            </a:ln>
          </c:spPr>
          <c:marker>
            <c:symbol val="triangle"/>
            <c:size val="9"/>
            <c:spPr>
              <a:solidFill>
                <a:srgbClr val="F2A7A7"/>
              </a:solidFill>
              <a:ln w="12700">
                <a:solidFill>
                  <a:srgbClr val="C00000"/>
                </a:solidFill>
              </a:ln>
            </c:spPr>
          </c:marker>
          <c:xVal>
            <c:numRef>
              <c:f>'Hypersphere Data'!$AD$455:$AD$461</c:f>
              <c:numCache>
                <c:formatCode>General</c:formatCode>
                <c:ptCount val="7"/>
                <c:pt idx="0">
                  <c:v>-0.176161255025322</c:v>
                </c:pt>
                <c:pt idx="1">
                  <c:v>0.225096599541018</c:v>
                </c:pt>
                <c:pt idx="4">
                  <c:v>-0.250144279162119</c:v>
                </c:pt>
              </c:numCache>
            </c:numRef>
          </c:xVal>
          <c:yVal>
            <c:numRef>
              <c:f>'Hypersphere Data'!$AE$455:$AE$461</c:f>
              <c:numCache>
                <c:formatCode>General</c:formatCode>
                <c:ptCount val="7"/>
                <c:pt idx="0">
                  <c:v>-0.133686854803028</c:v>
                </c:pt>
                <c:pt idx="1">
                  <c:v>-0.34731224517337</c:v>
                </c:pt>
                <c:pt idx="4">
                  <c:v>0.372359924794471</c:v>
                </c:pt>
              </c:numCache>
            </c:numRef>
          </c:yVal>
          <c:smooth val="0"/>
        </c:ser>
        <c:ser>
          <c:idx val="23"/>
          <c:order val="23"/>
          <c:tx>
            <c:v>K1 in F</c:v>
          </c:tx>
          <c:spPr>
            <a:ln w="19050">
              <a:noFill/>
            </a:ln>
          </c:spPr>
          <c:marker>
            <c:symbol val="circle"/>
            <c:size val="8"/>
            <c:spPr>
              <a:solidFill>
                <a:srgbClr val="2F5597"/>
              </a:solidFill>
              <a:ln w="19050">
                <a:solidFill>
                  <a:srgbClr val="2F5597"/>
                </a:solidFill>
              </a:ln>
            </c:spPr>
          </c:marker>
          <c:xVal>
            <c:numRef>
              <c:f>'Hypersphere Data'!$X$455:$X$461</c:f>
              <c:numCache>
                <c:formatCode>General</c:formatCode>
                <c:ptCount val="7"/>
                <c:pt idx="2">
                  <c:v>0.601551691630127</c:v>
                </c:pt>
              </c:numCache>
            </c:numRef>
          </c:xVal>
          <c:yVal>
            <c:numRef>
              <c:f>'Hypersphere Data'!$Y$455:$Y$461</c:f>
              <c:numCache>
                <c:formatCode>General</c:formatCode>
                <c:ptCount val="7"/>
                <c:pt idx="2">
                  <c:v>-0.119366973210152</c:v>
                </c:pt>
              </c:numCache>
            </c:numRef>
          </c:yVal>
          <c:smooth val="0"/>
        </c:ser>
        <c:ser>
          <c:idx val="24"/>
          <c:order val="24"/>
          <c:tx>
            <c:v>K2 in F</c:v>
          </c:tx>
          <c:spPr>
            <a:ln w="19050">
              <a:noFill/>
            </a:ln>
          </c:spPr>
          <c:marker>
            <c:symbol val="triangle"/>
            <c:size val="9"/>
            <c:spPr>
              <a:solidFill>
                <a:srgbClr val="C00000"/>
              </a:solidFill>
              <a:ln w="19050">
                <a:solidFill>
                  <a:srgbClr val="C00000"/>
                </a:solidFill>
              </a:ln>
            </c:spPr>
          </c:marker>
          <c:xVal>
            <c:numRef>
              <c:f>'Hypersphere Data'!$AB$455:$AB$461</c:f>
              <c:numCache>
                <c:formatCode>General</c:formatCode>
                <c:ptCount val="7"/>
              </c:numCache>
            </c:numRef>
          </c:xVal>
          <c:yVal>
            <c:numRef>
              <c:f>'Hypersphere Data'!$AC$455:$AC$461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5"/>
          <c:order val="25"/>
          <c:tx>
            <c:v>Sᵢ, class 1</c:v>
          </c:tx>
          <c:spPr>
            <a:ln w="19050">
              <a:noFill/>
            </a:ln>
          </c:spPr>
          <c:marker>
            <c:symbol val="circle"/>
            <c:size val="10"/>
            <c:spPr>
              <a:solidFill>
                <a:srgbClr val="2F5597"/>
              </a:solidFill>
              <a:ln w="19050">
                <a:solidFill>
                  <a:srgbClr val="000000"/>
                </a:solidFill>
              </a:ln>
            </c:spPr>
          </c:marker>
          <c:xVal>
            <c:numRef>
              <c:f>'Hypersphere Data'!$AF$455:$AF$461</c:f>
              <c:numCache>
                <c:formatCode>General</c:formatCode>
                <c:ptCount val="7"/>
              </c:numCache>
            </c:numRef>
          </c:xVal>
          <c:yVal>
            <c:numRef>
              <c:f>'Hypersphere Data'!$AG$455:$AG$461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6"/>
          <c:order val="26"/>
          <c:tx>
            <c:v>Sᵢ, class 2</c:v>
          </c:tx>
          <c:spPr>
            <a:ln w="19050">
              <a:noFill/>
            </a:ln>
          </c:spPr>
          <c:marker>
            <c:symbol val="triangle"/>
            <c:size val="11"/>
            <c:spPr>
              <a:solidFill>
                <a:srgbClr val="C00000"/>
              </a:solidFill>
              <a:ln w="19050">
                <a:solidFill>
                  <a:srgbClr val="000000"/>
                </a:solidFill>
              </a:ln>
            </c:spPr>
          </c:marker>
          <c:xVal>
            <c:numRef>
              <c:f>'Hypersphere Data'!$AH$455:$AH$461</c:f>
              <c:numCache>
                <c:formatCode>General</c:formatCode>
                <c:ptCount val="7"/>
                <c:pt idx="3">
                  <c:v>0.225096599541018</c:v>
                </c:pt>
              </c:numCache>
            </c:numRef>
          </c:xVal>
          <c:yVal>
            <c:numRef>
              <c:f>'Hypersphere Data'!$AI$455:$AI$461</c:f>
              <c:numCache>
                <c:formatCode>General</c:formatCode>
                <c:ptCount val="7"/>
                <c:pt idx="3">
                  <c:v>0.0979794755453005</c:v>
                </c:pt>
              </c:numCache>
            </c:numRef>
          </c:yVal>
          <c:smooth val="0"/>
        </c:ser>
        <c:ser>
          <c:idx val="27"/>
          <c:order val="27"/>
          <c:tx>
            <c:v>exact only for Sᵢ: inside a circle ⇔ ρ(Sⱼ, Sᵢ) &lt; r(Sⱼ)</c:v>
          </c:tx>
          <c:spPr>
            <a:ln w="19050">
              <a:noFill/>
            </a:ln>
          </c:spPr>
          <c:marker>
            <c:symbol val="plus"/>
            <c:size val="7"/>
            <c:spPr>
              <a:solidFill>
                <a:srgbClr val="000000"/>
              </a:solidFill>
              <a:ln w="15875">
                <a:solidFill>
                  <a:srgbClr val="000000"/>
                </a:solidFill>
              </a:ln>
            </c:spPr>
          </c:marker>
          <c:xVal>
            <c:numRef>
              <c:f>'Hypersphere Data'!$E$470</c:f>
              <c:numCache>
                <c:formatCode>General</c:formatCode>
                <c:ptCount val="1"/>
                <c:pt idx="0">
                  <c:v>0.225096599541018</c:v>
                </c:pt>
              </c:numCache>
            </c:numRef>
          </c:xVal>
          <c:yVal>
            <c:numRef>
              <c:f>'Hypersphere Data'!$F$470</c:f>
              <c:numCache>
                <c:formatCode>General</c:formatCode>
                <c:ptCount val="1"/>
                <c:pt idx="0">
                  <c:v>0.0979794755453005</c:v>
                </c:pt>
              </c:numCache>
            </c:numRef>
          </c:yVal>
          <c:smooth val="0"/>
        </c:ser>
        <c:ser>
          <c:idx val="28"/>
          <c:order val="28"/>
          <c:tx>
            <c:strRef>
              <c:f>'Hypersphere Data'!$D$464</c:f>
              <c:strCache>
                <c:ptCount val="1"/>
                <c:pt idx="0">
                  <c:v>S₆ (in D)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Data'!$E$464</c:f>
              <c:numCache>
                <c:formatCode>General</c:formatCode>
                <c:ptCount val="1"/>
                <c:pt idx="0">
                  <c:v>0.225096599541018</c:v>
                </c:pt>
              </c:numCache>
            </c:numRef>
          </c:xVal>
          <c:yVal>
            <c:numRef>
              <c:f>'Hypersphere Data'!$F$464</c:f>
              <c:numCache>
                <c:formatCode>General</c:formatCode>
                <c:ptCount val="1"/>
                <c:pt idx="0">
                  <c:v>0.357157733823086</c:v>
                </c:pt>
              </c:numCache>
            </c:numRef>
          </c:yVal>
          <c:smooth val="0"/>
        </c:ser>
        <c:ser>
          <c:idx val="29"/>
          <c:order val="29"/>
          <c:tx>
            <c:strRef>
              <c:f>'Hypersphere Data'!$D$465</c:f>
              <c:strCache>
                <c:ptCount val="1"/>
                <c:pt idx="0">
                  <c:v>S₇ (in D)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Data'!$E$465</c:f>
              <c:numCache>
                <c:formatCode>General</c:formatCode>
                <c:ptCount val="1"/>
                <c:pt idx="0">
                  <c:v>0.461894827623603</c:v>
                </c:pt>
              </c:numCache>
            </c:numRef>
          </c:xVal>
          <c:yVal>
            <c:numRef>
              <c:f>'Hypersphere Data'!$F$465</c:f>
              <c:numCache>
                <c:formatCode>General</c:formatCode>
                <c:ptCount val="1"/>
                <c:pt idx="0">
                  <c:v>0.234694996272407</c:v>
                </c:pt>
              </c:numCache>
            </c:numRef>
          </c:yVal>
          <c:smooth val="0"/>
        </c:ser>
        <c:ser>
          <c:idx val="30"/>
          <c:order val="30"/>
          <c:tx>
            <c:strRef>
              <c:f>'Hypersphere Data'!$D$466</c:f>
              <c:strCache>
                <c:ptCount val="1"/>
                <c:pt idx="0">
                  <c:v>S₃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Data'!$E$466</c:f>
              <c:numCache>
                <c:formatCode>General</c:formatCode>
                <c:ptCount val="1"/>
                <c:pt idx="0">
                  <c:v>0.601551691630127</c:v>
                </c:pt>
              </c:numCache>
            </c:numRef>
          </c:xVal>
          <c:yVal>
            <c:numRef>
              <c:f>'Hypersphere Data'!$F$466</c:f>
              <c:numCache>
                <c:formatCode>General</c:formatCode>
                <c:ptCount val="1"/>
                <c:pt idx="0">
                  <c:v>-0.119366973210152</c:v>
                </c:pt>
              </c:numCache>
            </c:numRef>
          </c:yVal>
          <c:smooth val="0"/>
        </c:ser>
        <c:ser>
          <c:idx val="31"/>
          <c:order val="31"/>
          <c:tx>
            <c:strRef>
              <c:f>'Hypersphere Data'!$D$467</c:f>
              <c:strCache>
                <c:ptCount val="1"/>
                <c:pt idx="0">
                  <c:v>S₂ (in D)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Data'!$E$467</c:f>
              <c:numCache>
                <c:formatCode>General</c:formatCode>
                <c:ptCount val="1"/>
                <c:pt idx="0">
                  <c:v>0.225096599541018</c:v>
                </c:pt>
              </c:numCache>
            </c:numRef>
          </c:xVal>
          <c:yVal>
            <c:numRef>
              <c:f>'Hypersphere Data'!$F$467</c:f>
              <c:numCache>
                <c:formatCode>General</c:formatCode>
                <c:ptCount val="1"/>
                <c:pt idx="0">
                  <c:v>-0.34731224517337</c:v>
                </c:pt>
              </c:numCache>
            </c:numRef>
          </c:yVal>
          <c:smooth val="0"/>
        </c:ser>
        <c:ser>
          <c:idx val="32"/>
          <c:order val="32"/>
          <c:tx>
            <c:strRef>
              <c:f>'Hypersphere Data'!$D$468</c:f>
              <c:strCache>
                <c:ptCount val="1"/>
                <c:pt idx="0">
                  <c:v>S₁ (in D)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Data'!$E$468</c:f>
              <c:numCache>
                <c:formatCode>General</c:formatCode>
                <c:ptCount val="1"/>
                <c:pt idx="0">
                  <c:v>-0.176161255025322</c:v>
                </c:pt>
              </c:numCache>
            </c:numRef>
          </c:xVal>
          <c:yVal>
            <c:numRef>
              <c:f>'Hypersphere Data'!$F$468</c:f>
              <c:numCache>
                <c:formatCode>General</c:formatCode>
                <c:ptCount val="1"/>
                <c:pt idx="0">
                  <c:v>-0.133686854803028</c:v>
                </c:pt>
              </c:numCache>
            </c:numRef>
          </c:yVal>
          <c:smooth val="0"/>
        </c:ser>
        <c:ser>
          <c:idx val="33"/>
          <c:order val="33"/>
          <c:tx>
            <c:strRef>
              <c:f>'Hypersphere Data'!$D$469</c:f>
              <c:strCache>
                <c:ptCount val="1"/>
                <c:pt idx="0">
                  <c:v>S₅ (in D)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Data'!$E$469</c:f>
              <c:numCache>
                <c:formatCode>General</c:formatCode>
                <c:ptCount val="1"/>
                <c:pt idx="0">
                  <c:v>-0.250144279162119</c:v>
                </c:pt>
              </c:numCache>
            </c:numRef>
          </c:xVal>
          <c:yVal>
            <c:numRef>
              <c:f>'Hypersphere Data'!$F$469</c:f>
              <c:numCache>
                <c:formatCode>General</c:formatCode>
                <c:ptCount val="1"/>
                <c:pt idx="0">
                  <c:v>0.372359924794471</c:v>
                </c:pt>
              </c:numCache>
            </c:numRef>
          </c:yVal>
          <c:smooth val="0"/>
        </c:ser>
        <c:ser>
          <c:idx val="34"/>
          <c:order val="34"/>
          <c:tx>
            <c:strRef>
              <c:f>'Hypersphere Data'!$D$470</c:f>
              <c:strCache>
                <c:ptCount val="1"/>
                <c:pt idx="0">
                  <c:v>S₄ = Sᵢ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Data'!$E$470</c:f>
              <c:numCache>
                <c:formatCode>General</c:formatCode>
                <c:ptCount val="1"/>
                <c:pt idx="0">
                  <c:v>0.225096599541018</c:v>
                </c:pt>
              </c:numCache>
            </c:numRef>
          </c:xVal>
          <c:yVal>
            <c:numRef>
              <c:f>'Hypersphere Data'!$F$470</c:f>
              <c:numCache>
                <c:formatCode>General</c:formatCode>
                <c:ptCount val="1"/>
                <c:pt idx="0">
                  <c:v>0.0979794755453005</c:v>
                </c:pt>
              </c:numCache>
            </c:numRef>
          </c:yVal>
          <c:smooth val="0"/>
        </c:ser>
        <c:ser>
          <c:idx val="35"/>
          <c:order val="35"/>
          <c:tx>
            <c:strRef>
              <c:f>'Hypersphere Data'!$D$462</c:f>
              <c:strCache>
                <c:ptCount val="1"/>
                <c:pt idx="0">
                  <c:v>Queue empty → Step 6:   D = {S₁, S₂, S₅, S₆, S₇}   ·   F = {S₃, S₄}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1000" b="1">
                    <a:solidFill>
                      <a:srgbClr val="1F3864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Data'!$E$462</c:f>
              <c:numCache>
                <c:formatCode>General</c:formatCode>
                <c:ptCount val="1"/>
              </c:numCache>
            </c:numRef>
          </c:xVal>
          <c:yVal>
            <c:numRef>
              <c:f>'Hypersphere Data'!$F$462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36"/>
          <c:order val="36"/>
          <c:tx>
            <c:strRef>
              <c:f>'Hypersphere Data'!$D$471</c:f>
              <c:strCache>
                <c:ptCount val="1"/>
                <c:pt idx="0">
                  <c:v>Sᵢ = S₄   ·   L = ∅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50" b="1">
                    <a:solidFill>
                      <a:srgbClr val="1F3864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Data'!$E$471</c:f>
              <c:numCache>
                <c:formatCode>General</c:formatCode>
                <c:ptCount val="1"/>
                <c:pt idx="0">
                  <c:v>-0.97</c:v>
                </c:pt>
              </c:numCache>
            </c:numRef>
          </c:xVal>
          <c:yVal>
            <c:numRef>
              <c:f>'Hypersphere Data'!$F$471</c:f>
              <c:numCache>
                <c:formatCode>General</c:formatCode>
                <c:ptCount val="1"/>
                <c:pt idx="0">
                  <c:v>0.955</c:v>
                </c:pt>
              </c:numCache>
            </c:numRef>
          </c:yVal>
          <c:smooth val="0"/>
        </c:ser>
        <c:ser>
          <c:idx val="37"/>
          <c:order val="37"/>
          <c:tx>
            <c:strRef>
              <c:f>'Hypersphere Data'!$D$472</c:f>
              <c:strCache>
                <c:ptCount val="1"/>
                <c:pt idx="0">
                  <c:v>|L| = 0 → Sᵢ is only blocked and stays in F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50" b="1">
                    <a:solidFill>
                      <a:srgbClr val="1F3864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Data'!$E$472</c:f>
              <c:numCache>
                <c:formatCode>General</c:formatCode>
                <c:ptCount val="1"/>
                <c:pt idx="0">
                  <c:v>-0.97</c:v>
                </c:pt>
              </c:numCache>
            </c:numRef>
          </c:xVal>
          <c:yVal>
            <c:numRef>
              <c:f>'Hypersphere Data'!$F$472</c:f>
              <c:numCache>
                <c:formatCode>General</c:formatCode>
                <c:ptCount val="1"/>
                <c:pt idx="0">
                  <c:v>-0.955</c:v>
                </c:pt>
              </c:numCache>
            </c:numRef>
          </c:yVal>
          <c:smooth val="0"/>
        </c:ser>
        <c:axId val="9101"/>
        <c:axId val="9102"/>
      </c:scatterChart>
      <c:valAx>
        <c:axId val="9101"/>
        <c:scaling>
          <c:orientation val="minMax"/>
          <c:max val="1.0"/>
          <c:min val="-1.0"/>
        </c:scaling>
        <c:delete val="1"/>
        <c:axPos val="b"/>
        <c:numFmt formatCode="General" sourceLinked="0"/>
        <c:majorTickMark val="none"/>
        <c:minorTickMark val="none"/>
        <c:tickLblPos val="none"/>
        <c:crossAx val="9102"/>
        <c:crosses val="autoZero"/>
        <c:crossBetween val="midCat"/>
      </c:valAx>
      <c:valAx>
        <c:axId val="9102"/>
        <c:scaling>
          <c:orientation val="minMax"/>
          <c:max val="1.0"/>
          <c:min val="-1.0"/>
        </c:scaling>
        <c:delete val="1"/>
        <c:axPos val="l"/>
        <c:numFmt formatCode="General" sourceLinked="0"/>
        <c:majorTickMark val="none"/>
        <c:minorTickMark val="none"/>
        <c:tickLblPos val="none"/>
        <c:crossAx val="9101"/>
        <c:crosses val="autoZero"/>
        <c:crossBetween val="midCat"/>
      </c:valAx>
      <c:spPr>
        <a:noFill/>
        <a:ln>
          <a:noFill/>
        </a:ln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8"/>
        <c:delete val="1"/>
      </c:legendEntry>
      <c:legendEntry>
        <c:idx val="29"/>
        <c:delete val="1"/>
      </c:legendEntry>
      <c:legendEntry>
        <c:idx val="30"/>
        <c:delete val="1"/>
      </c:legendEntry>
      <c:legendEntry>
        <c:idx val="31"/>
        <c:delete val="1"/>
      </c:legendEntry>
      <c:legendEntry>
        <c:idx val="32"/>
        <c:delete val="1"/>
      </c:legendEntry>
      <c:legendEntry>
        <c:idx val="33"/>
        <c:delete val="1"/>
      </c:legendEntry>
      <c:legendEntry>
        <c:idx val="34"/>
        <c:delete val="1"/>
      </c:legendEntry>
      <c:legendEntry>
        <c:idx val="35"/>
        <c:delete val="1"/>
      </c:legendEntry>
      <c:legendEntry>
        <c:idx val="36"/>
        <c:delete val="1"/>
      </c:legendEntry>
      <c:legendEntry>
        <c:idx val="37"/>
        <c:delete val="1"/>
      </c:legendEntry>
      <c:layout>
        <c:manualLayout>
          <c:xMode val="edge"/>
          <c:yMode val="edge"/>
          <c:x val="0.7069"/>
          <c:y val="0.2700"/>
          <c:w val="0.2781"/>
          <c:h val="0.5000"/>
        </c:manualLayout>
      </c:layout>
      <c:overlay val="0"/>
      <c:txPr>
        <a:bodyPr/>
        <a:lstStyle/>
        <a:p>
          <a:pPr>
            <a:defRPr sz="900" b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/>
          <a:lstStyle/>
          <a:p>
            <a:pPr>
              <a:defRPr sz="1050" b="1">
                <a:solidFill>
                  <a:srgbClr val="1F3864"/>
                </a:solidFill>
                <a:latin typeface="Calibri"/>
              </a:defRPr>
            </a:pPr>
            <a:r>
              <a:rPr lang="en-US" sz="1050" b="1">
                <a:solidFill>
                  <a:srgbClr val="1F3864"/>
                </a:solidFill>
                <a:latin typeface="Calibri"/>
              </a:rPr>
              <a:t>Iteration 7 · enemy spheres around the selected Sᵢ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0152"/>
          <c:y val="0.0812"/>
          <c:w val="0.6768"/>
          <c:h val="0.8701"/>
        </c:manualLayout>
      </c:layout>
      <c:scatterChart>
        <c:scatterStyle val="lineMarker"/>
        <c:varyColors val="0"/>
        <c:ser>
          <c:idx val="0"/>
          <c:order val="0"/>
          <c:tx>
            <c:v>own class in F, not in L</c:v>
          </c:tx>
          <c:spPr>
            <a:ln w="15875" cap="rnd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Data'!$AO$484:$AO$508</c:f>
              <c:numCache>
                <c:formatCode>General</c:formatCode>
                <c:ptCount val="25"/>
              </c:numCache>
            </c:numRef>
          </c:xVal>
          <c:yVal>
            <c:numRef>
              <c:f>'Hypersphere Data'!$AQ$484:$AQ$508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"/>
          <c:order val="1"/>
          <c:tx>
            <c:v>own class in F, not in L</c:v>
          </c:tx>
          <c:spPr>
            <a:ln w="15875" cap="rnd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Data'!$AS$484:$AS$508</c:f>
              <c:numCache>
                <c:formatCode>General</c:formatCode>
                <c:ptCount val="25"/>
              </c:numCache>
            </c:numRef>
          </c:xVal>
          <c:yVal>
            <c:numRef>
              <c:f>'Hypersphere Data'!$AU$484:$AU$508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2"/>
          <c:order val="2"/>
          <c:tx>
            <c:v>own class in F, not in L</c:v>
          </c:tx>
          <c:spPr>
            <a:ln w="15875" cap="rnd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Data'!$AW$484:$AW$508</c:f>
              <c:numCache>
                <c:formatCode>General</c:formatCode>
                <c:ptCount val="25"/>
              </c:numCache>
            </c:numRef>
          </c:xVal>
          <c:yVal>
            <c:numRef>
              <c:f>'Hypersphere Data'!$AY$484:$AY$508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3"/>
          <c:order val="3"/>
          <c:tx>
            <c:v>own class in F, not in L</c:v>
          </c:tx>
          <c:spPr>
            <a:ln w="15875" cap="rnd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Data'!$BA$484:$BA$508</c:f>
              <c:numCache>
                <c:formatCode>General</c:formatCode>
                <c:ptCount val="25"/>
              </c:numCache>
            </c:numRef>
          </c:xVal>
          <c:yVal>
            <c:numRef>
              <c:f>'Hypersphere Data'!$BC$484:$BC$508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4"/>
          <c:order val="4"/>
          <c:tx>
            <c:v>own class in F, not in L</c:v>
          </c:tx>
          <c:spPr>
            <a:ln w="15875" cap="rnd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Data'!$BE$484:$BE$508</c:f>
              <c:numCache>
                <c:formatCode>General</c:formatCode>
                <c:ptCount val="25"/>
              </c:numCache>
            </c:numRef>
          </c:xVal>
          <c:yVal>
            <c:numRef>
              <c:f>'Hypersphere Data'!$BG$484:$BG$508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5"/>
          <c:order val="5"/>
          <c:tx>
            <c:v>own class in F, not in L</c:v>
          </c:tx>
          <c:spPr>
            <a:ln w="15875" cap="rnd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Data'!$BI$484:$BI$508</c:f>
              <c:numCache>
                <c:formatCode>General</c:formatCode>
                <c:ptCount val="25"/>
              </c:numCache>
            </c:numRef>
          </c:xVal>
          <c:yVal>
            <c:numRef>
              <c:f>'Hypersphere Data'!$BK$484:$BK$508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6"/>
          <c:order val="6"/>
          <c:tx>
            <c:v>own class in F, not in L</c:v>
          </c:tx>
          <c:spPr>
            <a:ln w="15875" cap="rnd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xVal>
            <c:numRef>
              <c:f>'Hypersphere Data'!$BM$484:$BM$508</c:f>
              <c:numCache>
                <c:formatCode>General</c:formatCode>
                <c:ptCount val="25"/>
              </c:numCache>
            </c:numRef>
          </c:xVal>
          <c:yVal>
            <c:numRef>
              <c:f>'Hypersphere Data'!$BO$484:$BO$508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7"/>
          <c:order val="7"/>
          <c:tx>
            <c:v>own class in D (no longer counts)</c:v>
          </c:tx>
          <c:spPr>
            <a:ln w="15875" cap="rnd">
              <a:solidFill>
                <a:srgbClr val="A6A6A6"/>
              </a:solidFill>
              <a:prstDash val="sysDot"/>
              <a:round/>
            </a:ln>
          </c:spPr>
          <c:marker>
            <c:symbol val="none"/>
          </c:marker>
          <c:xVal>
            <c:numRef>
              <c:f>'Hypersphere Data'!$AO$484:$AO$508</c:f>
              <c:numCache>
                <c:formatCode>General</c:formatCode>
                <c:ptCount val="25"/>
              </c:numCache>
            </c:numRef>
          </c:xVal>
          <c:yVal>
            <c:numRef>
              <c:f>'Hypersphere Data'!$AR$484:$AR$508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8"/>
          <c:order val="8"/>
          <c:tx>
            <c:v>own class in D (no longer counts)</c:v>
          </c:tx>
          <c:spPr>
            <a:ln w="15875" cap="rnd">
              <a:solidFill>
                <a:srgbClr val="A6A6A6"/>
              </a:solidFill>
              <a:prstDash val="sysDot"/>
              <a:round/>
            </a:ln>
          </c:spPr>
          <c:marker>
            <c:symbol val="none"/>
          </c:marker>
          <c:xVal>
            <c:numRef>
              <c:f>'Hypersphere Data'!$AS$484:$AS$508</c:f>
              <c:numCache>
                <c:formatCode>General</c:formatCode>
                <c:ptCount val="25"/>
              </c:numCache>
            </c:numRef>
          </c:xVal>
          <c:yVal>
            <c:numRef>
              <c:f>'Hypersphere Data'!$AV$484:$AV$508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9"/>
          <c:order val="9"/>
          <c:tx>
            <c:v>own class in D (no longer counts)</c:v>
          </c:tx>
          <c:spPr>
            <a:ln w="15875" cap="rnd">
              <a:solidFill>
                <a:srgbClr val="A6A6A6"/>
              </a:solidFill>
              <a:prstDash val="sysDot"/>
              <a:round/>
            </a:ln>
          </c:spPr>
          <c:marker>
            <c:symbol val="none"/>
          </c:marker>
          <c:xVal>
            <c:numRef>
              <c:f>'Hypersphere Data'!$AW$484:$AW$508</c:f>
              <c:numCache>
                <c:formatCode>General</c:formatCode>
                <c:ptCount val="25"/>
              </c:numCache>
            </c:numRef>
          </c:xVal>
          <c:yVal>
            <c:numRef>
              <c:f>'Hypersphere Data'!$AZ$484:$AZ$508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0"/>
          <c:order val="10"/>
          <c:tx>
            <c:v>own class in D (no longer counts)</c:v>
          </c:tx>
          <c:spPr>
            <a:ln w="15875" cap="rnd">
              <a:solidFill>
                <a:srgbClr val="A6A6A6"/>
              </a:solidFill>
              <a:prstDash val="sysDot"/>
              <a:round/>
            </a:ln>
          </c:spPr>
          <c:marker>
            <c:symbol val="none"/>
          </c:marker>
          <c:xVal>
            <c:numRef>
              <c:f>'Hypersphere Data'!$BA$484:$BA$508</c:f>
              <c:numCache>
                <c:formatCode>General</c:formatCode>
                <c:ptCount val="25"/>
              </c:numCache>
            </c:numRef>
          </c:xVal>
          <c:yVal>
            <c:numRef>
              <c:f>'Hypersphere Data'!$BD$484:$BD$508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1"/>
          <c:order val="11"/>
          <c:tx>
            <c:v>own class in D (no longer counts)</c:v>
          </c:tx>
          <c:spPr>
            <a:ln w="15875" cap="rnd">
              <a:solidFill>
                <a:srgbClr val="A6A6A6"/>
              </a:solidFill>
              <a:prstDash val="sysDot"/>
              <a:round/>
            </a:ln>
          </c:spPr>
          <c:marker>
            <c:symbol val="none"/>
          </c:marker>
          <c:xVal>
            <c:numRef>
              <c:f>'Hypersphere Data'!$BE$484:$BE$508</c:f>
              <c:numCache>
                <c:formatCode>General</c:formatCode>
                <c:ptCount val="25"/>
              </c:numCache>
            </c:numRef>
          </c:xVal>
          <c:yVal>
            <c:numRef>
              <c:f>'Hypersphere Data'!$BH$484:$BH$508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2"/>
          <c:order val="12"/>
          <c:tx>
            <c:v>own class in D (no longer counts)</c:v>
          </c:tx>
          <c:spPr>
            <a:ln w="15875" cap="rnd">
              <a:solidFill>
                <a:srgbClr val="A6A6A6"/>
              </a:solidFill>
              <a:prstDash val="sysDot"/>
              <a:round/>
            </a:ln>
          </c:spPr>
          <c:marker>
            <c:symbol val="none"/>
          </c:marker>
          <c:xVal>
            <c:numRef>
              <c:f>'Hypersphere Data'!$BI$484:$BI$508</c:f>
              <c:numCache>
                <c:formatCode>General</c:formatCode>
                <c:ptCount val="25"/>
              </c:numCache>
            </c:numRef>
          </c:xVal>
          <c:yVal>
            <c:numRef>
              <c:f>'Hypersphere Data'!$BL$484:$BL$508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3"/>
          <c:order val="13"/>
          <c:tx>
            <c:v>own class in D (no longer counts)</c:v>
          </c:tx>
          <c:spPr>
            <a:ln w="15875" cap="rnd">
              <a:solidFill>
                <a:srgbClr val="A6A6A6"/>
              </a:solidFill>
              <a:prstDash val="sysDot"/>
              <a:round/>
            </a:ln>
          </c:spPr>
          <c:marker>
            <c:symbol val="none"/>
          </c:marker>
          <c:xVal>
            <c:numRef>
              <c:f>'Hypersphere Data'!$BM$484:$BM$508</c:f>
              <c:numCache>
                <c:formatCode>General</c:formatCode>
                <c:ptCount val="25"/>
              </c:numCache>
            </c:numRef>
          </c:xVal>
          <c:yVal>
            <c:numRef>
              <c:f>'Hypersphere Data'!$BP$484:$BP$508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4"/>
          <c:order val="14"/>
          <c:tx>
            <c:v>sphere of a member of L</c:v>
          </c:tx>
          <c:spPr>
            <a:ln w="28575" cap="rnd">
              <a:solidFill>
                <a:srgbClr val="BF8F00"/>
              </a:solidFill>
              <a:round/>
            </a:ln>
          </c:spPr>
          <c:marker>
            <c:symbol val="none"/>
          </c:marker>
          <c:xVal>
            <c:numRef>
              <c:f>'Hypersphere Data'!$AO$484:$AO$508</c:f>
              <c:numCache>
                <c:formatCode>General</c:formatCode>
                <c:ptCount val="25"/>
              </c:numCache>
            </c:numRef>
          </c:xVal>
          <c:yVal>
            <c:numRef>
              <c:f>'Hypersphere Data'!$AP$484:$AP$508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5"/>
          <c:order val="15"/>
          <c:tx>
            <c:v>sphere of a member of L</c:v>
          </c:tx>
          <c:spPr>
            <a:ln w="28575" cap="rnd">
              <a:solidFill>
                <a:srgbClr val="BF8F00"/>
              </a:solidFill>
              <a:round/>
            </a:ln>
          </c:spPr>
          <c:marker>
            <c:symbol val="none"/>
          </c:marker>
          <c:xVal>
            <c:numRef>
              <c:f>'Hypersphere Data'!$AS$484:$AS$508</c:f>
              <c:numCache>
                <c:formatCode>General</c:formatCode>
                <c:ptCount val="25"/>
              </c:numCache>
            </c:numRef>
          </c:xVal>
          <c:yVal>
            <c:numRef>
              <c:f>'Hypersphere Data'!$AT$484:$AT$508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6"/>
          <c:order val="16"/>
          <c:tx>
            <c:v>sphere of a member of L</c:v>
          </c:tx>
          <c:spPr>
            <a:ln w="28575" cap="rnd">
              <a:solidFill>
                <a:srgbClr val="BF8F00"/>
              </a:solidFill>
              <a:round/>
            </a:ln>
          </c:spPr>
          <c:marker>
            <c:symbol val="none"/>
          </c:marker>
          <c:xVal>
            <c:numRef>
              <c:f>'Hypersphere Data'!$AW$484:$AW$508</c:f>
              <c:numCache>
                <c:formatCode>General</c:formatCode>
                <c:ptCount val="25"/>
              </c:numCache>
            </c:numRef>
          </c:xVal>
          <c:yVal>
            <c:numRef>
              <c:f>'Hypersphere Data'!$AX$484:$AX$508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7"/>
          <c:order val="17"/>
          <c:tx>
            <c:v>sphere of a member of L</c:v>
          </c:tx>
          <c:spPr>
            <a:ln w="28575" cap="rnd">
              <a:solidFill>
                <a:srgbClr val="BF8F00"/>
              </a:solidFill>
              <a:round/>
            </a:ln>
          </c:spPr>
          <c:marker>
            <c:symbol val="none"/>
          </c:marker>
          <c:xVal>
            <c:numRef>
              <c:f>'Hypersphere Data'!$BA$484:$BA$508</c:f>
              <c:numCache>
                <c:formatCode>General</c:formatCode>
                <c:ptCount val="25"/>
              </c:numCache>
            </c:numRef>
          </c:xVal>
          <c:yVal>
            <c:numRef>
              <c:f>'Hypersphere Data'!$BB$484:$BB$508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8"/>
          <c:order val="18"/>
          <c:tx>
            <c:v>sphere of a member of L</c:v>
          </c:tx>
          <c:spPr>
            <a:ln w="28575" cap="rnd">
              <a:solidFill>
                <a:srgbClr val="BF8F00"/>
              </a:solidFill>
              <a:round/>
            </a:ln>
          </c:spPr>
          <c:marker>
            <c:symbol val="none"/>
          </c:marker>
          <c:xVal>
            <c:numRef>
              <c:f>'Hypersphere Data'!$BE$484:$BE$508</c:f>
              <c:numCache>
                <c:formatCode>General</c:formatCode>
                <c:ptCount val="25"/>
              </c:numCache>
            </c:numRef>
          </c:xVal>
          <c:yVal>
            <c:numRef>
              <c:f>'Hypersphere Data'!$BF$484:$BF$508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19"/>
          <c:order val="19"/>
          <c:tx>
            <c:v>sphere of a member of L</c:v>
          </c:tx>
          <c:spPr>
            <a:ln w="28575" cap="rnd">
              <a:solidFill>
                <a:srgbClr val="BF8F00"/>
              </a:solidFill>
              <a:round/>
            </a:ln>
          </c:spPr>
          <c:marker>
            <c:symbol val="none"/>
          </c:marker>
          <c:xVal>
            <c:numRef>
              <c:f>'Hypersphere Data'!$BI$484:$BI$508</c:f>
              <c:numCache>
                <c:formatCode>General</c:formatCode>
                <c:ptCount val="25"/>
              </c:numCache>
            </c:numRef>
          </c:xVal>
          <c:yVal>
            <c:numRef>
              <c:f>'Hypersphere Data'!$BJ$484:$BJ$508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20"/>
          <c:order val="20"/>
          <c:tx>
            <c:v>sphere of a member of L</c:v>
          </c:tx>
          <c:spPr>
            <a:ln w="28575" cap="rnd">
              <a:solidFill>
                <a:srgbClr val="BF8F00"/>
              </a:solidFill>
              <a:round/>
            </a:ln>
          </c:spPr>
          <c:marker>
            <c:symbol val="none"/>
          </c:marker>
          <c:xVal>
            <c:numRef>
              <c:f>'Hypersphere Data'!$BM$484:$BM$508</c:f>
              <c:numCache>
                <c:formatCode>General</c:formatCode>
                <c:ptCount val="25"/>
              </c:numCache>
            </c:numRef>
          </c:xVal>
          <c:yVal>
            <c:numRef>
              <c:f>'Hypersphere Data'!$BN$484:$BN$508</c:f>
              <c:numCache>
                <c:formatCode>General</c:formatCode>
                <c:ptCount val="25"/>
              </c:numCache>
            </c:numRef>
          </c:yVal>
          <c:smooth val="1"/>
        </c:ser>
        <c:ser>
          <c:idx val="21"/>
          <c:order val="21"/>
          <c:tx>
            <c:v>K1 in D</c:v>
          </c:tx>
          <c:spPr>
            <a:ln w="19050">
              <a:noFill/>
            </a:ln>
          </c:spPr>
          <c:marker>
            <c:symbol val="circle"/>
            <c:size val="8"/>
            <c:spPr>
              <a:solidFill>
                <a:srgbClr val="A9C4EB"/>
              </a:solidFill>
              <a:ln w="12700">
                <a:solidFill>
                  <a:srgbClr val="2F5597"/>
                </a:solidFill>
              </a:ln>
            </c:spPr>
          </c:marker>
          <c:xVal>
            <c:numRef>
              <c:f>'Hypersphere Data'!$Z$484:$Z$490</c:f>
              <c:numCache>
                <c:formatCode>General</c:formatCode>
                <c:ptCount val="7"/>
              </c:numCache>
            </c:numRef>
          </c:xVal>
          <c:yVal>
            <c:numRef>
              <c:f>'Hypersphere Data'!$AA$484:$AA$490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2"/>
          <c:order val="22"/>
          <c:tx>
            <c:v>K2 in D</c:v>
          </c:tx>
          <c:spPr>
            <a:ln w="19050">
              <a:noFill/>
            </a:ln>
          </c:spPr>
          <c:marker>
            <c:symbol val="triangle"/>
            <c:size val="9"/>
            <c:spPr>
              <a:solidFill>
                <a:srgbClr val="F2A7A7"/>
              </a:solidFill>
              <a:ln w="12700">
                <a:solidFill>
                  <a:srgbClr val="C00000"/>
                </a:solidFill>
              </a:ln>
            </c:spPr>
          </c:marker>
          <c:xVal>
            <c:numRef>
              <c:f>'Hypersphere Data'!$AD$484:$AD$490</c:f>
              <c:numCache>
                <c:formatCode>General</c:formatCode>
                <c:ptCount val="7"/>
              </c:numCache>
            </c:numRef>
          </c:xVal>
          <c:yVal>
            <c:numRef>
              <c:f>'Hypersphere Data'!$AE$484:$AE$490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3"/>
          <c:order val="23"/>
          <c:tx>
            <c:v>K1 in F</c:v>
          </c:tx>
          <c:spPr>
            <a:ln w="19050">
              <a:noFill/>
            </a:ln>
          </c:spPr>
          <c:marker>
            <c:symbol val="circle"/>
            <c:size val="8"/>
            <c:spPr>
              <a:solidFill>
                <a:srgbClr val="2F5597"/>
              </a:solidFill>
              <a:ln w="19050">
                <a:solidFill>
                  <a:srgbClr val="2F5597"/>
                </a:solidFill>
              </a:ln>
            </c:spPr>
          </c:marker>
          <c:xVal>
            <c:numRef>
              <c:f>'Hypersphere Data'!$X$484:$X$490</c:f>
              <c:numCache>
                <c:formatCode>General</c:formatCode>
                <c:ptCount val="7"/>
              </c:numCache>
            </c:numRef>
          </c:xVal>
          <c:yVal>
            <c:numRef>
              <c:f>'Hypersphere Data'!$Y$484:$Y$490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4"/>
          <c:order val="24"/>
          <c:tx>
            <c:v>K2 in F</c:v>
          </c:tx>
          <c:spPr>
            <a:ln w="19050">
              <a:noFill/>
            </a:ln>
          </c:spPr>
          <c:marker>
            <c:symbol val="triangle"/>
            <c:size val="9"/>
            <c:spPr>
              <a:solidFill>
                <a:srgbClr val="C00000"/>
              </a:solidFill>
              <a:ln w="19050">
                <a:solidFill>
                  <a:srgbClr val="C00000"/>
                </a:solidFill>
              </a:ln>
            </c:spPr>
          </c:marker>
          <c:xVal>
            <c:numRef>
              <c:f>'Hypersphere Data'!$AB$484:$AB$490</c:f>
              <c:numCache>
                <c:formatCode>General</c:formatCode>
                <c:ptCount val="7"/>
              </c:numCache>
            </c:numRef>
          </c:xVal>
          <c:yVal>
            <c:numRef>
              <c:f>'Hypersphere Data'!$AC$484:$AC$490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5"/>
          <c:order val="25"/>
          <c:tx>
            <c:v>Sᵢ, class 1</c:v>
          </c:tx>
          <c:spPr>
            <a:ln w="19050">
              <a:noFill/>
            </a:ln>
          </c:spPr>
          <c:marker>
            <c:symbol val="circle"/>
            <c:size val="10"/>
            <c:spPr>
              <a:solidFill>
                <a:srgbClr val="2F5597"/>
              </a:solidFill>
              <a:ln w="19050">
                <a:solidFill>
                  <a:srgbClr val="000000"/>
                </a:solidFill>
              </a:ln>
            </c:spPr>
          </c:marker>
          <c:xVal>
            <c:numRef>
              <c:f>'Hypersphere Data'!$AF$484:$AF$490</c:f>
              <c:numCache>
                <c:formatCode>General</c:formatCode>
                <c:ptCount val="7"/>
              </c:numCache>
            </c:numRef>
          </c:xVal>
          <c:yVal>
            <c:numRef>
              <c:f>'Hypersphere Data'!$AG$484:$AG$490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6"/>
          <c:order val="26"/>
          <c:tx>
            <c:v>Sᵢ, class 2</c:v>
          </c:tx>
          <c:spPr>
            <a:ln w="19050">
              <a:noFill/>
            </a:ln>
          </c:spPr>
          <c:marker>
            <c:symbol val="triangle"/>
            <c:size val="11"/>
            <c:spPr>
              <a:solidFill>
                <a:srgbClr val="C00000"/>
              </a:solidFill>
              <a:ln w="19050">
                <a:solidFill>
                  <a:srgbClr val="000000"/>
                </a:solidFill>
              </a:ln>
            </c:spPr>
          </c:marker>
          <c:xVal>
            <c:numRef>
              <c:f>'Hypersphere Data'!$AH$484:$AH$490</c:f>
              <c:numCache>
                <c:formatCode>General</c:formatCode>
                <c:ptCount val="7"/>
              </c:numCache>
            </c:numRef>
          </c:xVal>
          <c:yVal>
            <c:numRef>
              <c:f>'Hypersphere Data'!$AI$484:$AI$490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7"/>
          <c:order val="27"/>
          <c:tx>
            <c:v>exact only for Sᵢ: inside a circle ⇔ ρ(Sⱼ, Sᵢ) &lt; r(Sⱼ)</c:v>
          </c:tx>
          <c:spPr>
            <a:ln w="19050">
              <a:noFill/>
            </a:ln>
          </c:spPr>
          <c:marker>
            <c:symbol val="plus"/>
            <c:size val="7"/>
            <c:spPr>
              <a:solidFill>
                <a:srgbClr val="000000"/>
              </a:solidFill>
              <a:ln w="15875">
                <a:solidFill>
                  <a:srgbClr val="000000"/>
                </a:solidFill>
              </a:ln>
            </c:spPr>
          </c:marker>
          <c:xVal>
            <c:numRef>
              <c:f>'Hypersphere Data'!$E$499</c:f>
              <c:numCache>
                <c:formatCode>General</c:formatCode>
                <c:ptCount val="1"/>
              </c:numCache>
            </c:numRef>
          </c:xVal>
          <c:yVal>
            <c:numRef>
              <c:f>'Hypersphere Data'!$F$499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28"/>
          <c:order val="28"/>
          <c:tx>
            <c:strRef>
              <c:f>'Hypersphere Data'!$D$493</c:f>
              <c:strCache>
                <c:ptCount val="1"/>
                <c:pt idx="0">
                  <c:v/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Data'!$E$493</c:f>
              <c:numCache>
                <c:formatCode>General</c:formatCode>
                <c:ptCount val="1"/>
              </c:numCache>
            </c:numRef>
          </c:xVal>
          <c:yVal>
            <c:numRef>
              <c:f>'Hypersphere Data'!$F$493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29"/>
          <c:order val="29"/>
          <c:tx>
            <c:strRef>
              <c:f>'Hypersphere Data'!$D$494</c:f>
              <c:strCache>
                <c:ptCount val="1"/>
                <c:pt idx="0">
                  <c:v/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Data'!$E$494</c:f>
              <c:numCache>
                <c:formatCode>General</c:formatCode>
                <c:ptCount val="1"/>
              </c:numCache>
            </c:numRef>
          </c:xVal>
          <c:yVal>
            <c:numRef>
              <c:f>'Hypersphere Data'!$F$494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30"/>
          <c:order val="30"/>
          <c:tx>
            <c:strRef>
              <c:f>'Hypersphere Data'!$D$495</c:f>
              <c:strCache>
                <c:ptCount val="1"/>
                <c:pt idx="0">
                  <c:v/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Data'!$E$495</c:f>
              <c:numCache>
                <c:formatCode>General</c:formatCode>
                <c:ptCount val="1"/>
              </c:numCache>
            </c:numRef>
          </c:xVal>
          <c:yVal>
            <c:numRef>
              <c:f>'Hypersphere Data'!$F$495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31"/>
          <c:order val="31"/>
          <c:tx>
            <c:strRef>
              <c:f>'Hypersphere Data'!$D$496</c:f>
              <c:strCache>
                <c:ptCount val="1"/>
                <c:pt idx="0">
                  <c:v/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Data'!$E$496</c:f>
              <c:numCache>
                <c:formatCode>General</c:formatCode>
                <c:ptCount val="1"/>
              </c:numCache>
            </c:numRef>
          </c:xVal>
          <c:yVal>
            <c:numRef>
              <c:f>'Hypersphere Data'!$F$496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32"/>
          <c:order val="32"/>
          <c:tx>
            <c:strRef>
              <c:f>'Hypersphere Data'!$D$497</c:f>
              <c:strCache>
                <c:ptCount val="1"/>
                <c:pt idx="0">
                  <c:v/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Data'!$E$497</c:f>
              <c:numCache>
                <c:formatCode>General</c:formatCode>
                <c:ptCount val="1"/>
              </c:numCache>
            </c:numRef>
          </c:xVal>
          <c:yVal>
            <c:numRef>
              <c:f>'Hypersphere Data'!$F$497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33"/>
          <c:order val="33"/>
          <c:tx>
            <c:strRef>
              <c:f>'Hypersphere Data'!$D$498</c:f>
              <c:strCache>
                <c:ptCount val="1"/>
                <c:pt idx="0">
                  <c:v/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Data'!$E$498</c:f>
              <c:numCache>
                <c:formatCode>General</c:formatCode>
                <c:ptCount val="1"/>
              </c:numCache>
            </c:numRef>
          </c:xVal>
          <c:yVal>
            <c:numRef>
              <c:f>'Hypersphere Data'!$F$498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34"/>
          <c:order val="34"/>
          <c:tx>
            <c:strRef>
              <c:f>'Hypersphere Data'!$D$499</c:f>
              <c:strCache>
                <c:ptCount val="1"/>
                <c:pt idx="0">
                  <c:v/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solidFill>
                <a:srgbClr val="FFFFFF">
                  <a:alpha val="80000"/>
                </a:srgbClr>
              </a:solidFill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Data'!$E$499</c:f>
              <c:numCache>
                <c:formatCode>General</c:formatCode>
                <c:ptCount val="1"/>
              </c:numCache>
            </c:numRef>
          </c:xVal>
          <c:yVal>
            <c:numRef>
              <c:f>'Hypersphere Data'!$F$499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35"/>
          <c:order val="35"/>
          <c:tx>
            <c:strRef>
              <c:f>'Hypersphere Data'!$D$491</c:f>
              <c:strCache>
                <c:ptCount val="1"/>
                <c:pt idx="0">
                  <c:v>Queue empty → Step 6:   D = {S₁, S₂, S₅, S₆, S₇}   ·   F = {S₃, S₄}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1000" b="1">
                    <a:solidFill>
                      <a:srgbClr val="1F3864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Data'!$E$491</c:f>
              <c:numCache>
                <c:formatCode>General</c:formatCode>
                <c:ptCount val="1"/>
                <c:pt idx="0">
                  <c:v>0.0</c:v>
                </c:pt>
              </c:numCache>
            </c:numRef>
          </c:xVal>
          <c:yVal>
            <c:numRef>
              <c:f>'Hypersphere Data'!$F$491</c:f>
              <c:numCache>
                <c:formatCode>General</c:formatCode>
                <c:ptCount val="1"/>
                <c:pt idx="0">
                  <c:v>0.0</c:v>
                </c:pt>
              </c:numCache>
            </c:numRef>
          </c:yVal>
          <c:smooth val="0"/>
        </c:ser>
        <c:ser>
          <c:idx val="36"/>
          <c:order val="36"/>
          <c:tx>
            <c:strRef>
              <c:f>'Hypersphere Data'!$D$500</c:f>
              <c:strCache>
                <c:ptCount val="1"/>
                <c:pt idx="0">
                  <c:v/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50" b="1">
                    <a:solidFill>
                      <a:srgbClr val="1F3864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Data'!$E$500</c:f>
              <c:numCache>
                <c:formatCode>General</c:formatCode>
                <c:ptCount val="1"/>
              </c:numCache>
            </c:numRef>
          </c:xVal>
          <c:yVal>
            <c:numRef>
              <c:f>'Hypersphere Data'!$F$500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37"/>
          <c:order val="37"/>
          <c:tx>
            <c:strRef>
              <c:f>'Hypersphere Data'!$D$501</c:f>
              <c:strCache>
                <c:ptCount val="1"/>
                <c:pt idx="0">
                  <c:v/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50" b="1">
                    <a:solidFill>
                      <a:srgbClr val="1F3864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'Hypersphere Data'!$E$501</c:f>
              <c:numCache>
                <c:formatCode>General</c:formatCode>
                <c:ptCount val="1"/>
              </c:numCache>
            </c:numRef>
          </c:xVal>
          <c:yVal>
            <c:numRef>
              <c:f>'Hypersphere Data'!$F$501</c:f>
              <c:numCache>
                <c:formatCode>General</c:formatCode>
                <c:ptCount val="1"/>
              </c:numCache>
            </c:numRef>
          </c:yVal>
          <c:smooth val="0"/>
        </c:ser>
        <c:axId val="9101"/>
        <c:axId val="9102"/>
      </c:scatterChart>
      <c:valAx>
        <c:axId val="9101"/>
        <c:scaling>
          <c:orientation val="minMax"/>
          <c:max val="1.0"/>
          <c:min val="-1.0"/>
        </c:scaling>
        <c:delete val="1"/>
        <c:axPos val="b"/>
        <c:numFmt formatCode="General" sourceLinked="0"/>
        <c:majorTickMark val="none"/>
        <c:minorTickMark val="none"/>
        <c:tickLblPos val="none"/>
        <c:crossAx val="9102"/>
        <c:crosses val="autoZero"/>
        <c:crossBetween val="midCat"/>
      </c:valAx>
      <c:valAx>
        <c:axId val="9102"/>
        <c:scaling>
          <c:orientation val="minMax"/>
          <c:max val="1.0"/>
          <c:min val="-1.0"/>
        </c:scaling>
        <c:delete val="1"/>
        <c:axPos val="l"/>
        <c:numFmt formatCode="General" sourceLinked="0"/>
        <c:majorTickMark val="none"/>
        <c:minorTickMark val="none"/>
        <c:tickLblPos val="none"/>
        <c:crossAx val="9101"/>
        <c:crosses val="autoZero"/>
        <c:crossBetween val="midCat"/>
      </c:valAx>
      <c:spPr>
        <a:noFill/>
        <a:ln>
          <a:noFill/>
        </a:ln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8"/>
        <c:delete val="1"/>
      </c:legendEntry>
      <c:legendEntry>
        <c:idx val="29"/>
        <c:delete val="1"/>
      </c:legendEntry>
      <c:legendEntry>
        <c:idx val="30"/>
        <c:delete val="1"/>
      </c:legendEntry>
      <c:legendEntry>
        <c:idx val="31"/>
        <c:delete val="1"/>
      </c:legendEntry>
      <c:legendEntry>
        <c:idx val="32"/>
        <c:delete val="1"/>
      </c:legendEntry>
      <c:legendEntry>
        <c:idx val="33"/>
        <c:delete val="1"/>
      </c:legendEntry>
      <c:legendEntry>
        <c:idx val="34"/>
        <c:delete val="1"/>
      </c:legendEntry>
      <c:legendEntry>
        <c:idx val="35"/>
        <c:delete val="1"/>
      </c:legendEntry>
      <c:legendEntry>
        <c:idx val="36"/>
        <c:delete val="1"/>
      </c:legendEntry>
      <c:legendEntry>
        <c:idx val="37"/>
        <c:delete val="1"/>
      </c:legendEntry>
      <c:layout>
        <c:manualLayout>
          <c:xMode val="edge"/>
          <c:yMode val="edge"/>
          <c:x val="0.7069"/>
          <c:y val="0.2700"/>
          <c:w val="0.2781"/>
          <c:h val="0.5000"/>
        </c:manualLayout>
      </c:layout>
      <c:overlay val="0"/>
      <c:txPr>
        <a:bodyPr/>
        <a:lstStyle/>
        <a:p>
          <a:pPr>
            <a:defRPr sz="900" b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/>
          <a:lstStyle/>
          <a:p>
            <a:pPr>
              <a:defRPr sz="1200" b="1">
                <a:solidFill>
                  <a:srgbClr val="1F3864"/>
                </a:solidFill>
                <a:latin typeface="Calibri"/>
              </a:defRPr>
            </a:pPr>
            <a:r>
              <a:rPr lang="en-US" sz="1200" b="1">
                <a:solidFill>
                  <a:srgbClr val="1F3864"/>
                </a:solidFill>
                <a:latin typeface="Calibri"/>
              </a:rPr>
              <a:t>Counters g(Sⱼ) at the start (Step 1) and after the last iteration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v>g at the start</c:v>
          </c:tx>
          <c:spPr>
            <a:ln w="28575" cap="rnd">
              <a:solidFill>
                <a:srgbClr val="70AD47"/>
              </a:solidFill>
              <a:prstDash val="dash"/>
              <a:round/>
            </a:ln>
          </c:spPr>
          <c:marker>
            <c:symbol val="circle"/>
            <c:size val="8"/>
            <c:spPr>
              <a:solidFill>
                <a:srgbClr val="70AD47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Trace'!$B$76:$H$76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Trace'!$B$77:$H$77</c:f>
              <c:numCache>
                <c:formatCode>General</c:formatCode>
                <c:ptCount val="7"/>
                <c:pt idx="0">
                  <c:v>3.0</c:v>
                </c:pt>
                <c:pt idx="1">
                  <c:v>4.0</c:v>
                </c:pt>
                <c:pt idx="2">
                  <c:v>3.0</c:v>
                </c:pt>
                <c:pt idx="3">
                  <c:v>1.0</c:v>
                </c:pt>
                <c:pt idx="4">
                  <c:v>3.0</c:v>
                </c:pt>
                <c:pt idx="5">
                  <c:v>1.0</c:v>
                </c:pt>
                <c:pt idx="6">
                  <c:v>2.0</c:v>
                </c:pt>
              </c:numCache>
            </c:numRef>
          </c:val>
        </c:ser>
        <c:ser>
          <c:idx val="1"/>
          <c:order val="1"/>
          <c:tx>
            <c:v>g after the last iteration</c:v>
          </c:tx>
          <c:spPr>
            <a:ln w="28575" cap="rnd">
              <a:solidFill>
                <a:srgbClr val="375623"/>
              </a:solidFill>
              <a:round/>
            </a:ln>
          </c:spPr>
          <c:marker>
            <c:symbol val="square"/>
            <c:size val="8"/>
            <c:spPr>
              <a:solidFill>
                <a:srgbClr val="375623"/>
              </a:solidFill>
              <a:ln w="12700">
                <a:solidFill>
                  <a:srgbClr val="FFFFFF"/>
                </a:solidFill>
              </a:ln>
            </c:spPr>
          </c:marker>
          <c:cat>
            <c:strRef>
              <c:f>'ERDR Trace'!$B$76:$H$76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'ERDR Trace'!$B$84:$H$84</c:f>
              <c:numCache>
                <c:formatCode>General</c:formatCode>
                <c:ptCount val="7"/>
                <c:pt idx="0">
                  <c:v>1.0</c:v>
                </c:pt>
                <c:pt idx="1">
                  <c:v>2.0</c:v>
                </c:pt>
                <c:pt idx="2">
                  <c:v>2.0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</c:numCache>
            </c:numRef>
          </c:val>
        </c:ser>
        <c:axId val="8001"/>
        <c:axId val="8002"/>
      </c:radarChart>
      <c:catAx>
        <c:axId val="8001"/>
        <c:scaling>
          <c:orientation val="minMax"/>
        </c:scaling>
        <c:delete val="0"/>
        <c:axPos val="b"/>
        <c:majorGridlines>
          <c:spPr>
            <a:ln w="6350">
              <a:solidFill>
                <a:srgbClr val="D9D9D9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50" b="1">
                <a:solidFill>
                  <a:srgbClr val="262626"/>
                </a:solidFill>
                <a:latin typeface="Calibri"/>
              </a:defRPr>
            </a:pPr>
            <a:endParaRPr lang="en-US"/>
          </a:p>
        </c:txPr>
        <c:crossAx val="8002"/>
        <c:crosses val="autoZero"/>
        <c:auto val="1"/>
        <c:lblAlgn val="ctr"/>
        <c:lblOffset val="100"/>
        <c:noMultiLvlLbl val="0"/>
      </c:catAx>
      <c:valAx>
        <c:axId val="8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numFmt formatCode="0" sourceLinked="0"/>
        <c:majorTickMark val="cross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900" b="0">
                <a:solidFill>
                  <a:srgbClr val="7F7F7F"/>
                </a:solidFill>
                <a:latin typeface="Calibri"/>
              </a:defRPr>
            </a:pPr>
            <a:endParaRPr lang="en-US"/>
          </a:p>
        </c:txPr>
        <c:crossAx val="8001"/>
        <c:crosses val="autoZero"/>
        <c:crossBetween val="between"/>
        <c:majorUnit val="1"/>
      </c:valAx>
    </c:plotArea>
    <c:legend>
      <c:legendPos val="b"/>
      <c:overlay val="0"/>
      <c:txPr>
        <a:bodyPr/>
        <a:lstStyle/>
        <a:p>
          <a:pPr>
            <a:defRPr sz="1000" b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/>
          <a:lstStyle/>
          <a:p>
            <a:pPr>
              <a:defRPr sz="1300" b="1">
                <a:solidFill>
                  <a:srgbClr val="1F3864"/>
                </a:solidFill>
                <a:latin typeface="Calibri"/>
              </a:defRPr>
            </a:pPr>
            <a:r>
              <a:rPr lang="en-US" sz="1300" b="1">
                <a:solidFill>
                  <a:srgbClr val="1F3864"/>
                </a:solidFill>
                <a:latin typeface="Calibri"/>
              </a:rPr>
              <a:t>2-D map of the 7 objects (Zhuravlev distances)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'Charts'!$A$5</c:f>
              <c:strCache>
                <c:ptCount val="1"/>
                <c:pt idx="0">
                  <c:v>S₁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12"/>
            <c:spPr>
              <a:solidFill>
                <a:srgbClr val="C00000"/>
              </a:solidFill>
              <a:ln w="22225">
                <a:solidFill>
                  <a:srgbClr val="C00000"/>
                </a:solidFill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1050" b="1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'Charts'!$B$5</c:f>
              <c:numCache>
                <c:formatCode>General</c:formatCode>
                <c:ptCount val="1"/>
                <c:pt idx="0">
                  <c:v>2.31016</c:v>
                </c:pt>
              </c:numCache>
            </c:numRef>
          </c:xVal>
          <c:yVal>
            <c:numRef>
              <c:f>'Charts'!$C$5</c:f>
              <c:numCache>
                <c:formatCode>General</c:formatCode>
                <c:ptCount val="1"/>
                <c:pt idx="0">
                  <c:v>-0.479167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'Charts'!$A$6</c:f>
              <c:strCache>
                <c:ptCount val="1"/>
                <c:pt idx="0">
                  <c:v>S₂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12"/>
            <c:spPr>
              <a:solidFill>
                <a:srgbClr val="C00000"/>
              </a:solidFill>
              <a:ln w="22225">
                <a:solidFill>
                  <a:srgbClr val="C00000"/>
                </a:solidFill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1050" b="1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'Charts'!$B$6</c:f>
              <c:numCache>
                <c:formatCode>General</c:formatCode>
                <c:ptCount val="1"/>
                <c:pt idx="0">
                  <c:v>3.761907</c:v>
                </c:pt>
              </c:numCache>
            </c:numRef>
          </c:xVal>
          <c:yVal>
            <c:numRef>
              <c:f>'Charts'!$C$6</c:f>
              <c:numCache>
                <c:formatCode>General</c:formatCode>
                <c:ptCount val="1"/>
                <c:pt idx="0">
                  <c:v>2.727525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'Charts'!$A$7</c:f>
              <c:strCache>
                <c:ptCount val="1"/>
                <c:pt idx="0">
                  <c:v>S₃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12"/>
            <c:spPr>
              <a:solidFill>
                <a:srgbClr val="BDD7EE"/>
              </a:solidFill>
              <a:ln w="22225">
                <a:solidFill>
                  <a:srgbClr val="2F5597"/>
                </a:solidFill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1050" b="1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'Charts'!$B$7</c:f>
              <c:numCache>
                <c:formatCode>General</c:formatCode>
                <c:ptCount val="1"/>
                <c:pt idx="0">
                  <c:v>-1.711201</c:v>
                </c:pt>
              </c:numCache>
            </c:numRef>
          </c:xVal>
          <c:yVal>
            <c:numRef>
              <c:f>'Charts'!$C$7</c:f>
              <c:numCache>
                <c:formatCode>General</c:formatCode>
                <c:ptCount val="1"/>
                <c:pt idx="0">
                  <c:v>-2.511892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'Charts'!$A$8</c:f>
              <c:strCache>
                <c:ptCount val="1"/>
                <c:pt idx="0">
                  <c:v>S₄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12"/>
            <c:spPr>
              <a:solidFill>
                <a:srgbClr val="F8CBAD"/>
              </a:solidFill>
              <a:ln w="22225">
                <a:solidFill>
                  <a:srgbClr val="C00000"/>
                </a:solidFill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1050" b="1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'Charts'!$B$8</c:f>
              <c:numCache>
                <c:formatCode>General</c:formatCode>
                <c:ptCount val="1"/>
                <c:pt idx="0">
                  <c:v>-2.166181</c:v>
                </c:pt>
              </c:numCache>
            </c:numRef>
          </c:xVal>
          <c:yVal>
            <c:numRef>
              <c:f>'Charts'!$C$8</c:f>
              <c:numCache>
                <c:formatCode>General</c:formatCode>
                <c:ptCount val="1"/>
                <c:pt idx="0">
                  <c:v>2.690197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'Charts'!$A$9</c:f>
              <c:strCache>
                <c:ptCount val="1"/>
                <c:pt idx="0">
                  <c:v>S₅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12"/>
            <c:spPr>
              <a:solidFill>
                <a:srgbClr val="C00000"/>
              </a:solidFill>
              <a:ln w="22225">
                <a:solidFill>
                  <a:srgbClr val="C00000"/>
                </a:solidFill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1050" b="1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'Charts'!$B$9</c:f>
              <c:numCache>
                <c:formatCode>General</c:formatCode>
                <c:ptCount val="1"/>
                <c:pt idx="0">
                  <c:v>4.126983</c:v>
                </c:pt>
              </c:numCache>
            </c:numRef>
          </c:xVal>
          <c:yVal>
            <c:numRef>
              <c:f>'Charts'!$C$9</c:f>
              <c:numCache>
                <c:formatCode>General</c:formatCode>
                <c:ptCount val="1"/>
                <c:pt idx="0">
                  <c:v>-1.813838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'Charts'!$A$10</c:f>
              <c:strCache>
                <c:ptCount val="1"/>
                <c:pt idx="0">
                  <c:v>S₆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12"/>
            <c:spPr>
              <a:solidFill>
                <a:srgbClr val="2F5597"/>
              </a:solidFill>
              <a:ln w="22225">
                <a:solidFill>
                  <a:srgbClr val="2F5597"/>
                </a:solidFill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1050" b="1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'Charts'!$B$10</c:f>
              <c:numCache>
                <c:formatCode>General</c:formatCode>
                <c:ptCount val="1"/>
                <c:pt idx="0">
                  <c:v>-4.027502</c:v>
                </c:pt>
              </c:numCache>
            </c:numRef>
          </c:xVal>
          <c:yVal>
            <c:numRef>
              <c:f>'Charts'!$C$10</c:f>
              <c:numCache>
                <c:formatCode>General</c:formatCode>
                <c:ptCount val="1"/>
                <c:pt idx="0">
                  <c:v>0.891279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'Charts'!$A$11</c:f>
              <c:strCache>
                <c:ptCount val="1"/>
                <c:pt idx="0">
                  <c:v>S₇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12"/>
            <c:spPr>
              <a:solidFill>
                <a:srgbClr val="2F5597"/>
              </a:solidFill>
              <a:ln w="22225">
                <a:solidFill>
                  <a:srgbClr val="2F5597"/>
                </a:solidFill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1050" b="1">
                    <a:solidFill>
                      <a:srgbClr val="262626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'Charts'!$B$11</c:f>
              <c:numCache>
                <c:formatCode>General</c:formatCode>
                <c:ptCount val="1"/>
                <c:pt idx="0">
                  <c:v>-2.294165</c:v>
                </c:pt>
              </c:numCache>
            </c:numRef>
          </c:xVal>
          <c:yVal>
            <c:numRef>
              <c:f>'Charts'!$C$11</c:f>
              <c:numCache>
                <c:formatCode>General</c:formatCode>
                <c:ptCount val="1"/>
                <c:pt idx="0">
                  <c:v>-1.504104</c:v>
                </c:pt>
              </c:numCache>
            </c:numRef>
          </c:yVal>
          <c:smooth val="0"/>
        </c:ser>
        <c:axId val="7001"/>
        <c:axId val="7002"/>
      </c:scatterChart>
      <c:valAx>
        <c:axId val="7001"/>
        <c:scaling>
          <c:orientation val="minMax"/>
          <c:max val="6"/>
          <c:min val="-6"/>
        </c:scaling>
        <c:delete val="0"/>
        <c:axPos val="b"/>
        <c:title>
          <c:tx>
            <c:rich>
              <a:bodyPr/>
              <a:lstStyle/>
              <a:p>
                <a:pPr>
                  <a:defRPr sz="1000" b="1">
                    <a:solidFill>
                      <a:srgbClr val="1F3864"/>
                    </a:solidFill>
                    <a:latin typeface="Calibri"/>
                  </a:defRPr>
                </a:pPr>
                <a:r>
                  <a:rPr lang="en-US" sz="1000" b="1">
                    <a:solidFill>
                      <a:srgbClr val="1F3864"/>
                    </a:solidFill>
                    <a:latin typeface="Calibri"/>
                  </a:rPr>
                  <a:t>map axis 1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00" b="0">
                <a:solidFill>
                  <a:srgbClr val="404040"/>
                </a:solidFill>
                <a:latin typeface="Calibri"/>
              </a:defRPr>
            </a:pPr>
            <a:endParaRPr lang="en-US"/>
          </a:p>
        </c:txPr>
        <c:crossAx val="7002"/>
        <c:crosses val="autoZero"/>
        <c:crossBetween val="midCat"/>
      </c:valAx>
      <c:valAx>
        <c:axId val="7002"/>
        <c:scaling>
          <c:orientation val="minMax"/>
          <c:max val="4"/>
          <c:min val="-4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>
                    <a:solidFill>
                      <a:srgbClr val="1F3864"/>
                    </a:solidFill>
                    <a:latin typeface="Calibri"/>
                  </a:defRPr>
                </a:pPr>
                <a:r>
                  <a:rPr lang="en-US" sz="1000" b="1">
                    <a:solidFill>
                      <a:srgbClr val="1F3864"/>
                    </a:solidFill>
                    <a:latin typeface="Calibri"/>
                  </a:rPr>
                  <a:t>map axis 2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00" b="0">
                <a:solidFill>
                  <a:srgbClr val="404040"/>
                </a:solidFill>
                <a:latin typeface="Calibri"/>
              </a:defRPr>
            </a:pPr>
            <a:endParaRPr lang="en-US"/>
          </a:p>
        </c:txPr>
        <c:crossAx val="7001"/>
        <c:crosses val="autoZero"/>
        <c:crossBetween val="midCat"/>
      </c:valAx>
    </c:plotArea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/>
          <a:lstStyle/>
          <a:p>
            <a:pPr>
              <a:defRPr sz="1300" b="1">
                <a:solidFill>
                  <a:srgbClr val="1F3864"/>
                </a:solidFill>
                <a:latin typeface="Calibri"/>
              </a:defRPr>
            </a:pPr>
            <a:r>
              <a:rPr lang="en-US" sz="1300" b="1">
                <a:solidFill>
                  <a:srgbClr val="1F3864"/>
                </a:solidFill>
                <a:latin typeface="Calibri"/>
              </a:rPr>
              <a:t>Enemy radius r(Sᵢ) and k-th neighbour distance z(Sᵢ, k)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r(Sᵢ) — nearest enemy</c:v>
          </c:tx>
          <c:spPr>
            <a:solidFill>
              <a:srgbClr val="2F5597"/>
            </a:solidFill>
            <a:ln>
              <a:noFill/>
            </a:ln>
          </c:spPr>
          <c:invertIfNegative val="0"/>
          <c:dLbls>
            <c:numFmt formatCode="0.0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'Charts'!$A$5:$A$11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'Charts'!$F$5:$F$11</c:f>
              <c:numCache>
                <c:formatCode>General</c:formatCode>
                <c:ptCount val="7"/>
                <c:pt idx="0">
                  <c:v>5.60708061</c:v>
                </c:pt>
                <c:pt idx="1">
                  <c:v>7.4699698919</c:v>
                </c:pt>
                <c:pt idx="2">
                  <c:v>5.60708061</c:v>
                </c:pt>
                <c:pt idx="3">
                  <c:v>3.7071187508</c:v>
                </c:pt>
                <c:pt idx="4">
                  <c:v>7.1117040273</c:v>
                </c:pt>
                <c:pt idx="5">
                  <c:v>3.7071187508</c:v>
                </c:pt>
                <c:pt idx="6">
                  <c:v>3.9109813746</c:v>
                </c:pt>
              </c:numCache>
            </c:numRef>
          </c:val>
        </c:ser>
        <c:ser>
          <c:idx val="1"/>
          <c:order val="1"/>
          <c:tx>
            <c:v>z(Sᵢ, k) — k-th neighbour</c:v>
          </c:tx>
          <c:spPr>
            <a:solidFill>
              <a:srgbClr val="ED7D31"/>
            </a:solidFill>
            <a:ln>
              <a:noFill/>
            </a:ln>
          </c:spPr>
          <c:invertIfNegative val="0"/>
          <c:dLbls>
            <c:numFmt formatCode="0.0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'Charts'!$A$5:$A$11</c:f>
              <c:strCache>
                <c:ptCount val="7"/>
                <c:pt idx="0">
                  <c:v>S₁</c:v>
                </c:pt>
                <c:pt idx="1">
                  <c:v>S₂</c:v>
                </c:pt>
                <c:pt idx="2">
                  <c:v>S₃</c:v>
                </c:pt>
                <c:pt idx="3">
                  <c:v>S₄</c:v>
                </c:pt>
                <c:pt idx="4">
                  <c:v>S₅</c:v>
                </c:pt>
                <c:pt idx="5">
                  <c:v>S₆</c:v>
                </c:pt>
                <c:pt idx="6">
                  <c:v>S₇</c:v>
                </c:pt>
              </c:strCache>
            </c:strRef>
          </c:cat>
          <c:val>
            <c:numRef>
              <c:f>'Charts'!$G$5:$G$11</c:f>
              <c:numCache>
                <c:formatCode>General</c:formatCode>
                <c:ptCount val="7"/>
                <c:pt idx="0">
                  <c:v>5.60708061</c:v>
                </c:pt>
                <c:pt idx="1">
                  <c:v>6.3691657565</c:v>
                </c:pt>
                <c:pt idx="2">
                  <c:v>5.60708061</c:v>
                </c:pt>
                <c:pt idx="3">
                  <c:v>6.2175670209</c:v>
                </c:pt>
                <c:pt idx="4">
                  <c:v>7.1117040273</c:v>
                </c:pt>
                <c:pt idx="5">
                  <c:v>5.2172783643</c:v>
                </c:pt>
                <c:pt idx="6">
                  <c:v>5.0314314939</c:v>
                </c:pt>
              </c:numCache>
            </c:numRef>
          </c:val>
        </c:ser>
        <c:gapWidth val="80"/>
        <c:overlap val="-10"/>
        <c:axId val="5001"/>
        <c:axId val="5002"/>
      </c:barChart>
      <c:catAx>
        <c:axId val="5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>
                    <a:solidFill>
                      <a:srgbClr val="1F3864"/>
                    </a:solidFill>
                    <a:latin typeface="Calibri"/>
                  </a:defRPr>
                </a:pPr>
                <a:r>
                  <a:rPr lang="en-US" sz="1000" b="1">
                    <a:solidFill>
                      <a:srgbClr val="1F3864"/>
                    </a:solidFill>
                    <a:latin typeface="Calibri"/>
                  </a:rPr>
                  <a:t>object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low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00" b="0">
                <a:solidFill>
                  <a:srgbClr val="404040"/>
                </a:solidFill>
                <a:latin typeface="Calibri"/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>
                    <a:solidFill>
                      <a:srgbClr val="1F3864"/>
                    </a:solidFill>
                    <a:latin typeface="Calibri"/>
                  </a:defRPr>
                </a:pPr>
                <a:r>
                  <a:rPr lang="en-US" sz="1000" b="1">
                    <a:solidFill>
                      <a:srgbClr val="1F3864"/>
                    </a:solidFill>
                    <a:latin typeface="Calibri"/>
                  </a:rPr>
                  <a:t>Zhuravlev distance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00" b="0">
                <a:solidFill>
                  <a:srgbClr val="404040"/>
                </a:solidFill>
                <a:latin typeface="Calibri"/>
              </a:defRPr>
            </a:pPr>
            <a:endParaRPr lang="en-US"/>
          </a:p>
        </c:txPr>
        <c:crossAx val="5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000" b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/>
          <a:lstStyle/>
          <a:p>
            <a:pPr>
              <a:defRPr sz="1300" b="1">
                <a:solidFill>
                  <a:srgbClr val="1F3864"/>
                </a:solidFill>
                <a:latin typeface="Calibri"/>
              </a:defRPr>
            </a:pPr>
            <a:r>
              <a:rPr lang="en-US" sz="1300" b="1">
                <a:solidFill>
                  <a:srgbClr val="1F3864"/>
                </a:solidFill>
                <a:latin typeface="Calibri"/>
              </a:rPr>
              <a:t>Step 2 · priority d(Sᵢ) in queue order (ties at d = 0)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d(Sᵢ)</c:v>
          </c:tx>
          <c:spPr>
            <a:solidFill>
              <a:srgbClr val="548235"/>
            </a:solidFill>
            <a:ln>
              <a:noFill/>
            </a:ln>
          </c:spPr>
          <c:invertIfNegative val="0"/>
          <c:dLbls>
            <c:numFmt formatCode="0.00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'Priority Queue'!$B$5:$B$11</c:f>
              <c:strCache>
                <c:ptCount val="7"/>
                <c:pt idx="0">
                  <c:v>S₁</c:v>
                </c:pt>
                <c:pt idx="1">
                  <c:v>S₃</c:v>
                </c:pt>
                <c:pt idx="2">
                  <c:v>S₅</c:v>
                </c:pt>
                <c:pt idx="3">
                  <c:v>S₂</c:v>
                </c:pt>
                <c:pt idx="4">
                  <c:v>S₇</c:v>
                </c:pt>
                <c:pt idx="5">
                  <c:v>S₆</c:v>
                </c:pt>
                <c:pt idx="6">
                  <c:v>S₄</c:v>
                </c:pt>
              </c:strCache>
            </c:strRef>
          </c:cat>
          <c:val>
            <c:numRef>
              <c:f>'Priority Queue'!$E$5:$E$11</c:f>
              <c:numCache>
                <c:formatCode>General</c:formatCod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0.0795428388</c:v>
                </c:pt>
                <c:pt idx="4">
                  <c:v>0.1252961741</c:v>
                </c:pt>
                <c:pt idx="5">
                  <c:v>0.1692169896</c:v>
                </c:pt>
                <c:pt idx="6">
                  <c:v>0.2529498997</c:v>
                </c:pt>
              </c:numCache>
            </c:numRef>
          </c:val>
        </c:ser>
        <c:gapWidth val="80"/>
        <c:overlap val="-10"/>
        <c:axId val="5001"/>
        <c:axId val="5002"/>
      </c:barChart>
      <c:catAx>
        <c:axId val="5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>
                    <a:solidFill>
                      <a:srgbClr val="1F3864"/>
                    </a:solidFill>
                    <a:latin typeface="Calibri"/>
                  </a:defRPr>
                </a:pPr>
                <a:r>
                  <a:rPr lang="en-US" sz="1000" b="1">
                    <a:solidFill>
                      <a:srgbClr val="1F3864"/>
                    </a:solidFill>
                    <a:latin typeface="Calibri"/>
                  </a:rPr>
                  <a:t>queue position →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low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00" b="0">
                <a:solidFill>
                  <a:srgbClr val="404040"/>
                </a:solidFill>
                <a:latin typeface="Calibri"/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>
                    <a:solidFill>
                      <a:srgbClr val="1F3864"/>
                    </a:solidFill>
                    <a:latin typeface="Calibri"/>
                  </a:defRPr>
                </a:pPr>
                <a:r>
                  <a:rPr lang="en-US" sz="1000" b="1">
                    <a:solidFill>
                      <a:srgbClr val="1F3864"/>
                    </a:solidFill>
                    <a:latin typeface="Calibri"/>
                  </a:rPr>
                  <a:t>d = |z − r| / (z + r)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00" b="0">
                <a:solidFill>
                  <a:srgbClr val="404040"/>
                </a:solidFill>
                <a:latin typeface="Calibri"/>
              </a:defRPr>
            </a:pPr>
            <a:endParaRPr lang="en-US"/>
          </a:p>
        </c:txPr>
        <c:crossAx val="5001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/>
          <a:lstStyle/>
          <a:p>
            <a:pPr>
              <a:defRPr sz="1300" b="1">
                <a:solidFill>
                  <a:srgbClr val="1F3864"/>
                </a:solidFill>
                <a:latin typeface="Calibri"/>
              </a:defRPr>
            </a:pPr>
            <a:r>
              <a:rPr lang="en-US" sz="1300" b="1">
                <a:solidFill>
                  <a:srgbClr val="1F3864"/>
                </a:solidFill>
                <a:latin typeface="Calibri"/>
              </a:rPr>
              <a:t>Working set F and training sample D through the iterations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|F| — working set</c:v>
          </c:tx>
          <c:spPr>
            <a:ln w="28575" cap="rnd">
              <a:solidFill>
                <a:srgbClr val="2F5597"/>
              </a:solidFill>
              <a:round/>
            </a:ln>
          </c:spPr>
          <c:marker>
            <c:symbol val="circle"/>
            <c:size val="7"/>
            <c:spPr>
              <a:solidFill>
                <a:srgbClr val="2F5597"/>
              </a:solidFill>
              <a:ln w="9525">
                <a:solidFill>
                  <a:srgbClr val="2F5597"/>
                </a:solidFill>
              </a:ln>
            </c:spPr>
          </c:marker>
          <c:cat>
            <c:strRef>
              <c:f>'ERDR Trace'!$A$97:$A$104</c:f>
              <c:strCach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strCache>
            </c:strRef>
          </c:cat>
          <c:val>
            <c:numRef>
              <c:f>'ERDR Trace'!$B$97:$B$104</c:f>
              <c:numCache>
                <c:formatCode>General</c:formatCode>
                <c:ptCount val="8"/>
                <c:pt idx="0">
                  <c:v>7.0</c:v>
                </c:pt>
                <c:pt idx="1">
                  <c:v>7.0</c:v>
                </c:pt>
                <c:pt idx="2">
                  <c:v>6.0</c:v>
                </c:pt>
                <c:pt idx="3">
                  <c:v>4.0</c:v>
                </c:pt>
                <c:pt idx="4">
                  <c:v>3.0</c:v>
                </c:pt>
                <c:pt idx="5">
                  <c:v>2.0</c:v>
                </c:pt>
                <c:pt idx="6">
                  <c:v>2.0</c:v>
                </c:pt>
                <c:pt idx="7">
                  <c:v>2.0</c:v>
                </c:pt>
              </c:numCache>
            </c:numRef>
          </c:val>
          <c:smooth val="0"/>
        </c:ser>
        <c:ser>
          <c:idx val="1"/>
          <c:order val="1"/>
          <c:tx>
            <c:v>|D| — training sample</c:v>
          </c:tx>
          <c:spPr>
            <a:ln w="28575" cap="rnd">
              <a:solidFill>
                <a:srgbClr val="C00000"/>
              </a:solidFill>
              <a:round/>
            </a:ln>
          </c:spPr>
          <c:marker>
            <c:symbol val="square"/>
            <c:size val="7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</c:spPr>
          </c:marker>
          <c:cat>
            <c:strRef>
              <c:f>'ERDR Trace'!$A$97:$A$104</c:f>
              <c:strCach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strCache>
            </c:strRef>
          </c:cat>
          <c:val>
            <c:numRef>
              <c:f>'ERDR Trace'!$C$97:$C$104</c:f>
              <c:numCache>
                <c:formatCode>General</c:formatCode>
                <c:ptCount val="8"/>
                <c:pt idx="0">
                  <c:v>0.0</c:v>
                </c:pt>
                <c:pt idx="1">
                  <c:v>0.0</c:v>
                </c:pt>
                <c:pt idx="2">
                  <c:v>1.0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5.0</c:v>
                </c:pt>
                <c:pt idx="7">
                  <c:v>5.0</c:v>
                </c:pt>
              </c:numCache>
            </c:numRef>
          </c:val>
          <c:smooth val="0"/>
        </c:ser>
        <c:ser>
          <c:idx val="2"/>
          <c:order val="2"/>
          <c:tx>
            <c:v>objects left in the queue</c:v>
          </c:tx>
          <c:spPr>
            <a:ln w="28575" cap="rnd">
              <a:solidFill>
                <a:srgbClr val="7F7F7F"/>
              </a:solidFill>
              <a:round/>
            </a:ln>
          </c:spPr>
          <c:marker>
            <c:symbol val="diamond"/>
            <c:size val="7"/>
            <c:spPr>
              <a:solidFill>
                <a:srgbClr val="7F7F7F"/>
              </a:solidFill>
              <a:ln w="9525">
                <a:solidFill>
                  <a:srgbClr val="7F7F7F"/>
                </a:solidFill>
              </a:ln>
            </c:spPr>
          </c:marker>
          <c:cat>
            <c:strRef>
              <c:f>'ERDR Trace'!$A$97:$A$104</c:f>
              <c:strCach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strCache>
            </c:strRef>
          </c:cat>
          <c:val>
            <c:numRef>
              <c:f>'ERDR Trace'!$D$97:$D$104</c:f>
              <c:numCache>
                <c:formatCode>General</c:formatCode>
                <c:ptCount val="8"/>
                <c:pt idx="0">
                  <c:v>7.0</c:v>
                </c:pt>
                <c:pt idx="1">
                  <c:v>6.0</c:v>
                </c:pt>
                <c:pt idx="2">
                  <c:v>4.0</c:v>
                </c:pt>
                <c:pt idx="3">
                  <c:v>3.0</c:v>
                </c:pt>
                <c:pt idx="4">
                  <c:v>2.0</c:v>
                </c:pt>
                <c:pt idx="5">
                  <c:v>1.0</c:v>
                </c:pt>
                <c:pt idx="6">
                  <c:v>0.0</c:v>
                </c:pt>
                <c:pt idx="7">
                  <c:v>0.0</c:v>
                </c:pt>
              </c:numCache>
            </c:numRef>
          </c:val>
          <c:smooth val="0"/>
        </c:ser>
        <c:marker val="1"/>
        <c:axId val="6001"/>
        <c:axId val="6002"/>
      </c:lineChart>
      <c:catAx>
        <c:axId val="6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>
                    <a:solidFill>
                      <a:srgbClr val="1F3864"/>
                    </a:solidFill>
                    <a:latin typeface="Calibri"/>
                  </a:defRPr>
                </a:pPr>
                <a:r>
                  <a:rPr lang="en-US" sz="1000" b="1">
                    <a:solidFill>
                      <a:srgbClr val="1F3864"/>
                    </a:solidFill>
                    <a:latin typeface="Calibri"/>
                  </a:rPr>
                  <a:t>iteration (0 = start)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low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00" b="0">
                <a:solidFill>
                  <a:srgbClr val="404040"/>
                </a:solidFill>
                <a:latin typeface="Calibri"/>
              </a:defRPr>
            </a:pPr>
            <a:endParaRPr lang="en-US"/>
          </a:p>
        </c:txPr>
        <c:crossAx val="6002"/>
        <c:crosses val="autoZero"/>
        <c:auto val="1"/>
        <c:lblAlgn val="ctr"/>
        <c:lblOffset val="100"/>
        <c:noMultiLvlLbl val="0"/>
      </c:catAx>
      <c:valAx>
        <c:axId val="6002"/>
        <c:scaling>
          <c:orientation val="minMax"/>
          <c:max val="7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>
                    <a:solidFill>
                      <a:srgbClr val="1F3864"/>
                    </a:solidFill>
                    <a:latin typeface="Calibri"/>
                  </a:defRPr>
                </a:pPr>
                <a:r>
                  <a:rPr lang="en-US" sz="1000" b="1">
                    <a:solidFill>
                      <a:srgbClr val="1F3864"/>
                    </a:solidFill>
                    <a:latin typeface="Calibri"/>
                  </a:rPr>
                  <a:t>objects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00" b="0">
                <a:solidFill>
                  <a:srgbClr val="404040"/>
                </a:solidFill>
                <a:latin typeface="Calibri"/>
              </a:defRPr>
            </a:pPr>
            <a:endParaRPr lang="en-US"/>
          </a:p>
        </c:txPr>
        <c:crossAx val="6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000" b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/>
          <a:lstStyle/>
          <a:p>
            <a:pPr>
              <a:defRPr sz="1300" b="1">
                <a:solidFill>
                  <a:srgbClr val="1F3864"/>
                </a:solidFill>
                <a:latin typeface="Calibri"/>
              </a:defRPr>
            </a:pPr>
            <a:r>
              <a:rPr lang="en-US" sz="1300" b="1">
                <a:solidFill>
                  <a:srgbClr val="1F3864"/>
                </a:solidFill>
                <a:latin typeface="Calibri"/>
              </a:rPr>
              <a:t>Training-sample size |D| for the eight readings A B C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|D ∩ K1|</c:v>
          </c:tx>
          <c:spPr>
            <a:solidFill>
              <a:srgbClr val="2F5597"/>
            </a:solidFill>
            <a:ln>
              <a:noFill/>
            </a:ln>
          </c:spPr>
          <c:invertIfNegative val="0"/>
          <c:dLbls>
            <c:numFmt formatCode="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FFFFFF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'Readings (Switches)'!$M$11:$M$18</c:f>
              <c:strCache>
                <c:ptCount val="8"/>
                <c:pt idx="0">
                  <c:v>111</c:v>
                </c:pt>
                <c:pt idx="1">
                  <c:v>112</c:v>
                </c:pt>
                <c:pt idx="2">
                  <c:v>121</c:v>
                </c:pt>
                <c:pt idx="3">
                  <c:v>122</c:v>
                </c:pt>
                <c:pt idx="4">
                  <c:v>211</c:v>
                </c:pt>
                <c:pt idx="5">
                  <c:v>212</c:v>
                </c:pt>
                <c:pt idx="6">
                  <c:v>221</c:v>
                </c:pt>
                <c:pt idx="7">
                  <c:v>222</c:v>
                </c:pt>
              </c:strCache>
            </c:strRef>
          </c:cat>
          <c:val>
            <c:numRef>
              <c:f>'Readings (Switches)'!$H$11:$H$18</c:f>
              <c:numCache>
                <c:formatCode>General</c:formatCode>
                <c:ptCount val="8"/>
                <c:pt idx="0">
                  <c:v>2.0</c:v>
                </c:pt>
                <c:pt idx="1">
                  <c:v>2.0</c:v>
                </c:pt>
                <c:pt idx="2">
                  <c:v>1.0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  <c:pt idx="7">
                  <c:v>1.0</c:v>
                </c:pt>
              </c:numCache>
            </c:numRef>
          </c:val>
        </c:ser>
        <c:ser>
          <c:idx val="1"/>
          <c:order val="1"/>
          <c:tx>
            <c:v>|D ∩ K2|</c:v>
          </c:tx>
          <c:spPr>
            <a:solidFill>
              <a:srgbClr val="C00000"/>
            </a:solidFill>
            <a:ln>
              <a:noFill/>
            </a:ln>
          </c:spPr>
          <c:invertIfNegative val="0"/>
          <c:dLbls>
            <c:numFmt formatCode="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FFFFFF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'Readings (Switches)'!$M$11:$M$18</c:f>
              <c:strCache>
                <c:ptCount val="8"/>
                <c:pt idx="0">
                  <c:v>111</c:v>
                </c:pt>
                <c:pt idx="1">
                  <c:v>112</c:v>
                </c:pt>
                <c:pt idx="2">
                  <c:v>121</c:v>
                </c:pt>
                <c:pt idx="3">
                  <c:v>122</c:v>
                </c:pt>
                <c:pt idx="4">
                  <c:v>211</c:v>
                </c:pt>
                <c:pt idx="5">
                  <c:v>212</c:v>
                </c:pt>
                <c:pt idx="6">
                  <c:v>221</c:v>
                </c:pt>
                <c:pt idx="7">
                  <c:v>222</c:v>
                </c:pt>
              </c:strCache>
            </c:strRef>
          </c:cat>
          <c:val>
            <c:numRef>
              <c:f>'Readings (Switches)'!$I$11:$I$18</c:f>
              <c:numCache>
                <c:formatCode>General</c:formatCode>
                <c:ptCount val="8"/>
                <c:pt idx="0">
                  <c:v>3.0</c:v>
                </c:pt>
                <c:pt idx="1">
                  <c:v>3.0</c:v>
                </c:pt>
                <c:pt idx="2">
                  <c:v>2.0</c:v>
                </c:pt>
                <c:pt idx="3">
                  <c:v>2.0</c:v>
                </c:pt>
                <c:pt idx="4">
                  <c:v>3.0</c:v>
                </c:pt>
                <c:pt idx="5">
                  <c:v>2.0</c:v>
                </c:pt>
                <c:pt idx="6">
                  <c:v>1.0</c:v>
                </c:pt>
                <c:pt idx="7">
                  <c:v>1.0</c:v>
                </c:pt>
              </c:numCache>
            </c:numRef>
          </c:val>
        </c:ser>
        <c:gapWidth val="8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>
                    <a:solidFill>
                      <a:srgbClr val="1F3864"/>
                    </a:solidFill>
                    <a:latin typeface="Calibri"/>
                  </a:defRPr>
                </a:pPr>
                <a:r>
                  <a:rPr lang="en-US" sz="1000" b="1">
                    <a:solidFill>
                      <a:srgbClr val="1F3864"/>
                    </a:solidFill>
                    <a:latin typeface="Calibri"/>
                  </a:rPr>
                  <a:t>reading A B C  (111 = literal)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low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00" b="0">
                <a:solidFill>
                  <a:srgbClr val="404040"/>
                </a:solidFill>
                <a:latin typeface="Calibri"/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  <c:max val="7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>
                    <a:solidFill>
                      <a:srgbClr val="1F3864"/>
                    </a:solidFill>
                    <a:latin typeface="Calibri"/>
                  </a:defRPr>
                </a:pPr>
                <a:r>
                  <a:rPr lang="en-US" sz="1000" b="1">
                    <a:solidFill>
                      <a:srgbClr val="1F3864"/>
                    </a:solidFill>
                    <a:latin typeface="Calibri"/>
                  </a:rPr>
                  <a:t>objects in D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00" b="0">
                <a:solidFill>
                  <a:srgbClr val="404040"/>
                </a:solidFill>
                <a:latin typeface="Calibri"/>
              </a:defRPr>
            </a:pPr>
            <a:endParaRPr lang="en-US"/>
          </a:p>
        </c:txPr>
        <c:crossAx val="5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000" b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/>
          <a:lstStyle/>
          <a:p>
            <a:pPr>
              <a:defRPr sz="1300" b="1">
                <a:solidFill>
                  <a:srgbClr val="1F3864"/>
                </a:solidFill>
                <a:latin typeface="Calibri"/>
              </a:defRPr>
            </a:pPr>
            <a:r>
              <a:rPr lang="en-US" sz="1300" b="1">
                <a:solidFill>
                  <a:srgbClr val="1F3864"/>
                </a:solidFill>
                <a:latin typeface="Calibri"/>
              </a:rPr>
              <a:t>|D| on 270 objects: article vs literal vs closest reading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Article Table 1</c:v>
          </c:tx>
          <c:spPr>
            <a:solidFill>
              <a:srgbClr val="404040"/>
            </a:solidFill>
            <a:ln>
              <a:noFill/>
            </a:ln>
          </c:spPr>
          <c:invertIfNegative val="0"/>
          <c:dLbls>
            <c:numFmt formatCode="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'Article Table 1 Check'!$A$21:$A$25</c:f>
              <c:strCache>
                <c:ptCount val="5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13</c:v>
                </c:pt>
                <c:pt idx="4">
                  <c:v>17</c:v>
                </c:pt>
              </c:strCache>
            </c:strRef>
          </c:cat>
          <c:val>
            <c:numRef>
              <c:f>'Article Table 1 Check'!$B$21:$B$25</c:f>
              <c:numCache>
                <c:formatCode>General</c:formatCode>
                <c:ptCount val="5"/>
                <c:pt idx="0">
                  <c:v>75.0</c:v>
                </c:pt>
                <c:pt idx="1">
                  <c:v>77.0</c:v>
                </c:pt>
                <c:pt idx="2">
                  <c:v>77.0</c:v>
                </c:pt>
                <c:pt idx="3">
                  <c:v>104.0</c:v>
                </c:pt>
                <c:pt idx="4">
                  <c:v>102.0</c:v>
                </c:pt>
              </c:numCache>
            </c:numRef>
          </c:val>
        </c:ser>
        <c:ser>
          <c:idx val="1"/>
          <c:order val="1"/>
          <c:tx>
            <c:v>Literal reading</c:v>
          </c:tx>
          <c:spPr>
            <a:solidFill>
              <a:srgbClr val="C00000"/>
            </a:solidFill>
            <a:ln>
              <a:noFill/>
            </a:ln>
          </c:spPr>
          <c:invertIfNegative val="0"/>
          <c:dLbls>
            <c:numFmt formatCode="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'Article Table 1 Check'!$A$21:$A$25</c:f>
              <c:strCache>
                <c:ptCount val="5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13</c:v>
                </c:pt>
                <c:pt idx="4">
                  <c:v>17</c:v>
                </c:pt>
              </c:strCache>
            </c:strRef>
          </c:cat>
          <c:val>
            <c:numRef>
              <c:f>'Article Table 1 Check'!$C$21:$C$25</c:f>
              <c:numCache>
                <c:formatCode>General</c:formatCode>
                <c:ptCount val="5"/>
                <c:pt idx="0">
                  <c:v>198.0</c:v>
                </c:pt>
                <c:pt idx="1">
                  <c:v>190.0</c:v>
                </c:pt>
                <c:pt idx="2">
                  <c:v>201.0</c:v>
                </c:pt>
                <c:pt idx="3">
                  <c:v>177.0</c:v>
                </c:pt>
                <c:pt idx="4">
                  <c:v>165.0</c:v>
                </c:pt>
              </c:numCache>
            </c:numRef>
          </c:val>
        </c:ser>
        <c:ser>
          <c:idx val="2"/>
          <c:order val="2"/>
          <c:tx>
            <c:v>Closest reading (B = 2, own-class z)</c:v>
          </c:tx>
          <c:spPr>
            <a:solidFill>
              <a:srgbClr val="2F5597"/>
            </a:solidFill>
            <a:ln>
              <a:noFill/>
            </a:ln>
          </c:spPr>
          <c:invertIfNegative val="0"/>
          <c:dLbls>
            <c:numFmt formatCode="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'Article Table 1 Check'!$A$21:$A$25</c:f>
              <c:strCache>
                <c:ptCount val="5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13</c:v>
                </c:pt>
                <c:pt idx="4">
                  <c:v>17</c:v>
                </c:pt>
              </c:strCache>
            </c:strRef>
          </c:cat>
          <c:val>
            <c:numRef>
              <c:f>'Article Table 1 Check'!$D$21:$D$25</c:f>
              <c:numCache>
                <c:formatCode>General</c:formatCode>
                <c:ptCount val="5"/>
                <c:pt idx="0">
                  <c:v>75.0</c:v>
                </c:pt>
                <c:pt idx="1">
                  <c:v>76.0</c:v>
                </c:pt>
                <c:pt idx="2">
                  <c:v>71.0</c:v>
                </c:pt>
                <c:pt idx="3">
                  <c:v>88.0</c:v>
                </c:pt>
                <c:pt idx="4">
                  <c:v>94.0</c:v>
                </c:pt>
              </c:numCache>
            </c:numRef>
          </c:val>
        </c:ser>
        <c:gapWidth val="80"/>
        <c:overlap val="-10"/>
        <c:axId val="5001"/>
        <c:axId val="5002"/>
      </c:barChart>
      <c:catAx>
        <c:axId val="5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>
                    <a:solidFill>
                      <a:srgbClr val="1F3864"/>
                    </a:solidFill>
                    <a:latin typeface="Calibri"/>
                  </a:defRPr>
                </a:pPr>
                <a:r>
                  <a:rPr lang="en-US" sz="1000" b="1">
                    <a:solidFill>
                      <a:srgbClr val="1F3864"/>
                    </a:solidFill>
                    <a:latin typeface="Calibri"/>
                  </a:rPr>
                  <a:t>k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low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00" b="0">
                <a:solidFill>
                  <a:srgbClr val="404040"/>
                </a:solidFill>
                <a:latin typeface="Calibri"/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>
                    <a:solidFill>
                      <a:srgbClr val="1F3864"/>
                    </a:solidFill>
                    <a:latin typeface="Calibri"/>
                  </a:defRPr>
                </a:pPr>
                <a:r>
                  <a:rPr lang="en-US" sz="1000" b="1">
                    <a:solidFill>
                      <a:srgbClr val="1F3864"/>
                    </a:solidFill>
                    <a:latin typeface="Calibri"/>
                  </a:rPr>
                  <a:t>objects in the training sample D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00" b="0">
                <a:solidFill>
                  <a:srgbClr val="404040"/>
                </a:solidFill>
                <a:latin typeface="Calibri"/>
              </a:defRPr>
            </a:pPr>
            <a:endParaRPr lang="en-US"/>
          </a:p>
        </c:txPr>
        <c:crossAx val="5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000" b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/>
          <a:lstStyle/>
          <a:p>
            <a:pPr>
              <a:defRPr sz="1300" b="1">
                <a:solidFill>
                  <a:srgbClr val="1F3864"/>
                </a:solidFill>
                <a:latin typeface="Calibri"/>
              </a:defRPr>
            </a:pPr>
            <a:r>
              <a:rPr lang="en-US" sz="1300" b="1">
                <a:solidFill>
                  <a:srgbClr val="1F3864"/>
                </a:solidFill>
                <a:latin typeface="Calibri"/>
              </a:rPr>
              <a:t>Training-sample size for odd k = 3 … 41 (270 objects)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literal reading</c:v>
          </c:tx>
          <c:spPr>
            <a:ln w="28575" cap="rnd">
              <a:solidFill>
                <a:srgbClr val="C00000"/>
              </a:solidFill>
              <a:round/>
            </a:ln>
          </c:spPr>
          <c:marker>
            <c:symbol val="circle"/>
            <c:size val="7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</c:spPr>
          </c:marker>
          <c:cat>
            <c:strRef>
              <c:f>'Article Table 1 Check'!$A$30:$A$49</c:f>
              <c:strCache>
                <c:ptCount val="20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9</c:v>
                </c:pt>
                <c:pt idx="4">
                  <c:v>11</c:v>
                </c:pt>
                <c:pt idx="5">
                  <c:v>13</c:v>
                </c:pt>
                <c:pt idx="6">
                  <c:v>15</c:v>
                </c:pt>
                <c:pt idx="7">
                  <c:v>17</c:v>
                </c:pt>
                <c:pt idx="8">
                  <c:v>19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  <c:pt idx="12">
                  <c:v>27</c:v>
                </c:pt>
                <c:pt idx="13">
                  <c:v>29</c:v>
                </c:pt>
                <c:pt idx="14">
                  <c:v>31</c:v>
                </c:pt>
                <c:pt idx="15">
                  <c:v>33</c:v>
                </c:pt>
                <c:pt idx="16">
                  <c:v>35</c:v>
                </c:pt>
                <c:pt idx="17">
                  <c:v>37</c:v>
                </c:pt>
                <c:pt idx="18">
                  <c:v>39</c:v>
                </c:pt>
                <c:pt idx="19">
                  <c:v>41</c:v>
                </c:pt>
              </c:strCache>
            </c:strRef>
          </c:cat>
          <c:val>
            <c:numRef>
              <c:f>'Article Table 1 Check'!$B$30:$B$49</c:f>
              <c:numCache>
                <c:formatCode>General</c:formatCode>
                <c:ptCount val="20"/>
                <c:pt idx="0">
                  <c:v>198.0</c:v>
                </c:pt>
                <c:pt idx="1">
                  <c:v>190.0</c:v>
                </c:pt>
                <c:pt idx="2">
                  <c:v>201.0</c:v>
                </c:pt>
                <c:pt idx="3">
                  <c:v>192.0</c:v>
                </c:pt>
                <c:pt idx="4">
                  <c:v>180.0</c:v>
                </c:pt>
                <c:pt idx="5">
                  <c:v>177.0</c:v>
                </c:pt>
                <c:pt idx="6">
                  <c:v>174.0</c:v>
                </c:pt>
                <c:pt idx="7">
                  <c:v>165.0</c:v>
                </c:pt>
                <c:pt idx="8">
                  <c:v>168.0</c:v>
                </c:pt>
                <c:pt idx="9">
                  <c:v>162.0</c:v>
                </c:pt>
                <c:pt idx="10">
                  <c:v>158.0</c:v>
                </c:pt>
                <c:pt idx="11">
                  <c:v>158.0</c:v>
                </c:pt>
                <c:pt idx="12">
                  <c:v>160.0</c:v>
                </c:pt>
                <c:pt idx="13">
                  <c:v>157.0</c:v>
                </c:pt>
                <c:pt idx="14">
                  <c:v>163.0</c:v>
                </c:pt>
                <c:pt idx="15">
                  <c:v>157.0</c:v>
                </c:pt>
                <c:pt idx="16">
                  <c:v>162.0</c:v>
                </c:pt>
                <c:pt idx="17">
                  <c:v>162.0</c:v>
                </c:pt>
                <c:pt idx="18">
                  <c:v>159.0</c:v>
                </c:pt>
                <c:pt idx="19">
                  <c:v>159.0</c:v>
                </c:pt>
              </c:numCache>
            </c:numRef>
          </c:val>
          <c:smooth val="0"/>
        </c:ser>
        <c:ser>
          <c:idx val="1"/>
          <c:order val="1"/>
          <c:tx>
            <c:v>closest reading</c:v>
          </c:tx>
          <c:spPr>
            <a:ln w="28575" cap="rnd">
              <a:solidFill>
                <a:srgbClr val="2F5597"/>
              </a:solidFill>
              <a:round/>
            </a:ln>
          </c:spPr>
          <c:marker>
            <c:symbol val="square"/>
            <c:size val="7"/>
            <c:spPr>
              <a:solidFill>
                <a:srgbClr val="2F5597"/>
              </a:solidFill>
              <a:ln w="9525">
                <a:solidFill>
                  <a:srgbClr val="2F5597"/>
                </a:solidFill>
              </a:ln>
            </c:spPr>
          </c:marker>
          <c:cat>
            <c:strRef>
              <c:f>'Article Table 1 Check'!$A$30:$A$49</c:f>
              <c:strCache>
                <c:ptCount val="20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9</c:v>
                </c:pt>
                <c:pt idx="4">
                  <c:v>11</c:v>
                </c:pt>
                <c:pt idx="5">
                  <c:v>13</c:v>
                </c:pt>
                <c:pt idx="6">
                  <c:v>15</c:v>
                </c:pt>
                <c:pt idx="7">
                  <c:v>17</c:v>
                </c:pt>
                <c:pt idx="8">
                  <c:v>19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  <c:pt idx="12">
                  <c:v>27</c:v>
                </c:pt>
                <c:pt idx="13">
                  <c:v>29</c:v>
                </c:pt>
                <c:pt idx="14">
                  <c:v>31</c:v>
                </c:pt>
                <c:pt idx="15">
                  <c:v>33</c:v>
                </c:pt>
                <c:pt idx="16">
                  <c:v>35</c:v>
                </c:pt>
                <c:pt idx="17">
                  <c:v>37</c:v>
                </c:pt>
                <c:pt idx="18">
                  <c:v>39</c:v>
                </c:pt>
                <c:pt idx="19">
                  <c:v>41</c:v>
                </c:pt>
              </c:strCache>
            </c:strRef>
          </c:cat>
          <c:val>
            <c:numRef>
              <c:f>'Article Table 1 Check'!$D$30:$D$49</c:f>
              <c:numCache>
                <c:formatCode>General</c:formatCode>
                <c:ptCount val="20"/>
                <c:pt idx="0">
                  <c:v>75.0</c:v>
                </c:pt>
                <c:pt idx="1">
                  <c:v>76.0</c:v>
                </c:pt>
                <c:pt idx="2">
                  <c:v>71.0</c:v>
                </c:pt>
                <c:pt idx="3">
                  <c:v>81.0</c:v>
                </c:pt>
                <c:pt idx="4">
                  <c:v>85.0</c:v>
                </c:pt>
                <c:pt idx="5">
                  <c:v>88.0</c:v>
                </c:pt>
                <c:pt idx="6">
                  <c:v>90.0</c:v>
                </c:pt>
                <c:pt idx="7">
                  <c:v>94.0</c:v>
                </c:pt>
                <c:pt idx="8">
                  <c:v>94.0</c:v>
                </c:pt>
                <c:pt idx="9">
                  <c:v>94.0</c:v>
                </c:pt>
                <c:pt idx="10">
                  <c:v>90.0</c:v>
                </c:pt>
                <c:pt idx="11">
                  <c:v>91.0</c:v>
                </c:pt>
                <c:pt idx="12">
                  <c:v>90.0</c:v>
                </c:pt>
                <c:pt idx="13">
                  <c:v>89.0</c:v>
                </c:pt>
                <c:pt idx="14">
                  <c:v>90.0</c:v>
                </c:pt>
                <c:pt idx="15">
                  <c:v>92.0</c:v>
                </c:pt>
                <c:pt idx="16">
                  <c:v>92.0</c:v>
                </c:pt>
                <c:pt idx="17">
                  <c:v>91.0</c:v>
                </c:pt>
                <c:pt idx="18">
                  <c:v>91.0</c:v>
                </c:pt>
                <c:pt idx="19">
                  <c:v>91.0</c:v>
                </c:pt>
              </c:numCache>
            </c:numRef>
          </c:val>
          <c:smooth val="0"/>
        </c:ser>
        <c:marker val="1"/>
        <c:axId val="6001"/>
        <c:axId val="6002"/>
      </c:lineChart>
      <c:catAx>
        <c:axId val="6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>
                    <a:solidFill>
                      <a:srgbClr val="1F3864"/>
                    </a:solidFill>
                    <a:latin typeface="Calibri"/>
                  </a:defRPr>
                </a:pPr>
                <a:r>
                  <a:rPr lang="en-US" sz="1000" b="1">
                    <a:solidFill>
                      <a:srgbClr val="1F3864"/>
                    </a:solidFill>
                    <a:latin typeface="Calibri"/>
                  </a:rPr>
                  <a:t>k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low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00" b="0">
                <a:solidFill>
                  <a:srgbClr val="404040"/>
                </a:solidFill>
                <a:latin typeface="Calibri"/>
              </a:defRPr>
            </a:pPr>
            <a:endParaRPr lang="en-US"/>
          </a:p>
        </c:txPr>
        <c:crossAx val="6002"/>
        <c:crosses val="autoZero"/>
        <c:auto val="1"/>
        <c:lblAlgn val="ctr"/>
        <c:lblOffset val="100"/>
        <c:noMultiLvlLbl val="0"/>
      </c:catAx>
      <c:valAx>
        <c:axId val="6002"/>
        <c:scaling>
          <c:orientation val="minMax"/>
          <c:max val="270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>
                    <a:solidFill>
                      <a:srgbClr val="1F3864"/>
                    </a:solidFill>
                    <a:latin typeface="Calibri"/>
                  </a:defRPr>
                </a:pPr>
                <a:r>
                  <a:rPr lang="en-US" sz="1000" b="1">
                    <a:solidFill>
                      <a:srgbClr val="1F3864"/>
                    </a:solidFill>
                    <a:latin typeface="Calibri"/>
                  </a:rPr>
                  <a:t>|D|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 w="9525">
            <a:solidFill>
              <a:srgbClr val="A6A6A6"/>
            </a:solidFill>
          </a:ln>
        </c:spPr>
        <c:txPr>
          <a:bodyPr/>
          <a:lstStyle/>
          <a:p>
            <a:pPr>
              <a:defRPr sz="1000" b="0">
                <a:solidFill>
                  <a:srgbClr val="404040"/>
                </a:solidFill>
                <a:latin typeface="Calibri"/>
              </a:defRPr>
            </a:pPr>
            <a:endParaRPr lang="en-US"/>
          </a:p>
        </c:txPr>
        <c:crossAx val="6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000" b="0">
              <a:solidFill>
                <a:srgbClr val="40404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BFBFBF"/>
      </a:solidFill>
    </a:ln>
  </c:spPr>
  <c:txPr>
    <a:bodyPr/>
    <a:lstStyle/>
    <a:p>
      <a:pPr>
        <a:defRPr sz="1000" b="0">
          <a:solidFill>
            <a:srgbClr val="40404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C1" Type="http://schemas.openxmlformats.org/officeDocument/2006/relationships/chart" Target="../charts/chart1.xml"/><Relationship Id="rIdC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C1" Type="http://schemas.openxmlformats.org/officeDocument/2006/relationships/chart" Target="../charts/chart3.xml"/><Relationship Id="rIdC2" Type="http://schemas.openxmlformats.org/officeDocument/2006/relationships/chart" Target="../charts/chart4.xml"/><Relationship Id="rIdC3" Type="http://schemas.openxmlformats.org/officeDocument/2006/relationships/chart" Target="../charts/chart5.xml"/><Relationship Id="rIdC4" Type="http://schemas.openxmlformats.org/officeDocument/2006/relationships/chart" Target="../charts/chart6.xml"/><Relationship Id="rIdC5" Type="http://schemas.openxmlformats.org/officeDocument/2006/relationships/chart" Target="../charts/chart7.xml"/><Relationship Id="rIdC6" Type="http://schemas.openxmlformats.org/officeDocument/2006/relationships/chart" Target="../charts/chart8.xml"/><Relationship Id="rIdC7" Type="http://schemas.openxmlformats.org/officeDocument/2006/relationships/chart" Target="../charts/chart9.xml"/><Relationship Id="rIdC8" Type="http://schemas.openxmlformats.org/officeDocument/2006/relationships/chart" Target="../charts/chart10.xml"/><Relationship Id="rIdC9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C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C1" Type="http://schemas.openxmlformats.org/officeDocument/2006/relationships/chart" Target="../charts/chart13.xml"/><Relationship Id="rIdC2" Type="http://schemas.openxmlformats.org/officeDocument/2006/relationships/chart" Target="../charts/chart14.xml"/><Relationship Id="rIdC3" Type="http://schemas.openxmlformats.org/officeDocument/2006/relationships/chart" Target="../charts/chart15.xml"/><Relationship Id="rIdC4" Type="http://schemas.openxmlformats.org/officeDocument/2006/relationships/chart" Target="../charts/chart16.xml"/><Relationship Id="rIdC5" Type="http://schemas.openxmlformats.org/officeDocument/2006/relationships/chart" Target="../charts/chart17.xml"/><Relationship Id="rIdC6" Type="http://schemas.openxmlformats.org/officeDocument/2006/relationships/chart" Target="../charts/chart18.xml"/><Relationship Id="rIdC7" Type="http://schemas.openxmlformats.org/officeDocument/2006/relationships/chart" Target="../charts/chart19.xml"/><Relationship Id="rIdC8" Type="http://schemas.openxmlformats.org/officeDocument/2006/relationships/chart" Target="../charts/chart20.xml"/><Relationship Id="rIdC9" Type="http://schemas.openxmlformats.org/officeDocument/2006/relationships/chart" Target="../charts/chart21.xml"/><Relationship Id="rIdC10" Type="http://schemas.openxmlformats.org/officeDocument/2006/relationships/chart" Target="../charts/chart22.xml"/><Relationship Id="rIdC11" Type="http://schemas.openxmlformats.org/officeDocument/2006/relationships/chart" Target="../charts/chart23.xml"/><Relationship Id="rIdC12" Type="http://schemas.openxmlformats.org/officeDocument/2006/relationships/chart" Target="../charts/chart24.xml"/><Relationship Id="rIdC13" Type="http://schemas.openxmlformats.org/officeDocument/2006/relationships/chart" Target="../charts/chart25.xml"/><Relationship Id="rIdC14" Type="http://schemas.openxmlformats.org/officeDocument/2006/relationships/chart" Target="../charts/chart26.xml"/></Relationships>
</file>

<file path=xl/drawings/_rels/drawing5.xml.rels><?xml version="1.0" encoding="UTF-8" standalone="yes"?>
<Relationships xmlns="http://schemas.openxmlformats.org/package/2006/relationships"><Relationship Id="rIdC1" Type="http://schemas.openxmlformats.org/officeDocument/2006/relationships/chart" Target="../charts/chart27.xml"/><Relationship Id="rIdC2" Type="http://schemas.openxmlformats.org/officeDocument/2006/relationships/chart" Target="../charts/chart28.xml"/><Relationship Id="rIdC3" Type="http://schemas.openxmlformats.org/officeDocument/2006/relationships/chart" Target="../charts/chart29.xml"/><Relationship Id="rIdC4" Type="http://schemas.openxmlformats.org/officeDocument/2006/relationships/chart" Target="../charts/chart30.xml"/><Relationship Id="rIdC5" Type="http://schemas.openxmlformats.org/officeDocument/2006/relationships/chart" Target="../charts/chart31.xml"/><Relationship Id="rIdC6" Type="http://schemas.openxmlformats.org/officeDocument/2006/relationships/chart" Target="../charts/chart32.xml"/><Relationship Id="rIdC7" Type="http://schemas.openxmlformats.org/officeDocument/2006/relationships/chart" Target="../charts/chart33.xml"/></Relationships>
</file>

<file path=xl/drawings/_rels/drawing6.xml.rels><?xml version="1.0" encoding="UTF-8" standalone="yes"?>
<Relationships xmlns="http://schemas.openxmlformats.org/package/2006/relationships"><Relationship Id="rIdC1" Type="http://schemas.openxmlformats.org/officeDocument/2006/relationships/chart" Target="../charts/chart34.xml"/></Relationships>
</file>

<file path=xl/drawings/_rels/drawing7.xml.rels><?xml version="1.0" encoding="UTF-8" standalone="yes"?>
<Relationships xmlns="http://schemas.openxmlformats.org/package/2006/relationships"><Relationship Id="rIdC1" Type="http://schemas.openxmlformats.org/officeDocument/2006/relationships/chart" Target="../charts/chart35.xml"/><Relationship Id="rIdC2" Type="http://schemas.openxmlformats.org/officeDocument/2006/relationships/chart" Target="../charts/chart36.xml"/><Relationship Id="rIdC3" Type="http://schemas.openxmlformats.org/officeDocument/2006/relationships/chart" Target="../charts/chart37.xml"/><Relationship Id="rIdC4" Type="http://schemas.openxmlformats.org/officeDocument/2006/relationships/chart" Target="../charts/chart38.xml"/></Relationships>
</file>

<file path=xl/drawings/_rels/drawing8.xml.rels><?xml version="1.0" encoding="UTF-8" standalone="yes"?>
<Relationships xmlns="http://schemas.openxmlformats.org/package/2006/relationships"><Relationship Id="rIdC1" Type="http://schemas.openxmlformats.org/officeDocument/2006/relationships/chart" Target="../charts/chart39.xml"/></Relationships>
</file>

<file path=xl/drawings/_rels/drawing9.xml.rels><?xml version="1.0" encoding="UTF-8" standalone="yes"?>
<Relationships xmlns="http://schemas.openxmlformats.org/package/2006/relationships"><Relationship Id="rIdC1" Type="http://schemas.openxmlformats.org/officeDocument/2006/relationships/chart" Target="../charts/chart40.xml"/><Relationship Id="rIdC2" Type="http://schemas.openxmlformats.org/officeDocument/2006/relationships/chart" Target="../charts/chart4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30</xdr:row>
      <xdr:rowOff>0</xdr:rowOff>
    </xdr:from>
    <xdr:to>
      <xdr:col>5</xdr:col>
      <xdr:colOff>0</xdr:colOff>
      <xdr:row>55</xdr:row>
      <xdr:rowOff>0</xdr:rowOff>
    </xdr:to>
    <xdr:graphicFrame macro="">
      <xdr:nvGraphicFramePr>
        <xdr:cNvPr id="2" name="Radar r z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1"/>
        </a:graphicData>
      </a:graphic>
    </xdr:graphicFrame>
    <xdr:clientData/>
  </xdr:twoCellAnchor>
  <xdr:twoCellAnchor editAs="oneCell">
    <xdr:from>
      <xdr:col>5</xdr:col>
      <xdr:colOff>0</xdr:colOff>
      <xdr:row>30</xdr:row>
      <xdr:rowOff>0</xdr:rowOff>
    </xdr:from>
    <xdr:to>
      <xdr:col>10</xdr:col>
      <xdr:colOff>0</xdr:colOff>
      <xdr:row>55</xdr:row>
      <xdr:rowOff>0</xdr:rowOff>
    </xdr:to>
    <xdr:graphicFrame macro="">
      <xdr:nvGraphicFramePr>
        <xdr:cNvPr id="3" name="Radar g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51</xdr:row>
      <xdr:rowOff>0</xdr:rowOff>
    </xdr:from>
    <xdr:ext cx="10224000" cy="4464000"/>
    <xdr:graphicFrame macro="">
      <xdr:nvGraphicFramePr>
        <xdr:cNvPr id="2" name="Strip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1"/>
        </a:graphicData>
      </a:graphic>
    </xdr:graphicFrame>
    <xdr:clientData/>
  </xdr:oneCellAnchor>
  <xdr:oneCellAnchor>
    <xdr:from>
      <xdr:col>12</xdr:col>
      <xdr:colOff>61950</xdr:colOff>
      <xdr:row>51</xdr:row>
      <xdr:rowOff>0</xdr:rowOff>
    </xdr:from>
    <xdr:ext cx="4248000" cy="4464000"/>
    <xdr:graphicFrame macro="">
      <xdr:nvGraphicFramePr>
        <xdr:cNvPr id="3" name="Radius plan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2"/>
        </a:graphicData>
      </a:graphic>
    </xdr:graphicFrame>
    <xdr:clientData/>
  </xdr:oneCellAnchor>
  <xdr:oneCellAnchor>
    <xdr:from>
      <xdr:col>0</xdr:col>
      <xdr:colOff>0</xdr:colOff>
      <xdr:row>77</xdr:row>
      <xdr:rowOff>0</xdr:rowOff>
    </xdr:from>
    <xdr:ext cx="3096000" cy="3384000"/>
    <xdr:graphicFrame macro="">
      <xdr:nvGraphicFramePr>
        <xdr:cNvPr id="4" name="Hypersphere S₁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3"/>
        </a:graphicData>
      </a:graphic>
    </xdr:graphicFrame>
    <xdr:clientData/>
  </xdr:oneCellAnchor>
  <xdr:oneCellAnchor>
    <xdr:from>
      <xdr:col>4</xdr:col>
      <xdr:colOff>97799</xdr:colOff>
      <xdr:row>77</xdr:row>
      <xdr:rowOff>0</xdr:rowOff>
    </xdr:from>
    <xdr:ext cx="3096000" cy="3384000"/>
    <xdr:graphicFrame macro="">
      <xdr:nvGraphicFramePr>
        <xdr:cNvPr id="5" name="Hypersphere S₂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4"/>
        </a:graphicData>
      </a:graphic>
    </xdr:graphicFrame>
    <xdr:clientData/>
  </xdr:oneCellAnchor>
  <xdr:oneCellAnchor>
    <xdr:from>
      <xdr:col>7</xdr:col>
      <xdr:colOff>576598</xdr:colOff>
      <xdr:row>77</xdr:row>
      <xdr:rowOff>0</xdr:rowOff>
    </xdr:from>
    <xdr:ext cx="3096000" cy="3384000"/>
    <xdr:graphicFrame macro="">
      <xdr:nvGraphicFramePr>
        <xdr:cNvPr id="6" name="Hypersphere S₃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5"/>
        </a:graphicData>
      </a:graphic>
    </xdr:graphicFrame>
    <xdr:clientData/>
  </xdr:oneCellAnchor>
  <xdr:oneCellAnchor>
    <xdr:from>
      <xdr:col>11</xdr:col>
      <xdr:colOff>341022</xdr:colOff>
      <xdr:row>77</xdr:row>
      <xdr:rowOff>0</xdr:rowOff>
    </xdr:from>
    <xdr:ext cx="3096000" cy="3384000"/>
    <xdr:graphicFrame macro="">
      <xdr:nvGraphicFramePr>
        <xdr:cNvPr id="7" name="Hypersphere S₄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6"/>
        </a:graphicData>
      </a:graphic>
    </xdr:graphicFrame>
    <xdr:clientData/>
  </xdr:oneCellAnchor>
  <xdr:oneCellAnchor>
    <xdr:from>
      <xdr:col>0</xdr:col>
      <xdr:colOff>0</xdr:colOff>
      <xdr:row>95</xdr:row>
      <xdr:rowOff>0</xdr:rowOff>
    </xdr:from>
    <xdr:ext cx="3096000" cy="3384000"/>
    <xdr:graphicFrame macro="">
      <xdr:nvGraphicFramePr>
        <xdr:cNvPr id="8" name="Hypersphere S₅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7"/>
        </a:graphicData>
      </a:graphic>
    </xdr:graphicFrame>
    <xdr:clientData/>
  </xdr:oneCellAnchor>
  <xdr:oneCellAnchor>
    <xdr:from>
      <xdr:col>4</xdr:col>
      <xdr:colOff>97799</xdr:colOff>
      <xdr:row>95</xdr:row>
      <xdr:rowOff>0</xdr:rowOff>
    </xdr:from>
    <xdr:ext cx="3096000" cy="3384000"/>
    <xdr:graphicFrame macro="">
      <xdr:nvGraphicFramePr>
        <xdr:cNvPr id="9" name="Hypersphere S₆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8"/>
        </a:graphicData>
      </a:graphic>
    </xdr:graphicFrame>
    <xdr:clientData/>
  </xdr:oneCellAnchor>
  <xdr:oneCellAnchor>
    <xdr:from>
      <xdr:col>7</xdr:col>
      <xdr:colOff>576598</xdr:colOff>
      <xdr:row>95</xdr:row>
      <xdr:rowOff>0</xdr:rowOff>
    </xdr:from>
    <xdr:ext cx="3096000" cy="3384000"/>
    <xdr:graphicFrame macro="">
      <xdr:nvGraphicFramePr>
        <xdr:cNvPr id="10" name="Hypersphere S₇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9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6</xdr:col>
      <xdr:colOff>0</xdr:colOff>
      <xdr:row>35</xdr:row>
      <xdr:rowOff>0</xdr:rowOff>
    </xdr:to>
    <xdr:graphicFrame macro="">
      <xdr:nvGraphicFramePr>
        <xdr:cNvPr id="2" name="Radar que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4</xdr:row>
      <xdr:rowOff>0</xdr:rowOff>
    </xdr:from>
    <xdr:to>
      <xdr:col>18</xdr:col>
      <xdr:colOff>0</xdr:colOff>
      <xdr:row>29</xdr:row>
      <xdr:rowOff>0</xdr:rowOff>
    </xdr:to>
    <xdr:graphicFrame macro="">
      <xdr:nvGraphicFramePr>
        <xdr:cNvPr id="2" name="Radar step 4 ·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1"/>
        </a:graphicData>
      </a:graphic>
    </xdr:graphicFrame>
    <xdr:clientData/>
  </xdr:twoCellAnchor>
  <xdr:twoCellAnchor editAs="oneCell">
    <xdr:from>
      <xdr:col>18</xdr:col>
      <xdr:colOff>0</xdr:colOff>
      <xdr:row>4</xdr:row>
      <xdr:rowOff>0</xdr:rowOff>
    </xdr:from>
    <xdr:to>
      <xdr:col>25</xdr:col>
      <xdr:colOff>0</xdr:colOff>
      <xdr:row>29</xdr:row>
      <xdr:rowOff>0</xdr:rowOff>
    </xdr:to>
    <xdr:graphicFrame macro="">
      <xdr:nvGraphicFramePr>
        <xdr:cNvPr id="3" name="Radar step 5 ·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2"/>
        </a:graphicData>
      </a:graphic>
    </xdr:graphicFrame>
    <xdr:clientData/>
  </xdr:twoCellAnchor>
  <xdr:twoCellAnchor editAs="oneCell">
    <xdr:from>
      <xdr:col>11</xdr:col>
      <xdr:colOff>0</xdr:colOff>
      <xdr:row>30</xdr:row>
      <xdr:rowOff>0</xdr:rowOff>
    </xdr:from>
    <xdr:to>
      <xdr:col>18</xdr:col>
      <xdr:colOff>0</xdr:colOff>
      <xdr:row>55</xdr:row>
      <xdr:rowOff>0</xdr:rowOff>
    </xdr:to>
    <xdr:graphicFrame macro="">
      <xdr:nvGraphicFramePr>
        <xdr:cNvPr id="4" name="Radar step 4 ·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3"/>
        </a:graphicData>
      </a:graphic>
    </xdr:graphicFrame>
    <xdr:clientData/>
  </xdr:twoCellAnchor>
  <xdr:twoCellAnchor editAs="oneCell">
    <xdr:from>
      <xdr:col>18</xdr:col>
      <xdr:colOff>0</xdr:colOff>
      <xdr:row>30</xdr:row>
      <xdr:rowOff>0</xdr:rowOff>
    </xdr:from>
    <xdr:to>
      <xdr:col>25</xdr:col>
      <xdr:colOff>0</xdr:colOff>
      <xdr:row>55</xdr:row>
      <xdr:rowOff>0</xdr:rowOff>
    </xdr:to>
    <xdr:graphicFrame macro="">
      <xdr:nvGraphicFramePr>
        <xdr:cNvPr id="5" name="Radar step 5 ·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4"/>
        </a:graphicData>
      </a:graphic>
    </xdr:graphicFrame>
    <xdr:clientData/>
  </xdr:twoCellAnchor>
  <xdr:twoCellAnchor editAs="oneCell">
    <xdr:from>
      <xdr:col>11</xdr:col>
      <xdr:colOff>0</xdr:colOff>
      <xdr:row>56</xdr:row>
      <xdr:rowOff>0</xdr:rowOff>
    </xdr:from>
    <xdr:to>
      <xdr:col>18</xdr:col>
      <xdr:colOff>0</xdr:colOff>
      <xdr:row>81</xdr:row>
      <xdr:rowOff>0</xdr:rowOff>
    </xdr:to>
    <xdr:graphicFrame macro="">
      <xdr:nvGraphicFramePr>
        <xdr:cNvPr id="6" name="Radar step 4 ·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5"/>
        </a:graphicData>
      </a:graphic>
    </xdr:graphicFrame>
    <xdr:clientData/>
  </xdr:twoCellAnchor>
  <xdr:twoCellAnchor editAs="oneCell">
    <xdr:from>
      <xdr:col>18</xdr:col>
      <xdr:colOff>0</xdr:colOff>
      <xdr:row>56</xdr:row>
      <xdr:rowOff>0</xdr:rowOff>
    </xdr:from>
    <xdr:to>
      <xdr:col>25</xdr:col>
      <xdr:colOff>0</xdr:colOff>
      <xdr:row>81</xdr:row>
      <xdr:rowOff>0</xdr:rowOff>
    </xdr:to>
    <xdr:graphicFrame macro="">
      <xdr:nvGraphicFramePr>
        <xdr:cNvPr id="7" name="Radar step 5 ·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6"/>
        </a:graphicData>
      </a:graphic>
    </xdr:graphicFrame>
    <xdr:clientData/>
  </xdr:twoCellAnchor>
  <xdr:twoCellAnchor editAs="oneCell">
    <xdr:from>
      <xdr:col>11</xdr:col>
      <xdr:colOff>0</xdr:colOff>
      <xdr:row>82</xdr:row>
      <xdr:rowOff>0</xdr:rowOff>
    </xdr:from>
    <xdr:to>
      <xdr:col>18</xdr:col>
      <xdr:colOff>0</xdr:colOff>
      <xdr:row>107</xdr:row>
      <xdr:rowOff>0</xdr:rowOff>
    </xdr:to>
    <xdr:graphicFrame macro="">
      <xdr:nvGraphicFramePr>
        <xdr:cNvPr id="8" name="Radar step 4 ·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7"/>
        </a:graphicData>
      </a:graphic>
    </xdr:graphicFrame>
    <xdr:clientData/>
  </xdr:twoCellAnchor>
  <xdr:twoCellAnchor editAs="oneCell">
    <xdr:from>
      <xdr:col>18</xdr:col>
      <xdr:colOff>0</xdr:colOff>
      <xdr:row>82</xdr:row>
      <xdr:rowOff>0</xdr:rowOff>
    </xdr:from>
    <xdr:to>
      <xdr:col>25</xdr:col>
      <xdr:colOff>0</xdr:colOff>
      <xdr:row>107</xdr:row>
      <xdr:rowOff>0</xdr:rowOff>
    </xdr:to>
    <xdr:graphicFrame macro="">
      <xdr:nvGraphicFramePr>
        <xdr:cNvPr id="9" name="Radar step 5 ·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8"/>
        </a:graphicData>
      </a:graphic>
    </xdr:graphicFrame>
    <xdr:clientData/>
  </xdr:twoCellAnchor>
  <xdr:twoCellAnchor editAs="oneCell">
    <xdr:from>
      <xdr:col>11</xdr:col>
      <xdr:colOff>0</xdr:colOff>
      <xdr:row>108</xdr:row>
      <xdr:rowOff>0</xdr:rowOff>
    </xdr:from>
    <xdr:to>
      <xdr:col>18</xdr:col>
      <xdr:colOff>0</xdr:colOff>
      <xdr:row>133</xdr:row>
      <xdr:rowOff>0</xdr:rowOff>
    </xdr:to>
    <xdr:graphicFrame macro="">
      <xdr:nvGraphicFramePr>
        <xdr:cNvPr id="10" name="Radar step 4 ·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9"/>
        </a:graphicData>
      </a:graphic>
    </xdr:graphicFrame>
    <xdr:clientData/>
  </xdr:twoCellAnchor>
  <xdr:twoCellAnchor editAs="oneCell">
    <xdr:from>
      <xdr:col>18</xdr:col>
      <xdr:colOff>0</xdr:colOff>
      <xdr:row>108</xdr:row>
      <xdr:rowOff>0</xdr:rowOff>
    </xdr:from>
    <xdr:to>
      <xdr:col>25</xdr:col>
      <xdr:colOff>0</xdr:colOff>
      <xdr:row>133</xdr:row>
      <xdr:rowOff>0</xdr:rowOff>
    </xdr:to>
    <xdr:graphicFrame macro="">
      <xdr:nvGraphicFramePr>
        <xdr:cNvPr id="11" name="Radar step 5 ·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10"/>
        </a:graphicData>
      </a:graphic>
    </xdr:graphicFrame>
    <xdr:clientData/>
  </xdr:twoCellAnchor>
  <xdr:twoCellAnchor editAs="oneCell">
    <xdr:from>
      <xdr:col>11</xdr:col>
      <xdr:colOff>0</xdr:colOff>
      <xdr:row>134</xdr:row>
      <xdr:rowOff>0</xdr:rowOff>
    </xdr:from>
    <xdr:to>
      <xdr:col>18</xdr:col>
      <xdr:colOff>0</xdr:colOff>
      <xdr:row>159</xdr:row>
      <xdr:rowOff>0</xdr:rowOff>
    </xdr:to>
    <xdr:graphicFrame macro="">
      <xdr:nvGraphicFramePr>
        <xdr:cNvPr id="12" name="Radar step 4 ·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11"/>
        </a:graphicData>
      </a:graphic>
    </xdr:graphicFrame>
    <xdr:clientData/>
  </xdr:twoCellAnchor>
  <xdr:twoCellAnchor editAs="oneCell">
    <xdr:from>
      <xdr:col>18</xdr:col>
      <xdr:colOff>0</xdr:colOff>
      <xdr:row>134</xdr:row>
      <xdr:rowOff>0</xdr:rowOff>
    </xdr:from>
    <xdr:to>
      <xdr:col>25</xdr:col>
      <xdr:colOff>0</xdr:colOff>
      <xdr:row>159</xdr:row>
      <xdr:rowOff>0</xdr:rowOff>
    </xdr:to>
    <xdr:graphicFrame macro="">
      <xdr:nvGraphicFramePr>
        <xdr:cNvPr id="13" name="Radar step 5 ·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12"/>
        </a:graphicData>
      </a:graphic>
    </xdr:graphicFrame>
    <xdr:clientData/>
  </xdr:twoCellAnchor>
  <xdr:twoCellAnchor editAs="oneCell">
    <xdr:from>
      <xdr:col>11</xdr:col>
      <xdr:colOff>0</xdr:colOff>
      <xdr:row>160</xdr:row>
      <xdr:rowOff>0</xdr:rowOff>
    </xdr:from>
    <xdr:to>
      <xdr:col>18</xdr:col>
      <xdr:colOff>0</xdr:colOff>
      <xdr:row>185</xdr:row>
      <xdr:rowOff>0</xdr:rowOff>
    </xdr:to>
    <xdr:graphicFrame macro="">
      <xdr:nvGraphicFramePr>
        <xdr:cNvPr id="14" name="Radar step 4 ·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13"/>
        </a:graphicData>
      </a:graphic>
    </xdr:graphicFrame>
    <xdr:clientData/>
  </xdr:twoCellAnchor>
  <xdr:twoCellAnchor editAs="oneCell">
    <xdr:from>
      <xdr:col>18</xdr:col>
      <xdr:colOff>0</xdr:colOff>
      <xdr:row>160</xdr:row>
      <xdr:rowOff>0</xdr:rowOff>
    </xdr:from>
    <xdr:to>
      <xdr:col>25</xdr:col>
      <xdr:colOff>0</xdr:colOff>
      <xdr:row>185</xdr:row>
      <xdr:rowOff>0</xdr:rowOff>
    </xdr:to>
    <xdr:graphicFrame macro="">
      <xdr:nvGraphicFramePr>
        <xdr:cNvPr id="15" name="Radar step 5 ·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1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72000</xdr:colOff>
      <xdr:row>21</xdr:row>
      <xdr:rowOff>0</xdr:rowOff>
    </xdr:from>
    <xdr:ext cx="7128000" cy="5544000"/>
    <xdr:graphicFrame macro="">
      <xdr:nvGraphicFramePr>
        <xdr:cNvPr id="2" name="Hyperspheres iteration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1"/>
        </a:graphicData>
      </a:graphic>
    </xdr:graphicFrame>
    <xdr:clientData/>
  </xdr:oneCellAnchor>
  <xdr:oneCellAnchor>
    <xdr:from>
      <xdr:col>16</xdr:col>
      <xdr:colOff>72000</xdr:colOff>
      <xdr:row>49</xdr:row>
      <xdr:rowOff>0</xdr:rowOff>
    </xdr:from>
    <xdr:ext cx="7128000" cy="5544000"/>
    <xdr:graphicFrame macro="">
      <xdr:nvGraphicFramePr>
        <xdr:cNvPr id="3" name="Hyperspheres iteration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2"/>
        </a:graphicData>
      </a:graphic>
    </xdr:graphicFrame>
    <xdr:clientData/>
  </xdr:oneCellAnchor>
  <xdr:oneCellAnchor>
    <xdr:from>
      <xdr:col>16</xdr:col>
      <xdr:colOff>72000</xdr:colOff>
      <xdr:row>77</xdr:row>
      <xdr:rowOff>0</xdr:rowOff>
    </xdr:from>
    <xdr:ext cx="7128000" cy="5544000"/>
    <xdr:graphicFrame macro="">
      <xdr:nvGraphicFramePr>
        <xdr:cNvPr id="4" name="Hyperspheres iteration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3"/>
        </a:graphicData>
      </a:graphic>
    </xdr:graphicFrame>
    <xdr:clientData/>
  </xdr:oneCellAnchor>
  <xdr:oneCellAnchor>
    <xdr:from>
      <xdr:col>16</xdr:col>
      <xdr:colOff>72000</xdr:colOff>
      <xdr:row>105</xdr:row>
      <xdr:rowOff>0</xdr:rowOff>
    </xdr:from>
    <xdr:ext cx="7128000" cy="5544000"/>
    <xdr:graphicFrame macro="">
      <xdr:nvGraphicFramePr>
        <xdr:cNvPr id="5" name="Hyperspheres iteration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4"/>
        </a:graphicData>
      </a:graphic>
    </xdr:graphicFrame>
    <xdr:clientData/>
  </xdr:oneCellAnchor>
  <xdr:oneCellAnchor>
    <xdr:from>
      <xdr:col>16</xdr:col>
      <xdr:colOff>72000</xdr:colOff>
      <xdr:row>133</xdr:row>
      <xdr:rowOff>0</xdr:rowOff>
    </xdr:from>
    <xdr:ext cx="7128000" cy="5544000"/>
    <xdr:graphicFrame macro="">
      <xdr:nvGraphicFramePr>
        <xdr:cNvPr id="6" name="Hyperspheres iteration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5"/>
        </a:graphicData>
      </a:graphic>
    </xdr:graphicFrame>
    <xdr:clientData/>
  </xdr:oneCellAnchor>
  <xdr:oneCellAnchor>
    <xdr:from>
      <xdr:col>16</xdr:col>
      <xdr:colOff>72000</xdr:colOff>
      <xdr:row>161</xdr:row>
      <xdr:rowOff>0</xdr:rowOff>
    </xdr:from>
    <xdr:ext cx="7128000" cy="5544000"/>
    <xdr:graphicFrame macro="">
      <xdr:nvGraphicFramePr>
        <xdr:cNvPr id="7" name="Hyperspheres iteration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6"/>
        </a:graphicData>
      </a:graphic>
    </xdr:graphicFrame>
    <xdr:clientData/>
  </xdr:oneCellAnchor>
  <xdr:oneCellAnchor>
    <xdr:from>
      <xdr:col>16</xdr:col>
      <xdr:colOff>72000</xdr:colOff>
      <xdr:row>189</xdr:row>
      <xdr:rowOff>0</xdr:rowOff>
    </xdr:from>
    <xdr:ext cx="7128000" cy="5544000"/>
    <xdr:graphicFrame macro="">
      <xdr:nvGraphicFramePr>
        <xdr:cNvPr id="8" name="Hyperspheres iteration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7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74</xdr:row>
      <xdr:rowOff>0</xdr:rowOff>
    </xdr:from>
    <xdr:to>
      <xdr:col>11</xdr:col>
      <xdr:colOff>0</xdr:colOff>
      <xdr:row>98</xdr:row>
      <xdr:rowOff>0</xdr:rowOff>
    </xdr:to>
    <xdr:graphicFrame macro="">
      <xdr:nvGraphicFramePr>
        <xdr:cNvPr id="2" name="Radar trace g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6</xdr:col>
      <xdr:colOff>0</xdr:colOff>
      <xdr:row>38</xdr:row>
      <xdr:rowOff>0</xdr:rowOff>
    </xdr:to>
    <xdr:graphicFrame macro="">
      <xdr:nvGraphicFramePr>
        <xdr:cNvPr id="2" name="Map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1"/>
        </a:graphicData>
      </a:graphic>
    </xdr:graphicFrame>
    <xdr:clientData/>
  </xdr:twoCellAnchor>
  <xdr:twoCellAnchor editAs="oneCell">
    <xdr:from>
      <xdr:col>6</xdr:col>
      <xdr:colOff>0</xdr:colOff>
      <xdr:row>14</xdr:row>
      <xdr:rowOff>0</xdr:rowOff>
    </xdr:from>
    <xdr:to>
      <xdr:col>12</xdr:col>
      <xdr:colOff>0</xdr:colOff>
      <xdr:row>38</xdr:row>
      <xdr:rowOff>0</xdr:rowOff>
    </xdr:to>
    <xdr:graphicFrame macro="">
      <xdr:nvGraphicFramePr>
        <xdr:cNvPr id="3" name="r and z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2"/>
        </a:graphicData>
      </a:graphic>
    </xdr:graphicFrame>
    <xdr:clientData/>
  </xdr:twoCellAnchor>
  <xdr:twoCellAnchor editAs="oneCell">
    <xdr:from>
      <xdr:col>0</xdr:col>
      <xdr:colOff>0</xdr:colOff>
      <xdr:row>39</xdr:row>
      <xdr:rowOff>0</xdr:rowOff>
    </xdr:from>
    <xdr:to>
      <xdr:col>6</xdr:col>
      <xdr:colOff>0</xdr:colOff>
      <xdr:row>62</xdr:row>
      <xdr:rowOff>0</xdr:rowOff>
    </xdr:to>
    <xdr:graphicFrame macro="">
      <xdr:nvGraphicFramePr>
        <xdr:cNvPr id="4" name="Priority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3"/>
        </a:graphicData>
      </a:graphic>
    </xdr:graphicFrame>
    <xdr:clientData/>
  </xdr:twoCellAnchor>
  <xdr:twoCellAnchor editAs="oneCell">
    <xdr:from>
      <xdr:col>6</xdr:col>
      <xdr:colOff>0</xdr:colOff>
      <xdr:row>39</xdr:row>
      <xdr:rowOff>0</xdr:rowOff>
    </xdr:from>
    <xdr:to>
      <xdr:col>12</xdr:col>
      <xdr:colOff>0</xdr:colOff>
      <xdr:row>62</xdr:row>
      <xdr:rowOff>0</xdr:rowOff>
    </xdr:to>
    <xdr:graphicFrame macro="">
      <xdr:nvGraphicFramePr>
        <xdr:cNvPr id="5" name="Siz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0</xdr:rowOff>
    </xdr:from>
    <xdr:to>
      <xdr:col>6</xdr:col>
      <xdr:colOff>0</xdr:colOff>
      <xdr:row>44</xdr:row>
      <xdr:rowOff>0</xdr:rowOff>
    </xdr:to>
    <xdr:graphicFrame macro="">
      <xdr:nvGraphicFramePr>
        <xdr:cNvPr id="2" name="Reading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18</xdr:row>
      <xdr:rowOff>0</xdr:rowOff>
    </xdr:from>
    <xdr:to>
      <xdr:col>13</xdr:col>
      <xdr:colOff>0</xdr:colOff>
      <xdr:row>41</xdr:row>
      <xdr:rowOff>0</xdr:rowOff>
    </xdr:to>
    <xdr:graphicFrame macro="">
      <xdr:nvGraphicFramePr>
        <xdr:cNvPr id="2" name="Tabl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1"/>
        </a:graphicData>
      </a:graphic>
    </xdr:graphicFrame>
    <xdr:clientData/>
  </xdr:twoCellAnchor>
  <xdr:twoCellAnchor editAs="oneCell">
    <xdr:from>
      <xdr:col>6</xdr:col>
      <xdr:colOff>0</xdr:colOff>
      <xdr:row>42</xdr:row>
      <xdr:rowOff>0</xdr:rowOff>
    </xdr:from>
    <xdr:to>
      <xdr:col>13</xdr:col>
      <xdr:colOff>0</xdr:colOff>
      <xdr:row>65</xdr:row>
      <xdr:rowOff>0</xdr:rowOff>
    </xdr:to>
    <xdr:graphicFrame macro="">
      <xdr:nvGraphicFramePr>
        <xdr:cNvPr id="3" name="k sweep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Dr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Dr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Dr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Dr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Dr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Dr1" Type="http://schemas.openxmlformats.org/officeDocument/2006/relationships/drawing" Target="../drawings/drawing6.xml"/></Relationships>
</file>

<file path=xl/worksheets/_rels/sheet17.xml.rels><?xml version="1.0" encoding="UTF-8" standalone="yes"?>
<Relationships xmlns="http://schemas.openxmlformats.org/package/2006/relationships"><Relationship Id="rIdDr1" Type="http://schemas.openxmlformats.org/officeDocument/2006/relationships/drawing" Target="../drawings/drawing7.xml"/></Relationships>
</file>

<file path=xl/worksheets/_rels/sheet18.xml.rels><?xml version="1.0" encoding="UTF-8" standalone="yes"?>
<Relationships xmlns="http://schemas.openxmlformats.org/package/2006/relationships"><Relationship Id="rIdDr1" Type="http://schemas.openxmlformats.org/officeDocument/2006/relationships/drawing" Target="../drawings/drawing8.xml"/></Relationships>
</file>

<file path=xl/worksheets/_rels/sheet19.xml.rels><?xml version="1.0" encoding="UTF-8" standalone="yes"?>
<Relationships xmlns="http://schemas.openxmlformats.org/package/2006/relationships"><Relationship Id="rIdDr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404040"/>
    <pageSetUpPr fitToPage="1"/>
  </sheetPr>
  <dimension ref="A1:E82"/>
  <sheetViews>
    <sheetView showGridLines="0" tabSelected="1" zoomScale="100" zoomScaleNormal="100" workbookViewId="0">
      <selection activeCell="A1" sqref="A1"/>
    </sheetView>
  </sheetViews>
  <sheetFormatPr defaultRowHeight="15.6"/>
  <cols>
    <col min="1" max="1" width="2.77734375" customWidth="1"/>
    <col min="2" max="2" width="6.77734375" customWidth="1"/>
    <col min="3" max="3" width="44.77734375" customWidth="1"/>
    <col min="4" max="4" width="46.77734375" customWidth="1"/>
    <col min="5" max="5" width="108.77734375" customWidth="1"/>
  </cols>
  <sheetData>
    <row r="1" ht="9" customHeight="1"/>
    <row r="2" ht="40" customHeight="1">
      <c r="B2" s="112" t="inlineStr">
        <is>
          <t xml:space="preserve">ERDR Algorithm — Enemy-Radius Density Reduction</t>
        </is>
      </c>
      <c r="C2" s="112"/>
      <c r="D2" s="112"/>
      <c r="E2" s="112"/>
    </row>
    <row r="3" ht="22" customHeight="1">
      <c r="B3" s="113" t="inlineStr">
        <is>
          <t xml:space="preserve">Heart-Disease (7, 13, 2) selected from Heart-Disease (270, 13, 2)  ·  Zhuravlev metric  ·  k = 3  ·  article §1.1 (N. A. Ignatev)  ·  training / validation split for the ensemble experiments</t>
        </is>
      </c>
    </row>
    <row r="4" ht="10" customHeight="1"/>
    <row r="5" ht="24" customHeight="1">
      <c r="B5" s="114" t="inlineStr">
        <is>
          <t xml:space="preserve">Workbook map</t>
        </is>
      </c>
      <c r="C5" s="114"/>
      <c r="D5" s="114"/>
      <c r="E5" s="114"/>
    </row>
    <row r="6" ht="20" customHeight="1">
      <c r="B6" s="116" t="inlineStr">
        <is>
          <t xml:space="preserve">#</t>
        </is>
      </c>
      <c r="C6" s="115" t="inlineStr">
        <is>
          <t xml:space="preserve">Sheet</t>
        </is>
      </c>
      <c r="D6" s="115" t="inlineStr">
        <is>
          <t xml:space="preserve">Stage</t>
        </is>
      </c>
      <c r="E6" s="115" t="inlineStr">
        <is>
          <t xml:space="preserve">What it contains</t>
        </is>
      </c>
    </row>
    <row r="7" ht="31" customHeight="1">
      <c r="B7" s="117">
        <v>1</v>
      </c>
      <c r="C7" s="120" t="inlineStr">
        <is>
          <t xml:space="preserve">Parameters</t>
        </is>
      </c>
      <c r="D7" s="118" t="inlineStr">
        <is>
          <t xml:space="preserve">0 · Parameters</t>
        </is>
      </c>
      <c r="E7" s="118" t="inlineStr">
        <is>
          <t xml:space="preserve">N and class sizes, the k rule (k_min = 3, k_max = 2·min|Kᵢ| − 3), k for z(Sᵢ, k), ε, the three reading switches A, B, C, metric and ERDR definitions.</t>
        </is>
      </c>
    </row>
    <row r="8" ht="31" customHeight="1">
      <c r="B8" s="117">
        <v>2</v>
      </c>
      <c r="C8" s="120" t="inlineStr">
        <is>
          <t xml:space="preserve">Object Selection</t>
        </is>
      </c>
      <c r="D8" s="118" t="inlineStr">
        <is>
          <t xml:space="preserve">0 · Sample choice</t>
        </is>
      </c>
      <c r="E8" s="118" t="inlineStr">
        <is>
          <t xml:space="preserve">Why N = 7: lower bound from the k rule, search evidence over the 270 objects, the chosen rows and why this subset.</t>
        </is>
      </c>
    </row>
    <row r="9" ht="31" customHeight="1">
      <c r="B9" s="117">
        <v>3</v>
      </c>
      <c r="C9" s="120" t="inlineStr">
        <is>
          <t xml:space="preserve">Source Dataset (270)</t>
        </is>
      </c>
      <c r="D9" s="118" t="inlineStr">
        <is>
          <t xml:space="preserve">1 · Input data</t>
        </is>
      </c>
      <c r="E9" s="118" t="inlineStr">
        <is>
          <t xml:space="preserve">All 270 objects × 13 features with classes and type flags; the 7 selected objects are highlighted.</t>
        </is>
      </c>
    </row>
    <row r="10" ht="31" customHeight="1">
      <c r="B10" s="117">
        <v>4</v>
      </c>
      <c r="C10" s="120" t="inlineStr">
        <is>
          <t xml:space="preserve">Dataset</t>
        </is>
      </c>
      <c r="D10" s="118" t="inlineStr">
        <is>
          <t xml:space="preserve">1 · Input data</t>
        </is>
      </c>
      <c r="E10" s="118" t="inlineStr">
        <is>
          <t xml:space="preserve">The 7 selected objects S₁ … S₇ (source rows are input cells) with quantitative and nominal views.</t>
        </is>
      </c>
    </row>
    <row r="11" ht="31" customHeight="1">
      <c r="B11" s="117">
        <v>5</v>
      </c>
      <c r="C11" s="120" t="inlineStr">
        <is>
          <t xml:space="preserve">Normalized Dataset</t>
        </is>
      </c>
      <c r="D11" s="118" t="inlineStr">
        <is>
          <t xml:space="preserve">Step 0 · Scale unification</t>
        </is>
      </c>
      <c r="E11" s="118" t="inlineStr">
        <is>
          <t xml:space="preserve">Quantitative features rescaled to [0, 1] over the 7 objects; nominal codes unchanged; type, min, max.</t>
        </is>
      </c>
    </row>
    <row r="12" ht="31" customHeight="1">
      <c r="B12" s="117">
        <v>6</v>
      </c>
      <c r="C12" s="120" t="inlineStr">
        <is>
          <t xml:space="preserve">Zhuravlev Distances</t>
        </is>
      </c>
      <c r="D12" s="118" t="inlineStr">
        <is>
          <t xml:space="preserve">Step 0 · Distances</t>
        </is>
      </c>
      <c r="E12" s="118" t="inlineStr">
        <is>
          <t xml:space="preserve">Zhuravlev distance ρ = ρ_I + ρ_J for every pair, with both parts.</t>
        </is>
      </c>
    </row>
    <row r="13" ht="31" customHeight="1">
      <c r="B13" s="117">
        <v>7</v>
      </c>
      <c r="C13" s="120" t="inlineStr">
        <is>
          <t xml:space="preserve">Sorted Neighbors</t>
        </is>
      </c>
      <c r="D13" s="118" t="inlineStr">
        <is>
          <t xml:space="preserve">Step 0 · Neighbours</t>
        </is>
      </c>
      <c r="E13" s="118" t="inlineStr">
        <is>
          <t xml:space="preserve">Rank matrix and one block per object: nearest enemy (r), k-th neighbour (z), own-class objects inside the enemy sphere (g).</t>
        </is>
      </c>
    </row>
    <row r="14" ht="31" customHeight="1">
      <c r="B14" s="117">
        <v>8</v>
      </c>
      <c r="C14" s="120" t="inlineStr">
        <is>
          <t xml:space="preserve">ERDR Characteristics</t>
        </is>
      </c>
      <c r="D14" s="118" t="inlineStr">
        <is>
          <t xml:space="preserve">Step 1 · r, g, z, d</t>
        </is>
      </c>
      <c r="E14" s="118" t="inlineStr">
        <is>
          <t xml:space="preserve">The four auxiliary functions per object, the Step 2 priority position, and the enemy-sphere membership matrix.</t>
        </is>
      </c>
    </row>
    <row r="15" ht="31" customHeight="1">
      <c r="B15" s="117">
        <v>9</v>
      </c>
      <c r="C15" s="120" t="inlineStr">
        <is>
          <t xml:space="preserve">Hyperspheres (Step 1)</t>
        </is>
      </c>
      <c r="D15" s="118" t="inlineStr">
        <is>
          <t xml:space="preserve">Step 1 · Hyperspheres</t>
        </is>
      </c>
      <c r="E15" s="118" t="inlineStr">
        <is>
          <t xml:space="preserve">Per object: the enemy sphere (Sᵢ, r) and its g members, the k-sphere (Sᵢ, z), d as the gap between the two radii; neighbourhood strips, the radius plane and one sphere diagram per object.</t>
        </is>
      </c>
    </row>
    <row r="16" ht="31" customHeight="1">
      <c r="B16" s="117">
        <v>10</v>
      </c>
      <c r="C16" s="120" t="inlineStr">
        <is>
          <t xml:space="preserve">Priority Queue</t>
        </is>
      </c>
      <c r="D16" s="118" t="inlineStr">
        <is>
          <t xml:space="preserve">Step 2 · Queue</t>
        </is>
      </c>
      <c r="E16" s="118" t="inlineStr">
        <is>
          <t xml:space="preserve">Static queue order by d → r → index, with the criterion that decided every adjacent pair.</t>
        </is>
      </c>
    </row>
    <row r="17" ht="31" customHeight="1">
      <c r="B17" s="117">
        <v>11</v>
      </c>
      <c r="C17" s="120" t="inlineStr">
        <is>
          <t xml:space="preserve">ERDR Iterations</t>
        </is>
      </c>
      <c r="D17" s="118" t="inlineStr">
        <is>
          <t xml:space="preserve">Steps 2–5 · Iterations</t>
        </is>
      </c>
      <c r="E17" s="118" t="inlineStr">
        <is>
          <t xml:space="preserve">One block per iteration: queue, selected Sᵢ, the set L, blocking, the Step 4 / Step 5 decision and the counter corrections.</t>
        </is>
      </c>
    </row>
    <row r="18" ht="31" customHeight="1">
      <c r="B18" s="117">
        <v>12</v>
      </c>
      <c r="C18" s="120" t="inlineStr">
        <is>
          <t xml:space="preserve">Hyperspheres (Iterations)</t>
        </is>
      </c>
      <c r="D18" s="118" t="inlineStr">
        <is>
          <t xml:space="preserve">Steps 2–5 · Hyperspheres</t>
        </is>
      </c>
      <c r="E18" s="118" t="inlineStr">
        <is>
          <t xml:space="preserve">Per iteration: the enemy spheres of the own-class objects drawn around the selected Sᵢ — the spheres that contain Sᵢ form L; counters and moves to D.</t>
        </is>
      </c>
    </row>
    <row r="19" ht="31" customHeight="1">
      <c r="B19" s="117">
        <v>13</v>
      </c>
      <c r="C19" s="120" t="inlineStr">
        <is>
          <t xml:space="preserve">ERDR Trace</t>
        </is>
      </c>
      <c r="D19" s="118" t="inlineStr">
        <is>
          <t xml:space="preserve">Steps 2–6 · Trace</t>
        </is>
      </c>
      <c r="E19" s="118" t="inlineStr">
        <is>
          <t xml:space="preserve">Iteration summary, state matrices (selected, L, decreases, moves, F, g) and the history of every object.</t>
        </is>
      </c>
    </row>
    <row r="20" ht="31" customHeight="1">
      <c r="B20" s="117">
        <v>14</v>
      </c>
      <c r="C20" s="120" t="inlineStr">
        <is>
          <t xml:space="preserve">Case Checklist</t>
        </is>
      </c>
      <c r="D20" s="118" t="inlineStr">
        <is>
          <t xml:space="preserve">Check · 17 cases</t>
        </is>
      </c>
      <c r="E20" s="118" t="inlineStr">
        <is>
          <t xml:space="preserve">Every case of the algorithm with ✓ / ✗ and the iteration where it first occurs (live).</t>
        </is>
      </c>
    </row>
    <row r="21" ht="31" customHeight="1">
      <c r="B21" s="117">
        <v>15</v>
      </c>
      <c r="C21" s="120" t="inlineStr">
        <is>
          <t xml:space="preserve">Training &amp; Validation</t>
        </is>
      </c>
      <c r="D21" s="118" t="inlineStr">
        <is>
          <t xml:space="preserve">Step 6 · Output</t>
        </is>
      </c>
      <c r="E21" s="118" t="inlineStr">
        <is>
          <t xml:space="preserve">Training sample D and validation sample F, class composition, and how every object got there.</t>
        </is>
      </c>
    </row>
    <row r="22" ht="31" customHeight="1">
      <c r="B22" s="117">
        <v>16</v>
      </c>
      <c r="C22" s="120" t="inlineStr">
        <is>
          <t xml:space="preserve">Charts</t>
        </is>
      </c>
      <c r="D22" s="118" t="inlineStr">
        <is>
          <t xml:space="preserve">Visualisation</t>
        </is>
      </c>
      <c r="E22" s="118" t="inlineStr">
        <is>
          <t xml:space="preserve">2-D map of the objects, r and z per object, Step 2 priorities and the sample sizes through the iterations.</t>
        </is>
      </c>
    </row>
    <row r="23" ht="31" customHeight="1">
      <c r="B23" s="117">
        <v>17</v>
      </c>
      <c r="C23" s="120" t="inlineStr">
        <is>
          <t xml:space="preserve">Readings (Switches)</t>
        </is>
      </c>
      <c r="D23" s="118" t="inlineStr">
        <is>
          <t xml:space="preserve">Research · open points</t>
        </is>
      </c>
      <c r="E23" s="118" t="inlineStr">
        <is>
          <t xml:space="preserve">The three open points of §1.1 as switches, and the result of all eight readings on these objects.</t>
        </is>
      </c>
    </row>
    <row r="24" ht="31" customHeight="1">
      <c r="B24" s="117">
        <v>18</v>
      </c>
      <c r="C24" s="120" t="inlineStr">
        <is>
          <t xml:space="preserve">Article Table 1 Check</t>
        </is>
      </c>
      <c r="D24" s="118" t="inlineStr">
        <is>
          <t xml:space="preserve">Research · reproduction</t>
        </is>
      </c>
      <c r="E24" s="118" t="inlineStr">
        <is>
          <t xml:space="preserve">Article Table 1 vs five readings on all 270 objects, and |D| for every odd k from 3 to 41.</t>
        </is>
      </c>
    </row>
    <row r="25" ht="31" customHeight="1">
      <c r="B25" s="117">
        <v>19</v>
      </c>
      <c r="C25" s="120" t="inlineStr">
        <is>
          <t xml:space="preserve">Article Notes</t>
        </is>
      </c>
      <c r="D25" s="118" t="inlineStr">
        <is>
          <t xml:space="preserve">Research · article text</t>
        </is>
      </c>
      <c r="E25" s="118" t="inlineStr">
        <is>
          <t xml:space="preserve">§1.1 quoted line by line, with how the workbook implements it and what stays open.</t>
        </is>
      </c>
    </row>
    <row r="26" ht="31" customHeight="1">
      <c r="B26" s="117">
        <v>20</v>
      </c>
      <c r="C26" s="120" t="inlineStr">
        <is>
          <t xml:space="preserve">Validation</t>
        </is>
      </c>
      <c r="D26" s="118" t="inlineStr">
        <is>
          <t xml:space="preserve">Checks · Validation</t>
        </is>
      </c>
      <c r="E26" s="118" t="inlineStr">
        <is>
          <t xml:space="preserve">Workbook formulas vs the Python engine: r, g, z, d, the queue, every iteration and the result.</t>
        </is>
      </c>
    </row>
    <row r="27" ht="31" customHeight="1">
      <c r="B27" s="117">
        <v>21</v>
      </c>
      <c r="C27" s="120" t="inlineStr">
        <is>
          <t xml:space="preserve">Hypersphere Data</t>
        </is>
      </c>
      <c r="D27" s="118" t="inlineStr">
        <is>
          <t xml:space="preserve">Visualisation · data</t>
        </is>
      </c>
      <c r="E27" s="118" t="inlineStr">
        <is>
          <t xml:space="preserve">Coordinates of the hypersphere diagrams (live formulas): radial positions, sphere outlines, strips and the radius plane.</t>
        </is>
      </c>
    </row>
    <row r="28" ht="10" customHeight="1"/>
    <row r="29" ht="24" customHeight="1">
      <c r="B29" s="114" t="inlineStr">
        <is>
          <t xml:space="preserve">Algorithm — pipeline specification (article element → sheet → Python function)</t>
        </is>
      </c>
      <c r="C29" s="114"/>
      <c r="D29" s="114"/>
      <c r="E29" s="114"/>
    </row>
    <row r="30" ht="20" customHeight="1">
      <c r="B30" s="116" t="inlineStr">
        <is>
          <t xml:space="preserve">#</t>
        </is>
      </c>
      <c r="C30" s="115" t="inlineStr">
        <is>
          <t xml:space="preserve">Article element</t>
        </is>
      </c>
      <c r="D30" s="115" t="inlineStr">
        <is>
          <t xml:space="preserve">Sheet</t>
        </is>
      </c>
      <c r="E30" s="115" t="inlineStr">
        <is>
          <t xml:space="preserve">Definition  →  Python function (erdrlab)</t>
        </is>
      </c>
    </row>
    <row r="31" ht="22" customHeight="1">
      <c r="B31" s="117">
        <v>1</v>
      </c>
      <c r="C31" s="119" t="inlineStr">
        <is>
          <t xml:space="preserve">Data, feature types, classes</t>
        </is>
      </c>
      <c r="D31" s="120" t="inlineStr">
        <is>
          <t xml:space="preserve">Dataset</t>
        </is>
      </c>
      <c r="E31" s="125" t="inlineStr">
        <is>
          <t xml:space="preserve">E₀ = the 7 selected objects of the 270, X(n) heterogeneous, K1, K2   →   data.load_csv(path) → (X, y, types)</t>
        </is>
      </c>
    </row>
    <row r="32" ht="22" customHeight="1">
      <c r="B32" s="117">
        <v>2</v>
      </c>
      <c r="C32" s="119" t="inlineStr">
        <is>
          <t xml:space="preserve">Scale unification</t>
        </is>
      </c>
      <c r="D32" s="120" t="inlineStr">
        <is>
          <t xml:space="preserve">Normalized Dataset</t>
        </is>
      </c>
      <c r="E32" s="125" t="inlineStr">
        <is>
          <t xml:space="preserve">x′ = (x − min)/(max − min) for type 1 over the selected objects   →   metric.scale_params, metric.unify</t>
        </is>
      </c>
    </row>
    <row r="33" ht="22" customHeight="1">
      <c r="B33" s="117">
        <v>3</v>
      </c>
      <c r="C33" s="119" t="inlineStr">
        <is>
          <t xml:space="preserve">Zhuravlev metric</t>
        </is>
      </c>
      <c r="D33" s="120" t="inlineStr">
        <is>
          <t xml:space="preserve">Zhuravlev Distances</t>
        </is>
      </c>
      <c r="E33" s="125" t="inlineStr">
        <is>
          <t xml:space="preserve">ρ = Σ(I) |x′ − y′| + Σ(J) [x ≠ y], 10-decimal rounding   →   metric.zhuravlev, metric.distance_matrix</t>
        </is>
      </c>
    </row>
    <row r="34" ht="22" customHeight="1">
      <c r="B34" s="117">
        <v>4</v>
      </c>
      <c r="C34" s="119" t="inlineStr">
        <is>
          <t xml:space="preserve">Step 1 · r, g, z, d</t>
        </is>
      </c>
      <c r="D34" s="120" t="inlineStr">
        <is>
          <t xml:space="preserve">ERDR Characteristics</t>
        </is>
      </c>
      <c r="E34" s="125" t="inlineStr">
        <is>
          <t xml:space="preserve">nearest-enemy radius, own-class count inside it, k-th neighbour distance, priority   →   erdr.characteristics(D, y, k)</t>
        </is>
      </c>
    </row>
    <row r="35" ht="22" customHeight="1">
      <c r="B35" s="117">
        <v>5</v>
      </c>
      <c r="C35" s="119" t="inlineStr">
        <is>
          <t xml:space="preserve">Step 2 · queue</t>
        </is>
      </c>
      <c r="D35" s="120" t="inlineStr">
        <is>
          <t xml:space="preserve">Priority Queue</t>
        </is>
      </c>
      <c r="E35" s="125" t="inlineStr">
        <is>
          <t xml:space="preserve">order by (d, r, index) over F with d ≥ 0   →   inside erdr.run</t>
        </is>
      </c>
    </row>
    <row r="36" ht="22" customHeight="1">
      <c r="B36" s="117">
        <v>6</v>
      </c>
      <c r="C36" s="119" t="inlineStr">
        <is>
          <t xml:space="preserve">Steps 3–5 · iterations</t>
        </is>
      </c>
      <c r="D36" s="120" t="inlineStr">
        <is>
          <t xml:space="preserve">ERDR Iterations</t>
        </is>
      </c>
      <c r="E36" s="125" t="inlineStr">
        <is>
          <t xml:space="preserve">select Sᵢ, build L, block Sᵢ, |L| = 1 → D, |L| &gt; 1 → g − 1 and moves   →   erdr.run(D, y, k, ε, self_in_L, blocked_cover, step5)</t>
        </is>
      </c>
    </row>
    <row r="37" ht="22" customHeight="1">
      <c r="B37" s="117">
        <v>7</v>
      </c>
      <c r="C37" s="119" t="inlineStr">
        <is>
          <t xml:space="preserve">Step 6 · output</t>
        </is>
      </c>
      <c r="D37" s="120" t="inlineStr">
        <is>
          <t xml:space="preserve">Training &amp; Validation</t>
        </is>
      </c>
      <c r="E37" s="125" t="inlineStr">
        <is>
          <t xml:space="preserve">D = training sample, F = E₀ \ D = validation sample   →   erdr.run(...)["D"], ["F"]</t>
        </is>
      </c>
    </row>
    <row r="38" ht="22" customHeight="1">
      <c r="B38" s="117">
        <v>8</v>
      </c>
      <c r="C38" s="119" t="inlineStr">
        <is>
          <t xml:space="preserve">Cases</t>
        </is>
      </c>
      <c r="D38" s="120" t="inlineStr">
        <is>
          <t xml:space="preserve">Case Checklist</t>
        </is>
      </c>
      <c r="E38" s="125" t="inlineStr">
        <is>
          <t xml:space="preserve">17 cases of the algorithm detected from the trace   →   cases.detect(result, D, y)</t>
        </is>
      </c>
    </row>
    <row r="39" ht="22" customHeight="1">
      <c r="B39" s="117">
        <v>9</v>
      </c>
      <c r="C39" s="119" t="inlineStr">
        <is>
          <t xml:space="preserve">Validation</t>
        </is>
      </c>
      <c r="D39" s="120" t="inlineStr">
        <is>
          <t xml:space="preserve">Validation</t>
        </is>
      </c>
      <c r="E39" s="125" t="inlineStr">
        <is>
          <t xml:space="preserve">workbook vs engine   →   tests with the golden values of this workbook</t>
        </is>
      </c>
    </row>
    <row r="40" ht="10" customHeight="1"/>
    <row r="41" ht="24" customHeight="1">
      <c r="B41" s="114" t="inlineStr">
        <is>
          <t xml:space="preserve">Key results (live)</t>
        </is>
      </c>
      <c r="C41" s="114"/>
      <c r="D41" s="114"/>
      <c r="E41" s="114"/>
    </row>
    <row r="42" ht="20" customHeight="1">
      <c r="B42" s="116" t="inlineStr">
        <is>
          <t xml:space="preserve">#</t>
        </is>
      </c>
      <c r="C42" s="115" t="inlineStr">
        <is>
          <t xml:space="preserve">Figure</t>
        </is>
      </c>
      <c r="D42" s="116" t="inlineStr">
        <is>
          <t xml:space="preserve">Value</t>
        </is>
      </c>
      <c r="E42" s="115" t="inlineStr">
        <is>
          <t xml:space="preserve">Linked to</t>
        </is>
      </c>
    </row>
    <row r="43" ht="19" customHeight="1">
      <c r="B43" s="117">
        <v>1</v>
      </c>
      <c r="C43" s="119" t="inlineStr">
        <is>
          <t xml:space="preserve">Objects N  ·  |K1|  ·  |K2|</t>
        </is>
      </c>
      <c r="D43" s="123" t="str">
        <f>'Parameters'!$B$5&amp;"  ·  "&amp;'Parameters'!$B$6&amp;"  ·  "&amp;'Parameters'!$B$7</f>
        <v>7  ·  3  ·  4</v>
      </c>
      <c r="E43" s="124" t="inlineStr">
        <is>
          <t xml:space="preserve">Parameters</t>
        </is>
      </c>
    </row>
    <row r="44" ht="19" customHeight="1">
      <c r="B44" s="117">
        <v>2</v>
      </c>
      <c r="C44" s="119" t="inlineStr">
        <is>
          <t xml:space="preserve">k used for z(Sᵢ, k)  ·  k rule 3 … 2·min|Kᵢ| − 3</t>
        </is>
      </c>
      <c r="D44" s="123" t="str">
        <f>'Parameters'!$B$12&amp;"  (permitted: "&amp;'Parameters'!$B$11&amp;")"</f>
        <v>3  (permitted: 3)</v>
      </c>
      <c r="E44" s="124" t="inlineStr">
        <is>
          <t xml:space="preserve">Parameters</t>
        </is>
      </c>
    </row>
    <row r="45" ht="19" customHeight="1">
      <c r="B45" s="117">
        <v>3</v>
      </c>
      <c r="C45" s="119" t="inlineStr">
        <is>
          <t xml:space="preserve">Step 2 queue order</t>
        </is>
      </c>
      <c r="D45" s="123" t="str">
        <f>'Validation'!C34</f>
        <v>S₁ → S₃ → S₅ → S₂ → S₇ → S₆ → S₄</v>
      </c>
      <c r="E45" s="124" t="inlineStr">
        <is>
          <t xml:space="preserve">Priority Queue</t>
        </is>
      </c>
    </row>
    <row r="46" ht="19" customHeight="1">
      <c r="B46" s="117">
        <v>4</v>
      </c>
      <c r="C46" s="119" t="inlineStr">
        <is>
          <t xml:space="preserve">Iterations until the queue is empty</t>
        </is>
      </c>
      <c r="D46" s="121">
        <f>COUNTIF('ERDR Trace'!B5:B11,"S*")</f>
        <v>6</v>
      </c>
      <c r="E46" s="124" t="inlineStr">
        <is>
          <t xml:space="preserve">ERDR Trace</t>
        </is>
      </c>
    </row>
    <row r="47" ht="19" customHeight="1">
      <c r="B47" s="117">
        <v>5</v>
      </c>
      <c r="C47" s="119" t="inlineStr">
        <is>
          <t xml:space="preserve">Training sample D</t>
        </is>
      </c>
      <c r="D47" s="123" t="str">
        <f>'Training &amp; Validation'!B19&amp;"  ·  "&amp;'Training &amp; Validation'!D15&amp;"  (K1 "&amp;'Training &amp; Validation'!B15&amp;", K2 "&amp;'Training &amp; Validation'!C15&amp;")"</f>
        <v>{S₁, S₂, S₅, S₆, S₇}  ·  5  (K1 2, K2 3)</v>
      </c>
      <c r="E47" s="124" t="inlineStr">
        <is>
          <t xml:space="preserve">Training &amp; Validation</t>
        </is>
      </c>
    </row>
    <row r="48" ht="19" customHeight="1">
      <c r="B48" s="117">
        <v>6</v>
      </c>
      <c r="C48" s="119" t="inlineStr">
        <is>
          <t xml:space="preserve">Validation sample F</t>
        </is>
      </c>
      <c r="D48" s="123" t="str">
        <f>'Training &amp; Validation'!B20&amp;"  ·  "&amp;'Training &amp; Validation'!D16&amp;"  (K1 "&amp;'Training &amp; Validation'!B16&amp;", K2 "&amp;'Training &amp; Validation'!C16&amp;")"</f>
        <v>{S₃, S₄}  ·  2  (K1 1, K2 1)</v>
      </c>
      <c r="E48" s="124" t="inlineStr">
        <is>
          <t xml:space="preserve">Training &amp; Validation</t>
        </is>
      </c>
    </row>
    <row r="49" ht="19" customHeight="1">
      <c r="B49" s="117">
        <v>7</v>
      </c>
      <c r="C49" s="119" t="inlineStr">
        <is>
          <t xml:space="preserve">Share of N in the training sample</t>
        </is>
      </c>
      <c r="D49" s="122">
        <f>'Training &amp; Validation'!E15</f>
        <v>0.714285714285714</v>
      </c>
      <c r="E49" s="124" t="inlineStr">
        <is>
          <t xml:space="preserve">Training &amp; Validation</t>
        </is>
      </c>
    </row>
    <row r="50" ht="19" customHeight="1">
      <c r="B50" s="117">
        <v>8</v>
      </c>
      <c r="C50" s="119" t="inlineStr">
        <is>
          <t xml:space="preserve">Cases of the algorithm that occur</t>
        </is>
      </c>
      <c r="D50" s="121" t="str">
        <f>SUM('Case Checklist'!D5:D21)&amp;" of 17"</f>
        <v>17 of 17</v>
      </c>
      <c r="E50" s="124" t="inlineStr">
        <is>
          <t xml:space="preserve">Case Checklist</t>
        </is>
      </c>
    </row>
    <row r="51" ht="19" customHeight="1">
      <c r="B51" s="117">
        <v>9</v>
      </c>
      <c r="C51" s="119" t="inlineStr">
        <is>
          <t xml:space="preserve">Reading</t>
        </is>
      </c>
      <c r="D51" s="123" t="str">
        <f>'Parameters'!B27</f>
        <v>✓ literal article reading (default)</v>
      </c>
      <c r="E51" s="124" t="inlineStr">
        <is>
          <t xml:space="preserve">Readings (Switches)</t>
        </is>
      </c>
    </row>
    <row r="52" ht="19" customHeight="1">
      <c r="B52" s="117">
        <v>10</v>
      </c>
      <c r="C52" s="119" t="inlineStr">
        <is>
          <t xml:space="preserve">Validation checks</t>
        </is>
      </c>
      <c r="D52" s="123" t="str">
        <f>'Validation'!B59</f>
        <v>53 of 53 checks pass  ✓</v>
      </c>
      <c r="E52" s="124" t="inlineStr">
        <is>
          <t xml:space="preserve">Validation</t>
        </is>
      </c>
    </row>
    <row r="53" ht="10" customHeight="1"/>
    <row r="54" ht="24" customHeight="1">
      <c r="B54" s="114" t="inlineStr">
        <is>
          <t xml:space="preserve">⚠ Findings for the article (§1.1, §3)</t>
        </is>
      </c>
      <c r="C54" s="114"/>
      <c r="D54" s="114"/>
      <c r="E54" s="114"/>
    </row>
    <row r="55" ht="33" customHeight="1">
      <c r="B55" s="127" t="inlineStr">
        <is>
          <t xml:space="preserve">•  Literal reading of §1.1 on all 270 objects: training samples of 165–201 objects, against 75–104 in Table 1; none of 960 tested readings reproduces Table 1 (closest: processed objects stop covering + own-class z).</t>
        </is>
      </c>
      <c r="C55" s="127"/>
      <c r="D55" s="127"/>
      <c r="E55" s="127"/>
    </row>
    <row r="56" ht="33" customHeight="1">
      <c r="B56" s="127" t="inlineStr">
        <is>
          <t xml:space="preserve">•  Three points are open in the text — whether Sᵢ is in its own L, whether processed objects keep covering, and where «Перейти к шагу 2» stands; here they are switches A, B, C (8 readings → 6 different outcomes).</t>
        </is>
      </c>
      <c r="C56" s="127"/>
      <c r="D56" s="127"/>
      <c r="E56" s="127"/>
    </row>
    <row r="57" ht="33" customHeight="1">
      <c r="B57" s="127" t="inlineStr">
        <is>
          <t xml:space="preserve">•  The case |L| = 0 is not described (literally: Sᵢ stays in F); for Sⱼ ≠ Sᵢ the condition g(Sⱼ) &gt; 1 in L is always true, so it only decides whether Sᵢ itself is in L.</t>
        </is>
      </c>
      <c r="C57" s="127"/>
      <c r="D57" s="127"/>
      <c r="E57" s="127"/>
    </row>
    <row r="58" ht="21" customHeight="1">
      <c r="B58" s="120" t="inlineStr">
        <is>
          <t xml:space="preserve">→  Article Notes: the article text line by line, with the open points</t>
        </is>
      </c>
      <c r="C58" s="120"/>
      <c r="D58" s="120"/>
      <c r="E58" s="120"/>
    </row>
    <row r="59" ht="10" customHeight="1"/>
    <row r="60" ht="24" customHeight="1">
      <c r="B60" s="114" t="inlineStr">
        <is>
          <t xml:space="preserve">Colour legend</t>
        </is>
      </c>
      <c r="C60" s="114"/>
      <c r="D60" s="114"/>
      <c r="E60" s="114"/>
    </row>
    <row r="61" ht="19" customHeight="1">
      <c r="B61" s="128" t="inlineStr">
        <is>
          <t xml:space="preserve">Aa</t>
        </is>
      </c>
      <c r="C61" s="118" t="inlineStr">
        <is>
          <t xml:space="preserve">Sheet title bar</t>
        </is>
      </c>
      <c r="D61" s="118"/>
      <c r="E61" s="118"/>
    </row>
    <row r="62" ht="19" customHeight="1">
      <c r="B62" s="116" t="inlineStr">
        <is>
          <t xml:space="preserve">Aa</t>
        </is>
      </c>
      <c r="C62" s="118" t="inlineStr">
        <is>
          <t xml:space="preserve">Table / block / iteration title bar</t>
        </is>
      </c>
      <c r="D62" s="118"/>
      <c r="E62" s="118"/>
    </row>
    <row r="63" ht="19" customHeight="1">
      <c r="B63" s="129" t="inlineStr">
        <is>
          <t xml:space="preserve">Aa</t>
        </is>
      </c>
      <c r="C63" s="118" t="inlineStr">
        <is>
          <t xml:space="preserve">Column header (x₁ … x₁₃, S₁ … S₇, rank, t)</t>
        </is>
      </c>
      <c r="D63" s="118"/>
      <c r="E63" s="118"/>
    </row>
    <row r="64" ht="19" customHeight="1">
      <c r="B64" s="130" t="inlineStr">
        <is>
          <t xml:space="preserve">Aa</t>
        </is>
      </c>
      <c r="C64" s="118" t="inlineStr">
        <is>
          <t xml:space="preserve">Object label S₁ … S₇ and row captions</t>
        </is>
      </c>
      <c r="D64" s="118"/>
      <c r="E64" s="118"/>
    </row>
    <row r="65" ht="19" customHeight="1">
      <c r="B65" s="131" t="inlineStr">
        <is>
          <t xml:space="preserve">Aa</t>
        </is>
      </c>
      <c r="C65" s="118" t="inlineStr">
        <is>
          <t xml:space="preserve">Quantitative feature values</t>
        </is>
      </c>
      <c r="D65" s="118"/>
      <c r="E65" s="118"/>
    </row>
    <row r="66" ht="19" customHeight="1">
      <c r="B66" s="132" t="inlineStr">
        <is>
          <t xml:space="preserve">Aa</t>
        </is>
      </c>
      <c r="C66" s="118" t="inlineStr">
        <is>
          <t xml:space="preserve">Nominal feature values</t>
        </is>
      </c>
      <c r="D66" s="118"/>
      <c r="E66" s="118"/>
    </row>
    <row r="67" ht="19" customHeight="1">
      <c r="B67" s="133" t="inlineStr">
        <is>
          <t xml:space="preserve">Aa</t>
        </is>
      </c>
      <c r="C67" s="118" t="inlineStr">
        <is>
          <t xml:space="preserve">Class label (1 / 2)</t>
        </is>
      </c>
      <c r="D67" s="118"/>
      <c r="E67" s="118"/>
    </row>
    <row r="68" ht="19" customHeight="1">
      <c r="B68" s="134" t="inlineStr">
        <is>
          <t xml:space="preserve">Aa</t>
        </is>
      </c>
      <c r="C68" s="118" t="inlineStr">
        <is>
          <t xml:space="preserve">ERDR characteristic (r, g, z) / counter g</t>
        </is>
      </c>
      <c r="D68" s="118"/>
      <c r="E68" s="118"/>
    </row>
    <row r="69" ht="19" customHeight="1">
      <c r="B69" s="135" t="inlineStr">
        <is>
          <t xml:space="preserve">Aa</t>
        </is>
      </c>
      <c r="C69" s="118" t="inlineStr">
        <is>
          <t xml:space="preserve">d(Sᵢ), selected / own class / correct</t>
        </is>
      </c>
      <c r="D69" s="118"/>
      <c r="E69" s="118"/>
    </row>
    <row r="70" ht="19" customHeight="1">
      <c r="B70" s="136" t="inlineStr">
        <is>
          <t xml:space="preserve">Aa</t>
        </is>
      </c>
      <c r="C70" s="118" t="inlineStr">
        <is>
          <t xml:space="preserve">Member of L / decreased counter / tie decided by r / marker r, z</t>
        </is>
      </c>
      <c r="D70" s="118"/>
      <c r="E70" s="118"/>
    </row>
    <row r="71" ht="19" customHeight="1">
      <c r="B71" s="137" t="inlineStr">
        <is>
          <t xml:space="preserve">Aa</t>
        </is>
      </c>
      <c r="C71" s="118" t="inlineStr">
        <is>
          <t xml:space="preserve">Moved to D / tie decided by the index</t>
        </is>
      </c>
      <c r="D71" s="118"/>
      <c r="E71" s="118"/>
    </row>
    <row r="72" ht="19" customHeight="1">
      <c r="B72" s="138" t="inlineStr">
        <is>
          <t xml:space="preserve">Aa</t>
        </is>
      </c>
      <c r="C72" s="118" t="inlineStr">
        <is>
          <t xml:space="preserve">Enemy (other class) / g = 1</t>
        </is>
      </c>
      <c r="D72" s="118"/>
      <c r="E72" s="118"/>
    </row>
    <row r="73" ht="19" customHeight="1">
      <c r="B73" s="139" t="inlineStr">
        <is>
          <t xml:space="preserve">Aa</t>
        </is>
      </c>
      <c r="C73" s="118" t="inlineStr">
        <is>
          <t xml:space="preserve">Key label / parameter / iteration summary</t>
        </is>
      </c>
      <c r="D73" s="118"/>
      <c r="E73" s="118"/>
    </row>
    <row r="74" ht="19" customHeight="1">
      <c r="B74" s="140" t="inlineStr">
        <is>
          <t xml:space="preserve">Aa</t>
        </is>
      </c>
      <c r="C74" s="118" t="inlineStr">
        <is>
          <t xml:space="preserve">Input cell (blue value) — Parameters, source rows on Dataset</t>
        </is>
      </c>
      <c r="D74" s="118"/>
      <c r="E74" s="118"/>
    </row>
    <row r="75" ht="19" customHeight="1">
      <c r="B75" s="141" t="inlineStr">
        <is>
          <t xml:space="preserve">Aa</t>
        </is>
      </c>
      <c r="C75" s="118" t="inlineStr">
        <is>
          <t xml:space="preserve">Engine (Python) value — not a formula</t>
        </is>
      </c>
      <c r="D75" s="118"/>
      <c r="E75" s="118"/>
    </row>
    <row r="76" ht="19" customHeight="1">
      <c r="B76" s="142" t="inlineStr">
        <is>
          <t xml:space="preserve">Aa</t>
        </is>
      </c>
      <c r="C76" s="118" t="inlineStr">
        <is>
          <t xml:space="preserve">Warning / finding for the article</t>
        </is>
      </c>
      <c r="D76" s="118"/>
      <c r="E76" s="118"/>
    </row>
    <row r="77" ht="10" customHeight="1"/>
    <row r="78" ht="24" customHeight="1">
      <c r="B78" s="114" t="inlineStr">
        <is>
          <t xml:space="preserve">Notes</t>
        </is>
      </c>
      <c r="C78" s="114"/>
      <c r="D78" s="114"/>
      <c r="E78" s="114"/>
    </row>
    <row r="79" ht="30" customHeight="1">
      <c r="B79" s="126" t="inlineStr">
        <is>
          <t xml:space="preserve">•  Every calculation from the Dataset sheet to the Case Checklist is a live formula: type another source row on the Dataset sheet, change k, ε or a reading on the Parameters sheet, and the whole experiment recalculates.</t>
        </is>
      </c>
      <c r="C79" s="126"/>
      <c r="D79" s="126"/>
      <c r="E79" s="126"/>
    </row>
    <row r="80" ht="30" customHeight="1">
      <c r="B80" s="126" t="inlineStr">
        <is>
          <t xml:space="preserve">•  Grey cells with grey text are engine values (Object Selection evidence, Readings table, Article Table 1 Check, 2-D map coordinates): they need many runs of the algorithm and are not spreadsheet formulas.</t>
        </is>
      </c>
      <c r="C80" s="126"/>
      <c r="D80" s="126"/>
      <c r="E80" s="126"/>
    </row>
    <row r="81" ht="30" customHeight="1">
      <c r="B81" s="126" t="inlineStr">
        <is>
          <t xml:space="preserve">•  Distances are rounded to 10 decimals and every order breaks ties by the smaller index — the same rules as the Python reference engine on the Validation sheet.</t>
        </is>
      </c>
      <c r="C81" s="126"/>
      <c r="D81" s="126"/>
      <c r="E81" s="126"/>
    </row>
    <row r="82" ht="30" customHeight="1">
      <c r="B82" s="126" t="inlineStr">
        <is>
          <t xml:space="preserve">•  Built for reuse: the same layout, styles and rules as our earlier Heart-Disease (10, 13, 2) experiments; the engine functions named above are the planned module of the Python project.</t>
        </is>
      </c>
      <c r="C82" s="126"/>
      <c r="D82" s="126"/>
      <c r="E82" s="126"/>
    </row>
  </sheetData>
  <mergeCells count="26">
    <mergeCell ref="B2:E2"/>
    <mergeCell ref="B3:E3"/>
    <mergeCell ref="B55:E55"/>
    <mergeCell ref="B56:E56"/>
    <mergeCell ref="B57:E57"/>
    <mergeCell ref="B58:E58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B79:E79"/>
    <mergeCell ref="B80:E80"/>
    <mergeCell ref="B81:E81"/>
    <mergeCell ref="B82:E82"/>
  </mergeCells>
  <hyperlinks>
    <hyperlink ref="C7" location="'Parameters'!A1" display="Parameters" tooltip="Go to Parameters"/>
    <hyperlink ref="C8" location="'Object Selection'!A1" display="Object Selection" tooltip="Go to Object Selection"/>
    <hyperlink ref="C9" location="'Source Dataset (270)'!A1" display="Source Dataset (270)" tooltip="Go to Source Dataset (270)"/>
    <hyperlink ref="C10" location="'Dataset'!A1" display="Dataset" tooltip="Go to Dataset"/>
    <hyperlink ref="C11" location="'Normalized Dataset'!A1" display="Normalized Dataset" tooltip="Go to Normalized Dataset"/>
    <hyperlink ref="C12" location="'Zhuravlev Distances'!A1" display="Zhuravlev Distances" tooltip="Go to Zhuravlev Distances"/>
    <hyperlink ref="C13" location="'Sorted Neighbors'!A1" display="Sorted Neighbors" tooltip="Go to Sorted Neighbors"/>
    <hyperlink ref="C14" location="'ERDR Characteristics'!A1" display="ERDR Characteristics" tooltip="Go to ERDR Characteristics"/>
    <hyperlink ref="C15" location="'Hyperspheres (Step 1)'!A1" display="Hyperspheres (Step 1)" tooltip="Go to Hyperspheres (Step 1)"/>
    <hyperlink ref="C16" location="'Priority Queue'!A1" display="Priority Queue" tooltip="Go to Priority Queue"/>
    <hyperlink ref="C17" location="'ERDR Iterations'!A1" display="ERDR Iterations" tooltip="Go to ERDR Iterations"/>
    <hyperlink ref="C18" location="'Hyperspheres (Iterations)'!A1" display="Hyperspheres (Iterations)" tooltip="Go to Hyperspheres (Iterations)"/>
    <hyperlink ref="C19" location="'ERDR Trace'!A1" display="ERDR Trace" tooltip="Go to ERDR Trace"/>
    <hyperlink ref="C20" location="'Case Checklist'!A1" display="Case Checklist" tooltip="Go to Case Checklist"/>
    <hyperlink ref="C21" location="'Training &amp; Validation'!A1" display="Training &amp; Validation" tooltip="Go to Training &amp; Validation"/>
    <hyperlink ref="C22" location="'Charts'!A1" display="Charts" tooltip="Go to Charts"/>
    <hyperlink ref="C23" location="'Readings (Switches)'!A1" display="Readings (Switches)" tooltip="Go to Readings (Switches)"/>
    <hyperlink ref="C24" location="'Article Table 1 Check'!A1" display="Article Table 1 Check" tooltip="Go to Article Table 1 Check"/>
    <hyperlink ref="C25" location="'Article Notes'!A1" display="Article Notes" tooltip="Go to Article Notes"/>
    <hyperlink ref="C26" location="'Validation'!A1" display="Validation" tooltip="Go to Validation"/>
    <hyperlink ref="C27" location="'Hypersphere Data'!A1" display="Hypersphere Data" tooltip="Go to Hypersphere Data"/>
    <hyperlink ref="D31" location="'Dataset'!A1" display="Dataset" tooltip="Go to Dataset"/>
    <hyperlink ref="D32" location="'Normalized Dataset'!A1" display="Normalized Dataset" tooltip="Go to Normalized Dataset"/>
    <hyperlink ref="D33" location="'Zhuravlev Distances'!A1" display="Zhuravlev Distances" tooltip="Go to Zhuravlev Distances"/>
    <hyperlink ref="D34" location="'ERDR Characteristics'!A1" display="ERDR Characteristics" tooltip="Go to ERDR Characteristics"/>
    <hyperlink ref="D35" location="'Priority Queue'!A1" display="Priority Queue" tooltip="Go to Priority Queue"/>
    <hyperlink ref="D36" location="'ERDR Iterations'!A1" display="ERDR Iterations" tooltip="Go to ERDR Iterations"/>
    <hyperlink ref="D37" location="'Training &amp; Validation'!A1" display="Training &amp; Validation" tooltip="Go to Training &amp; Validation"/>
    <hyperlink ref="D38" location="'Case Checklist'!A1" display="Case Checklist" tooltip="Go to Case Checklist"/>
    <hyperlink ref="D39" location="'Validation'!A1" display="Validation" tooltip="Go to Validation"/>
    <hyperlink ref="B58" location="'Article Notes'!A1" display="Article Notes" tooltip="Go to Article Notes"/>
  </hyperlink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&amp;L&amp;"Calibri,Bold"&amp;9ERDR Algorithm — Heart-Disease (7, 13, 2) selected from Heart-Disease (270, 13, 2)&amp;R&amp;"Calibri,Regular"&amp;9&amp;A</oddHeader>
    <oddFooter>&amp;C&amp;"Calibri,Regular"&amp;9Page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04040"/>
    <pageSetUpPr fitToPage="1"/>
  </sheetPr>
  <dimension ref="A1:C44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46.77734375" customWidth="1"/>
    <col min="2" max="2" width="24.77734375" customWidth="1"/>
    <col min="3" max="3" width="118.77734375" customWidth="1"/>
  </cols>
  <sheetData>
    <row r="1" ht="22" customHeight="1">
      <c r="A1" s="57" t="inlineStr">
        <is>
          <t xml:space="preserve">Experiment parameters — every ERDR stage reads its settings from this sheet</t>
        </is>
      </c>
      <c r="B1" s="57"/>
      <c r="C1" s="57"/>
    </row>
    <row r="2"/>
    <row r="3">
      <c r="A3" s="58" t="inlineStr">
        <is>
          <t xml:space="preserve">Sample and k range  ·  k_min = 3 fixed, k_max = 2 · min |Kᵢ| − 3 from the class sizes (the same rule as in our other experiments)</t>
        </is>
      </c>
      <c r="B3" s="58"/>
      <c r="C3" s="58"/>
    </row>
    <row r="4">
      <c r="A4" s="61" t="inlineStr">
        <is>
          <t xml:space="preserve">Parameter</t>
        </is>
      </c>
      <c r="B4" s="60" t="inlineStr">
        <is>
          <t xml:space="preserve">Value</t>
        </is>
      </c>
      <c r="C4" s="61" t="inlineStr">
        <is>
          <t xml:space="preserve">Rule / meaning</t>
        </is>
      </c>
    </row>
    <row r="5">
      <c r="A5" s="82" t="inlineStr">
        <is>
          <t xml:space="preserve">N  (objects in the experiment)</t>
        </is>
      </c>
      <c r="B5" s="84">
        <f>COUNT('Dataset'!B5:B11)</f>
        <v>7</v>
      </c>
      <c r="C5" s="101" t="inlineStr">
        <is>
          <t xml:space="preserve">Selected rows of the 270-object source (Dataset sheet) — why 7: see “Object Selection”</t>
        </is>
      </c>
    </row>
    <row r="6">
      <c r="A6" s="82" t="inlineStr">
        <is>
          <t xml:space="preserve">|K1|  (objects of class 1)</t>
        </is>
      </c>
      <c r="B6" s="84">
        <f>COUNTIF('Dataset'!P5:P11,1)</f>
        <v>3</v>
      </c>
      <c r="C6" s="101" t="inlineStr">
        <is>
          <t xml:space="preserve">Counted from the class column — never typed in</t>
        </is>
      </c>
    </row>
    <row r="7">
      <c r="A7" s="82" t="inlineStr">
        <is>
          <t xml:space="preserve">|K2|  (objects of class 2)</t>
        </is>
      </c>
      <c r="B7" s="84">
        <f>COUNTIF('Dataset'!P5:P11,2)</f>
        <v>4</v>
      </c>
      <c r="C7" s="101" t="inlineStr">
        <is>
          <t xml:space="preserve"/>
        </is>
      </c>
    </row>
    <row r="8">
      <c r="A8" s="82" t="inlineStr">
        <is>
          <t xml:space="preserve">min |Kᵢ|</t>
        </is>
      </c>
      <c r="B8" s="84">
        <f>MIN(B6,B7)</f>
        <v>3</v>
      </c>
      <c r="C8" s="101" t="inlineStr">
        <is>
          <t xml:space="preserve">Smallest class</t>
        </is>
      </c>
    </row>
    <row r="9">
      <c r="A9" s="82" t="inlineStr">
        <is>
          <t xml:space="preserve">k_min</t>
        </is>
      </c>
      <c r="B9" s="84">
        <v>3</v>
      </c>
      <c r="C9" s="101" t="inlineStr">
        <is>
          <t xml:space="preserve">Fixed for every dataset</t>
        </is>
      </c>
    </row>
    <row r="10">
      <c r="A10" s="82" t="inlineStr">
        <is>
          <t xml:space="preserve">k_max = 2 · min |Kᵢ| − 3</t>
        </is>
      </c>
      <c r="B10" s="84">
        <f>2*B8-3</f>
        <v>3</v>
      </c>
      <c r="C10" s="101" t="inlineStr">
        <is>
          <t xml:space="preserve">Largest permitted k</t>
        </is>
      </c>
    </row>
    <row r="11">
      <c r="A11" s="82" t="inlineStr">
        <is>
          <t xml:space="preserve">Permitted k  (odd, k_min … k_max)</t>
        </is>
      </c>
      <c r="B11" s="84" t="str">
        <f>IF(B10&lt;B9,"none — a class has fewer than 3 objects",IF(B10&gt;=5,"3, 5, …, "&amp;B10,"3"))</f>
        <v>3</v>
      </c>
      <c r="C11" s="101" t="inlineStr">
        <is>
          <t xml:space="preserve"/>
        </is>
      </c>
    </row>
    <row r="12">
      <c r="A12" s="82" t="inlineStr">
        <is>
          <t xml:space="preserve">k used by ERDR in z(Sᵢ, k)</t>
        </is>
      </c>
      <c r="B12" s="88">
        <v>3</v>
      </c>
      <c r="C12" s="101" t="inlineStr">
        <is>
          <t xml:space="preserve">Input · the k-th nearest neighbour gives z(Sᵢ, k); must be permitted and ≤ N − 1</t>
        </is>
      </c>
    </row>
    <row r="13">
      <c r="A13" s="82" t="inlineStr">
        <is>
          <t xml:space="preserve">k check</t>
        </is>
      </c>
      <c r="B13" s="85" t="str">
        <f>IF(MIN(B6,B7)=0,"⚠ the selection has only one class — ERDR needs both",IF(AND(B12&gt;=B9,B12&lt;=B10,MOD(B12-B9,2)=0,B12&lt;=B5-1),"✓ k is permitted by the rule","⚠ k is outside the permitted range "&amp;B11))</f>
        <v>✓ k is permitted by the rule</v>
      </c>
      <c r="C13" s="101" t="inlineStr">
        <is>
          <t xml:space="preserve"/>
        </is>
      </c>
    </row>
    <row r="14"/>
    <row r="15">
      <c r="A15" s="58" t="inlineStr">
        <is>
          <t xml:space="preserve">ERDR constants (article §1.1)</t>
        </is>
      </c>
      <c r="B15" s="58"/>
      <c r="C15" s="58"/>
    </row>
    <row r="16">
      <c r="A16" s="61" t="inlineStr">
        <is>
          <t xml:space="preserve">Parameter</t>
        </is>
      </c>
      <c r="B16" s="60" t="inlineStr">
        <is>
          <t xml:space="preserve">Value</t>
        </is>
      </c>
      <c r="C16" s="61" t="inlineStr">
        <is>
          <t xml:space="preserve">Rule / meaning</t>
        </is>
      </c>
    </row>
    <row r="17">
      <c r="A17" s="82" t="inlineStr">
        <is>
          <t xml:space="preserve">ε  (blocking constant, ε &gt; 0)</t>
        </is>
      </c>
      <c r="B17" s="89">
        <v>0.001</v>
      </c>
      <c r="C17" s="101" t="inlineStr">
        <is>
          <t xml:space="preserve">Step 4 blocks the selected object by d(Sᵢ) ← −(d(Sᵢ) + ε); any ε &gt; 0 gives the same result</t>
        </is>
      </c>
    </row>
    <row r="18">
      <c r="A18" s="82" t="inlineStr">
        <is>
          <t xml:space="preserve">Distance rounding</t>
        </is>
      </c>
      <c r="B18" s="85" t="inlineStr">
        <is>
          <t xml:space="preserve">10 decimals</t>
        </is>
      </c>
      <c r="C18" s="101" t="inlineStr">
        <is>
          <t xml:space="preserve">Mathematically equal distances and d values tie exactly</t>
        </is>
      </c>
    </row>
    <row r="19">
      <c r="A19" s="82" t="inlineStr">
        <is>
          <t xml:space="preserve">Queue order (Step 2)</t>
        </is>
      </c>
      <c r="B19" s="85" t="inlineStr">
        <is>
          <t xml:space="preserve">d → r → index</t>
        </is>
      </c>
      <c r="C19" s="101" t="inlineStr">
        <is>
          <t xml:space="preserve">Ascending d(Sᵢ); equal d → ascending r(Sᵢ); equal d and r → ascending index</t>
        </is>
      </c>
    </row>
    <row r="20">
      <c r="A20" s="82" t="inlineStr">
        <is>
          <t xml:space="preserve">Iteration blocks</t>
        </is>
      </c>
      <c r="B20" s="84">
        <f>B5</f>
        <v>7</v>
      </c>
      <c r="C20" s="101" t="inlineStr">
        <is>
          <t xml:space="preserve">Every iteration processes (blocks) one queue object, so at most N iterations are needed</t>
        </is>
      </c>
    </row>
    <row r="21"/>
    <row r="22">
      <c r="A22" s="58" t="inlineStr">
        <is>
          <t xml:space="preserve">Readings of three points the article leaves open  ·  1 = literal article text (default), 2 = alternative  ·  see “Readings (Switches)”</t>
        </is>
      </c>
      <c r="B22" s="58"/>
      <c r="C22" s="58"/>
    </row>
    <row r="23">
      <c r="A23" s="61" t="inlineStr">
        <is>
          <t xml:space="preserve">Parameter</t>
        </is>
      </c>
      <c r="B23" s="60" t="inlineStr">
        <is>
          <t xml:space="preserve">Value</t>
        </is>
      </c>
      <c r="C23" s="61" t="inlineStr">
        <is>
          <t xml:space="preserve">Rule / meaning</t>
        </is>
      </c>
    </row>
    <row r="24">
      <c r="A24" s="82" t="inlineStr">
        <is>
          <t xml:space="preserve">A · Sᵢ itself can be a member of L</t>
        </is>
      </c>
      <c r="B24" s="88">
        <v>1</v>
      </c>
      <c r="C24" s="101" t="inlineStr">
        <is>
          <t xml:space="preserve">1 = literal: Sᵢ ∈ L whenever g(Sᵢ) &gt; 1 (ρ(Sᵢ, Sᵢ) = 0 &lt; r(Sᵢ))  ·  2 = only other objects form L</t>
        </is>
      </c>
    </row>
    <row r="25">
      <c r="A25" s="82" t="inlineStr">
        <is>
          <t xml:space="preserve">B · processed objects keep covering</t>
        </is>
      </c>
      <c r="B25" s="88">
        <v>1</v>
      </c>
      <c r="C25" s="101" t="inlineStr">
        <is>
          <t xml:space="preserve">1 = literal: blocked objects stay in F and can belong to L later  ·  2 = only objects still in the queue can belong to L</t>
        </is>
      </c>
    </row>
    <row r="26">
      <c r="A26" s="82" t="inlineStr">
        <is>
          <t xml:space="preserve">C · return to Step 2 in Step 5</t>
        </is>
      </c>
      <c r="B26" s="88">
        <v>1</v>
      </c>
      <c r="C26" s="101" t="inlineStr">
        <is>
          <t xml:space="preserve">1 = after the whole set L has been corrected  ·  2 = right after the first object whose g falls to 1 (members of L taken by ascending index)</t>
        </is>
      </c>
    </row>
    <row r="27">
      <c r="A27" s="82" t="inlineStr">
        <is>
          <t xml:space="preserve">Reading status</t>
        </is>
      </c>
      <c r="B27" s="85" t="str">
        <f>IF(AND(B24=1,B25=1,B26=1),"✓ literal article reading (default)","⚠ alternative reading "&amp;B24&amp;B25&amp;B26&amp;" — compare with Readings (Switches)")</f>
        <v>✓ literal article reading (default)</v>
      </c>
      <c r="C27" s="101" t="inlineStr">
        <is>
          <t xml:space="preserve"/>
        </is>
      </c>
    </row>
    <row r="28"/>
    <row r="29">
      <c r="A29" s="58" t="inlineStr">
        <is>
          <t xml:space="preserve">Metric  ·  Zhuravlev metric on heterogeneous features (quantitative features rescaled to [0, 1])</t>
        </is>
      </c>
      <c r="B29" s="58"/>
      <c r="C29" s="58"/>
    </row>
    <row r="30">
      <c r="A30" s="61" t="inlineStr">
        <is>
          <t xml:space="preserve">Operator</t>
        </is>
      </c>
      <c r="B30" s="60" t="inlineStr">
        <is>
          <t xml:space="preserve">Feature set</t>
        </is>
      </c>
      <c r="C30" s="61" t="inlineStr">
        <is>
          <t xml:space="preserve">Definition</t>
        </is>
      </c>
    </row>
    <row r="31">
      <c r="A31" s="82" t="inlineStr">
        <is>
          <t xml:space="preserve">ρ</t>
        </is>
      </c>
      <c r="B31" s="84" t="inlineStr">
        <is>
          <t xml:space="preserve">all 13 (I ∪ J)</t>
        </is>
      </c>
      <c r="C31" s="101" t="inlineStr">
        <is>
          <t xml:space="preserve">ρ(x, y) = Σ(j∈I) |x′ⱼ − y′ⱼ| + Σ(j∈J) [xⱼ ≠ yⱼ]   (x′ = (x − min)/(max − min) over the N objects)</t>
        </is>
      </c>
    </row>
    <row r="32">
      <c r="A32" s="82" t="inlineStr">
        <is>
          <t xml:space="preserve">ρ_I</t>
        </is>
      </c>
      <c r="B32" s="84" t="inlineStr">
        <is>
          <t xml:space="preserve">6 quantitative (I)</t>
        </is>
      </c>
      <c r="C32" s="101" t="inlineStr">
        <is>
          <t xml:space="preserve">ρ_I(x, y) = Σ(j∈I) |x′ⱼ − y′ⱼ|  — quantitative part</t>
        </is>
      </c>
    </row>
    <row r="33">
      <c r="A33" s="82" t="inlineStr">
        <is>
          <t xml:space="preserve">ρ_J</t>
        </is>
      </c>
      <c r="B33" s="84" t="inlineStr">
        <is>
          <t xml:space="preserve">7 nominal (J)</t>
        </is>
      </c>
      <c r="C33" s="101" t="inlineStr">
        <is>
          <t xml:space="preserve">ρ_J(x, y) = Σ(j∈J) [xⱼ ≠ yⱼ]  — nominal part (number of different codes)</t>
        </is>
      </c>
    </row>
    <row r="34"/>
    <row r="35">
      <c r="A35" s="58" t="inlineStr">
        <is>
          <t xml:space="preserve">ERDR definitions (article §1.1)  ·  Sᵢ ∈ K_t</t>
        </is>
      </c>
      <c r="B35" s="58"/>
      <c r="C35" s="58"/>
    </row>
    <row r="36">
      <c r="A36" s="61" t="inlineStr">
        <is>
          <t xml:space="preserve">Symbol</t>
        </is>
      </c>
      <c r="B36" s="60" t="inlineStr">
        <is>
          <t xml:space="preserve">Sheet</t>
        </is>
      </c>
      <c r="C36" s="61" t="inlineStr">
        <is>
          <t xml:space="preserve">Definition</t>
        </is>
      </c>
    </row>
    <row r="37">
      <c r="A37" s="82" t="inlineStr">
        <is>
          <t xml:space="preserve">r(Sᵢ)</t>
        </is>
      </c>
      <c r="B37" s="85" t="inlineStr">
        <is>
          <t xml:space="preserve">ERDR Characteristics</t>
        </is>
      </c>
      <c r="C37" s="101" t="inlineStr">
        <is>
          <t xml:space="preserve">distance from Sᵢ to the nearest object of the other class (enemy radius)</t>
        </is>
      </c>
    </row>
    <row r="38">
      <c r="A38" s="82" t="inlineStr">
        <is>
          <t xml:space="preserve">g(Sᵢ)</t>
        </is>
      </c>
      <c r="B38" s="85" t="inlineStr">
        <is>
          <t xml:space="preserve">ERDR Characteristics</t>
        </is>
      </c>
      <c r="C38" s="101" t="inlineStr">
        <is>
          <t xml:space="preserve">number of objects of K_t strictly inside the sphere (Sᵢ, r(Sᵢ)); Sᵢ itself counts, so g ≥ 1</t>
        </is>
      </c>
    </row>
    <row r="39">
      <c r="A39" s="82" t="inlineStr">
        <is>
          <t xml:space="preserve">z(Sᵢ, k)</t>
        </is>
      </c>
      <c r="B39" s="85" t="inlineStr">
        <is>
          <t xml:space="preserve">ERDR Characteristics</t>
        </is>
      </c>
      <c r="C39" s="101" t="inlineStr">
        <is>
          <t xml:space="preserve">distance from Sᵢ to its k-th nearest neighbour (all objects, Sᵢ excluded)</t>
        </is>
      </c>
    </row>
    <row r="40">
      <c r="A40" s="82" t="inlineStr">
        <is>
          <t xml:space="preserve">d(Sᵢ)</t>
        </is>
      </c>
      <c r="B40" s="85" t="inlineStr">
        <is>
          <t xml:space="preserve">ERDR Characteristics</t>
        </is>
      </c>
      <c r="C40" s="101" t="inlineStr">
        <is>
          <t xml:space="preserve">|z(Sᵢ, k) − r(Sᵢ)| / (z(Sᵢ, k) + r(Sᵢ))  — priority of Sᵢ (smaller = earlier)</t>
        </is>
      </c>
    </row>
    <row r="41">
      <c r="A41" s="82" t="inlineStr">
        <is>
          <t xml:space="preserve">Queue</t>
        </is>
      </c>
      <c r="B41" s="85" t="inlineStr">
        <is>
          <t xml:space="preserve">Priority Queue</t>
        </is>
      </c>
      <c r="C41" s="101" t="inlineStr">
        <is>
          <t xml:space="preserve">{Sᵢ ∈ F | d(Sᵢ) ≥ 0} ordered by d → r → index; empty queue → Step 6</t>
        </is>
      </c>
    </row>
    <row r="42">
      <c r="A42" s="82" t="inlineStr">
        <is>
          <t xml:space="preserve">L</t>
        </is>
      </c>
      <c r="B42" s="85" t="inlineStr">
        <is>
          <t xml:space="preserve">ERDR Iterations</t>
        </is>
      </c>
      <c r="C42" s="101" t="inlineStr">
        <is>
          <t xml:space="preserve">{Sⱼ ∈ F ∩ K_t | ρ(Sⱼ, Sᵢ) &lt; r(Sⱼ) and g(Sⱼ) &gt; 1}: objects whose enemy sphere contains Sᵢ</t>
        </is>
      </c>
    </row>
    <row r="43">
      <c r="A43" s="82" t="inlineStr">
        <is>
          <t xml:space="preserve">Step 4 / 5</t>
        </is>
      </c>
      <c r="B43" s="85" t="inlineStr">
        <is>
          <t xml:space="preserve">ERDR Iterations</t>
        </is>
      </c>
      <c r="C43" s="101" t="inlineStr">
        <is>
          <t xml:space="preserve">|L| = 1 → Sᵢ moves to D;  |L| &gt; 1 → g(Sⱼ) − 1 for Sⱼ ∈ L, and Sⱼ moves to D when g(Sⱼ) = 1</t>
        </is>
      </c>
    </row>
    <row r="44">
      <c r="A44" s="82" t="inlineStr">
        <is>
          <t xml:space="preserve">Step 6</t>
        </is>
      </c>
      <c r="B44" s="85" t="inlineStr">
        <is>
          <t xml:space="preserve">Training &amp; Validation</t>
        </is>
      </c>
      <c r="C44" s="101" t="inlineStr">
        <is>
          <t xml:space="preserve">D = training sample, F = E₀ \ D = validation sample</t>
        </is>
      </c>
    </row>
  </sheetData>
  <mergeCells count="8">
    <mergeCell ref="A1:C1"/>
    <mergeCell ref="A3:C3"/>
    <mergeCell ref="B13:C13"/>
    <mergeCell ref="A15:C15"/>
    <mergeCell ref="A22:C22"/>
    <mergeCell ref="B27:C27"/>
    <mergeCell ref="A29:C29"/>
    <mergeCell ref="A35:C35"/>
  </mergeCells>
  <dataValidations count="5">
    <dataValidation type="list" allowBlank="0" showInputMessage="1" showErrorMessage="1" promptTitle="Choose" prompt="1 = literal article text, 2 = alternative" sqref="B24">
      <formula1>"1,2"</formula1>
    </dataValidation>
    <dataValidation type="list" allowBlank="0" showInputMessage="1" showErrorMessage="1" promptTitle="Choose" prompt="1 = literal article text, 2 = alternative" sqref="B25">
      <formula1>"1,2"</formula1>
    </dataValidation>
    <dataValidation type="list" allowBlank="0" showInputMessage="1" showErrorMessage="1" promptTitle="Choose" prompt="1 = literal article text, 2 = alternative" sqref="B26">
      <formula1>"1,2"</formula1>
    </dataValidation>
    <dataValidation type="whole" allowBlank="0" showInputMessage="1" showErrorMessage="1" promptTitle="k" prompt="Odd k from 3 to k_max" sqref="B12">
      <formula1>1</formula1>
      <formula2>99</formula2>
    </dataValidation>
    <dataValidation type="decimal" operator="greaterThan" allowBlank="0" showErrorMessage="1" sqref="B17">
      <formula1>0</formula1>
    </dataValidation>
  </dataValidation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&amp;L&amp;"Calibri,Bold"&amp;9ERDR Algorithm — Heart-Disease (7, 13, 2) selected from Heart-Disease (270, 13, 2)&amp;R&amp;"Calibri,Regular"&amp;9&amp;A</oddHeader>
    <oddFooter>&amp;C&amp;"Calibri,Regular"&amp;9Page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404040"/>
    <pageSetUpPr fitToPage="1"/>
  </sheetPr>
  <dimension ref="A1:G32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8.77734375" customWidth="1"/>
    <col min="2" max="2" width="18.77734375" customWidth="1"/>
    <col min="3" max="3" width="16.77734375" customWidth="1"/>
    <col min="4" max="4" width="22.77734375" customWidth="1"/>
    <col min="5" max="5" width="22.77734375" customWidth="1"/>
    <col min="6" max="6" width="18.77734375" customWidth="1"/>
    <col min="7" max="7" width="60.77734375" customWidth="1"/>
  </cols>
  <sheetData>
    <row r="1" ht="22" customHeight="1">
      <c r="A1" s="57" t="inlineStr">
        <is>
          <t xml:space="preserve">Object selection · why N = 7: the smallest sample of Heart-Disease (270, 13, 2) in which every case of the ERDR algorithm occurs</t>
        </is>
      </c>
      <c r="B1" s="57"/>
      <c r="C1" s="57"/>
      <c r="D1" s="57"/>
      <c r="E1" s="57"/>
      <c r="F1" s="57"/>
      <c r="G1" s="57"/>
    </row>
    <row r="2"/>
    <row r="3">
      <c r="A3" s="58" t="inlineStr">
        <is>
          <t xml:space="preserve">Rule used</t>
        </is>
      </c>
      <c r="B3" s="58"/>
      <c r="C3" s="58"/>
      <c r="D3" s="58"/>
      <c r="E3" s="58"/>
      <c r="F3" s="58"/>
      <c r="G3" s="58"/>
    </row>
    <row r="4" ht="20" customHeight="1">
      <c r="A4" s="102" t="inlineStr">
        <is>
          <t xml:space="preserve">1.  The sample must satisfy the k rule of our experiments: k_min = 3 must be permitted, i.e. k_max = 2·min|Kᵢ| − 3 ≥ 3, so each class needs at least 3 objects → N ≥ 6.</t>
        </is>
      </c>
      <c r="B4" s="102"/>
      <c r="C4" s="102"/>
      <c r="D4" s="102"/>
      <c r="E4" s="102"/>
      <c r="F4" s="102"/>
      <c r="G4" s="102"/>
    </row>
    <row r="5" ht="20" customHeight="1">
      <c r="A5" s="102" t="inlineStr">
        <is>
          <t xml:space="preserve">2.  ERDR must show every case listed on the Case Checklist (17 cases: 14 branch cases of Steps 1–6 plus the index tie of Step 2, two moves in one Step 5 and a two-class validation set).</t>
        </is>
      </c>
      <c r="B5" s="102"/>
      <c r="C5" s="102"/>
      <c r="D5" s="102"/>
      <c r="E5" s="102"/>
      <c r="F5" s="102"/>
      <c r="G5" s="102"/>
    </row>
    <row r="6" ht="20" customHeight="1">
      <c r="A6" s="102" t="inlineStr">
        <is>
          <t xml:space="preserve">3.  Among the samples that satisfy 1–2, use the smallest N; more objects only when no smaller sample shows every case.</t>
        </is>
      </c>
      <c r="B6" s="102"/>
      <c r="C6" s="102"/>
      <c r="D6" s="102"/>
      <c r="E6" s="102"/>
      <c r="F6" s="102"/>
      <c r="G6" s="102"/>
    </row>
    <row r="7"/>
    <row r="8">
      <c r="A8" s="58" t="inlineStr">
        <is>
          <t xml:space="preserve">Search evidence (Python engine, literal reading, k = 3, normalisation over the selected objects)</t>
        </is>
      </c>
      <c r="B8" s="58"/>
      <c r="C8" s="58"/>
      <c r="D8" s="58"/>
      <c r="E8" s="58"/>
      <c r="F8" s="58"/>
      <c r="G8" s="58"/>
    </row>
    <row r="9" ht="34" customHeight="1">
      <c r="A9" s="60" t="inlineStr">
        <is>
          <t xml:space="preserve">N</t>
        </is>
      </c>
      <c r="B9" s="60" t="inlineStr">
        <is>
          <t xml:space="preserve">Subsets examined</t>
        </is>
      </c>
      <c r="C9" s="60" t="inlineStr">
        <is>
          <t xml:space="preserve">Show the 14 branch cases</t>
        </is>
      </c>
      <c r="D9" s="60" t="inlineStr">
        <is>
          <t xml:space="preserve">… and case 5 (index tie)</t>
        </is>
      </c>
      <c r="E9" s="60" t="inlineStr">
        <is>
          <t xml:space="preserve">… and case 17 (two-class F)</t>
        </is>
      </c>
      <c r="F9" s="60" t="inlineStr">
        <is>
          <t xml:space="preserve">Show all 17 cases</t>
        </is>
      </c>
      <c r="G9" s="60" t="inlineStr">
        <is>
          <t xml:space="preserve">Conclusion</t>
        </is>
      </c>
    </row>
    <row r="10" ht="31" customHeight="1">
      <c r="A10" s="77">
        <v>6</v>
      </c>
      <c r="B10" s="104" t="inlineStr">
        <is>
          <t xml:space="preserve">1,594,722</t>
        </is>
      </c>
      <c r="C10" s="104" t="inlineStr">
        <is>
          <t xml:space="preserve">13,821</t>
        </is>
      </c>
      <c r="D10" s="104">
        <v>0</v>
      </c>
      <c r="E10" s="104">
        <v>0</v>
      </c>
      <c r="F10" s="104">
        <v>0</v>
      </c>
      <c r="G10" s="99" t="inlineStr">
        <is>
          <t xml:space="preserve">6 objects show the 14 branch cases, but never the index tie or a two-class validation set</t>
        </is>
      </c>
    </row>
    <row r="11" ht="22" customHeight="1">
      <c r="A11" s="77">
        <v>7</v>
      </c>
      <c r="B11" s="104" t="inlineStr">
        <is>
          <t xml:space="preserve">local search, 5 min</t>
        </is>
      </c>
      <c r="C11" s="104" t="inlineStr">
        <is>
          <t xml:space="preserve">—</t>
        </is>
      </c>
      <c r="D11" s="104" t="inlineStr">
        <is>
          <t xml:space="preserve">—</t>
        </is>
      </c>
      <c r="E11" s="104" t="inlineStr">
        <is>
          <t xml:space="preserve">—</t>
        </is>
      </c>
      <c r="F11" s="104" t="inlineStr">
        <is>
          <t xml:space="preserve">403 found</t>
        </is>
      </c>
      <c r="G11" s="90" t="inlineStr">
        <is>
          <t xml:space="preserve">N = 7 is the smallest sample with every case</t>
        </is>
      </c>
    </row>
    <row r="12"/>
    <row r="13">
      <c r="A13" s="58" t="inlineStr">
        <is>
          <t xml:space="preserve">Chosen objects (live)</t>
        </is>
      </c>
      <c r="B13" s="58"/>
      <c r="C13" s="58"/>
      <c r="D13" s="58"/>
      <c r="E13" s="58"/>
      <c r="F13" s="58"/>
      <c r="G13" s="58"/>
    </row>
    <row r="14" ht="34" customHeight="1">
      <c r="A14" s="60" t="inlineStr">
        <is>
          <t xml:space="preserve">№</t>
        </is>
      </c>
      <c r="B14" s="60" t="inlineStr">
        <is>
          <t xml:space="preserve">Source row</t>
        </is>
      </c>
      <c r="C14" s="60" t="inlineStr">
        <is>
          <t xml:space="preserve">Class</t>
        </is>
      </c>
      <c r="D14" s="60" t="inlineStr">
        <is>
          <t xml:space="preserve">Also in Heart-Disease (10, 13, 2) as</t>
        </is>
      </c>
      <c r="E14" s="60" t="inlineStr">
        <is>
          <t xml:space="preserve">Sample (live)</t>
        </is>
      </c>
      <c r="F14" s="60" t="inlineStr">
        <is>
          <t xml:space="preserve">Processed in iteration</t>
        </is>
      </c>
      <c r="G14" s="60" t="inlineStr">
        <is>
          <t xml:space="preserve">Case at processing</t>
        </is>
      </c>
    </row>
    <row r="15">
      <c r="A15" s="62" t="inlineStr">
        <is>
          <t xml:space="preserve">S₁</t>
        </is>
      </c>
      <c r="B15" s="78">
        <f>'Dataset'!B5</f>
        <v>1</v>
      </c>
      <c r="C15" s="68">
        <f>'Dataset'!P5</f>
        <v>2</v>
      </c>
      <c r="D15" s="101" t="str">
        <f>IF('Dataset'!B5=1,"S₁",IF('Dataset'!B5=10,"S₁₀",IF('Dataset'!B5&lt;=10,"S"&amp;'Dataset'!B5,"—")))</f>
        <v>S₁</v>
      </c>
      <c r="E15" s="85" t="str">
        <f>'Training &amp; Validation'!D5</f>
        <v>D · training</v>
      </c>
      <c r="F15" s="77">
        <f>'Training &amp; Validation'!E5</f>
        <v>1</v>
      </c>
      <c r="G15" s="101" t="str">
        <f>IF(ISNUMBER(F15),INDEX('ERDR Iterations'!$K:$K,5+26*(F15-1)+10),"never processed (moved to D before its turn)")</f>
        <v>|L| &gt; 1 → Step 5 corrects g</v>
      </c>
    </row>
    <row r="16">
      <c r="A16" s="62" t="inlineStr">
        <is>
          <t xml:space="preserve">S₂</t>
        </is>
      </c>
      <c r="B16" s="78">
        <f>'Dataset'!B6</f>
        <v>10</v>
      </c>
      <c r="C16" s="68">
        <f>'Dataset'!P6</f>
        <v>2</v>
      </c>
      <c r="D16" s="101" t="str">
        <f>IF('Dataset'!B6=1,"S₁",IF('Dataset'!B6=10,"S₁₀",IF('Dataset'!B6&lt;=10,"S"&amp;'Dataset'!B6,"—")))</f>
        <v>S₁₀</v>
      </c>
      <c r="E16" s="85" t="str">
        <f>'Training &amp; Validation'!D6</f>
        <v>D · training</v>
      </c>
      <c r="F16" s="77">
        <f>'Training &amp; Validation'!E6</f>
        <v>4</v>
      </c>
      <c r="G16" s="101" t="str">
        <f>IF(ISNUMBER(F16),INDEX('ERDR Iterations'!$K:$K,5+26*(F16-1)+10),"never processed (moved to D before its turn)")</f>
        <v>|L| = 1 → Sᵢ moves to D</v>
      </c>
    </row>
    <row r="17">
      <c r="A17" s="62" t="inlineStr">
        <is>
          <t xml:space="preserve">S₃</t>
        </is>
      </c>
      <c r="B17" s="78">
        <f>'Dataset'!B7</f>
        <v>73</v>
      </c>
      <c r="C17" s="68">
        <f>'Dataset'!P7</f>
        <v>1</v>
      </c>
      <c r="D17" s="101" t="str">
        <f>IF('Dataset'!B7=1,"S₁",IF('Dataset'!B7=10,"S₁₀",IF('Dataset'!B7&lt;=10,"S"&amp;'Dataset'!B7,"—")))</f>
        <v>—</v>
      </c>
      <c r="E17" s="85" t="str">
        <f>'Training &amp; Validation'!D7</f>
        <v>F · validation</v>
      </c>
      <c r="F17" s="77">
        <f>'Training &amp; Validation'!E7</f>
        <v>2</v>
      </c>
      <c r="G17" s="101" t="str">
        <f>IF(ISNUMBER(F17),INDEX('ERDR Iterations'!$K:$K,5+26*(F17-1)+10),"never processed (moved to D before its turn)")</f>
        <v>|L| &gt; 1 → Step 5 corrects g</v>
      </c>
    </row>
    <row r="18">
      <c r="A18" s="62" t="inlineStr">
        <is>
          <t xml:space="preserve">S₄</t>
        </is>
      </c>
      <c r="B18" s="78">
        <f>'Dataset'!B8</f>
        <v>143</v>
      </c>
      <c r="C18" s="68">
        <f>'Dataset'!P8</f>
        <v>2</v>
      </c>
      <c r="D18" s="101" t="str">
        <f>IF('Dataset'!B8=1,"S₁",IF('Dataset'!B8=10,"S₁₀",IF('Dataset'!B8&lt;=10,"S"&amp;'Dataset'!B8,"—")))</f>
        <v>—</v>
      </c>
      <c r="E18" s="85" t="str">
        <f>'Training &amp; Validation'!D8</f>
        <v>F · validation</v>
      </c>
      <c r="F18" s="77">
        <f>'Training &amp; Validation'!E8</f>
        <v>6</v>
      </c>
      <c r="G18" s="101" t="str">
        <f>IF(ISNUMBER(F18),INDEX('ERDR Iterations'!$K:$K,5+26*(F18-1)+10),"never processed (moved to D before its turn)")</f>
        <v>|L| = 0 → Sᵢ is only blocked and stays in F</v>
      </c>
    </row>
    <row r="19">
      <c r="A19" s="62" t="inlineStr">
        <is>
          <t xml:space="preserve">S₅</t>
        </is>
      </c>
      <c r="B19" s="78">
        <f>'Dataset'!B9</f>
        <v>224</v>
      </c>
      <c r="C19" s="68">
        <f>'Dataset'!P9</f>
        <v>2</v>
      </c>
      <c r="D19" s="101" t="str">
        <f>IF('Dataset'!B9=1,"S₁",IF('Dataset'!B9=10,"S₁₀",IF('Dataset'!B9&lt;=10,"S"&amp;'Dataset'!B9,"—")))</f>
        <v>—</v>
      </c>
      <c r="E19" s="85" t="str">
        <f>'Training &amp; Validation'!D9</f>
        <v>D · training</v>
      </c>
      <c r="F19" s="77">
        <f>'Training &amp; Validation'!E9</f>
        <v>3</v>
      </c>
      <c r="G19" s="101" t="str">
        <f>IF(ISNUMBER(F19),INDEX('ERDR Iterations'!$K:$K,5+26*(F19-1)+10),"never processed (moved to D before its turn)")</f>
        <v>|L| &gt; 1 → Step 5 corrects g</v>
      </c>
    </row>
    <row r="20">
      <c r="A20" s="62" t="inlineStr">
        <is>
          <t xml:space="preserve">S₆</t>
        </is>
      </c>
      <c r="B20" s="78">
        <f>'Dataset'!B10</f>
        <v>226</v>
      </c>
      <c r="C20" s="68">
        <f>'Dataset'!P10</f>
        <v>1</v>
      </c>
      <c r="D20" s="101" t="str">
        <f>IF('Dataset'!B10=1,"S₁",IF('Dataset'!B10=10,"S₁₀",IF('Dataset'!B10&lt;=10,"S"&amp;'Dataset'!B10,"—")))</f>
        <v>—</v>
      </c>
      <c r="E20" s="85" t="str">
        <f>'Training &amp; Validation'!D10</f>
        <v>D · training</v>
      </c>
      <c r="F20" s="77">
        <f>'Training &amp; Validation'!E10</f>
        <v>5</v>
      </c>
      <c r="G20" s="101" t="str">
        <f>IF(ISNUMBER(F20),INDEX('ERDR Iterations'!$K:$K,5+26*(F20-1)+10),"never processed (moved to D before its turn)")</f>
        <v>|L| = 1 → Sᵢ moves to D</v>
      </c>
    </row>
    <row r="21">
      <c r="A21" s="62" t="inlineStr">
        <is>
          <t xml:space="preserve">S₇</t>
        </is>
      </c>
      <c r="B21" s="78">
        <f>'Dataset'!B11</f>
        <v>239</v>
      </c>
      <c r="C21" s="68">
        <f>'Dataset'!P11</f>
        <v>1</v>
      </c>
      <c r="D21" s="101" t="str">
        <f>IF('Dataset'!B11=1,"S₁",IF('Dataset'!B11=10,"S₁₀",IF('Dataset'!B11&lt;=10,"S"&amp;'Dataset'!B11,"—")))</f>
        <v>—</v>
      </c>
      <c r="E21" s="85" t="str">
        <f>'Training &amp; Validation'!D11</f>
        <v>D · training</v>
      </c>
      <c r="F21" s="77" t="str">
        <f>'Training &amp; Validation'!E11</f>
        <v>—</v>
      </c>
      <c r="G21" s="101" t="str">
        <f>IF(ISNUMBER(F21),INDEX('ERDR Iterations'!$K:$K,5+26*(F21-1)+10),"never processed (moved to D before its turn)")</f>
        <v>never processed (moved to D before its turn)</v>
      </c>
    </row>
    <row r="22"/>
    <row r="23">
      <c r="A23" s="58" t="inlineStr">
        <is>
          <t xml:space="preserve">Why this subset among the 403 seven-object samples</t>
        </is>
      </c>
      <c r="B23" s="58"/>
      <c r="C23" s="58"/>
      <c r="D23" s="58"/>
      <c r="E23" s="58"/>
      <c r="F23" s="58"/>
      <c r="G23" s="58"/>
    </row>
    <row r="24" ht="20" customHeight="1">
      <c r="A24" s="102" t="inlineStr">
        <is>
          <t xml:space="preserve">•  every one of the 17 cases occurs, and each of the 6 iterations shows a different case (|L| &gt; 1 three times with different effects, |L| = 1 in both forms, |L| = 0);</t>
        </is>
      </c>
      <c r="B24" s="102"/>
      <c r="C24" s="102"/>
      <c r="D24" s="102"/>
      <c r="E24" s="102"/>
      <c r="F24" s="102"/>
      <c r="G24" s="102"/>
    </row>
    <row r="25" ht="20" customHeight="1">
      <c r="A25" s="102" t="inlineStr">
        <is>
          <t xml:space="preserve">•  each reading switch A, B, C changes the result on these objects, so the open points of the article are visible;</t>
        </is>
      </c>
      <c r="B25" s="102"/>
      <c r="C25" s="102"/>
      <c r="D25" s="102"/>
      <c r="E25" s="102"/>
      <c r="F25" s="102"/>
      <c r="G25" s="102"/>
    </row>
    <row r="26" ht="20" customHeight="1">
      <c r="A26" s="102" t="inlineStr">
        <is>
          <t xml:space="preserve">•  all ties are exact ties at d = 0 (z = r), the robust kind; the smallest gap between two different distances is 0.064, so there are no near-ties;</t>
        </is>
      </c>
      <c r="B26" s="102"/>
      <c r="C26" s="102"/>
      <c r="D26" s="102"/>
      <c r="E26" s="102"/>
      <c r="F26" s="102"/>
      <c r="G26" s="102"/>
    </row>
    <row r="27" ht="20" customHeight="1">
      <c r="A27" s="102" t="inlineStr">
        <is>
          <t xml:space="preserve">•  S₁ and S₂ are rows 1 and 10 — objects S₁ and S₁₀ of our earlier Heart-Disease (10, 13, 2) experiment.</t>
        </is>
      </c>
      <c r="B27" s="102"/>
      <c r="C27" s="102"/>
      <c r="D27" s="102"/>
      <c r="E27" s="102"/>
      <c r="F27" s="102"/>
      <c r="G27" s="102"/>
    </row>
    <row r="28"/>
    <row r="29">
      <c r="A29" s="58" t="inlineStr">
        <is>
          <t xml:space="preserve">For comparison</t>
        </is>
      </c>
      <c r="B29" s="58"/>
      <c r="C29" s="58"/>
      <c r="D29" s="58"/>
      <c r="E29" s="58"/>
      <c r="F29" s="58"/>
      <c r="G29" s="58"/>
    </row>
    <row r="30" ht="20" customHeight="1">
      <c r="A30" s="102" t="inlineStr">
        <is>
          <t xml:space="preserve">•  A 6-object sample, rows 2, 8, 9, 54, 76, 219: shows the 14 branch cases and two moves in one Step 5, but no index tie and its validation set is the single object of row 54.</t>
        </is>
      </c>
      <c r="B30" s="102"/>
      <c r="C30" s="102"/>
      <c r="D30" s="102"/>
      <c r="E30" s="102"/>
      <c r="F30" s="102"/>
      <c r="G30" s="102"/>
    </row>
    <row r="31" ht="20" customHeight="1">
      <c r="A31" s="102" t="inlineStr">
        <is>
          <t xml:space="preserve">•  Taking the first rows of the file instead: rows 1–15 are needed for the 14 branch cases, rows 1–102 for all 17 cases.</t>
        </is>
      </c>
      <c r="B31" s="102"/>
      <c r="C31" s="102"/>
      <c r="D31" s="102"/>
      <c r="E31" s="102"/>
      <c r="F31" s="102"/>
      <c r="G31" s="102"/>
    </row>
    <row r="32" ht="20" customHeight="1">
      <c r="A32" s="102" t="inlineStr">
        <is>
          <t xml:space="preserve">•  N = 6 is not proven impossible for all 17 cases (the 3 + 3 search space has 1.5·10¹¹ subsets); the evidence above comes from a local search that aimed at exactly these cases.</t>
        </is>
      </c>
      <c r="B32" s="102"/>
      <c r="C32" s="102"/>
      <c r="D32" s="102"/>
      <c r="E32" s="102"/>
      <c r="F32" s="102"/>
      <c r="G32" s="102"/>
    </row>
  </sheetData>
  <mergeCells count="16">
    <mergeCell ref="A1:G1"/>
    <mergeCell ref="A3:G3"/>
    <mergeCell ref="A4:G4"/>
    <mergeCell ref="A5:G5"/>
    <mergeCell ref="A6:G6"/>
    <mergeCell ref="A8:G8"/>
    <mergeCell ref="A13:G13"/>
    <mergeCell ref="A23:G23"/>
    <mergeCell ref="A24:G24"/>
    <mergeCell ref="A25:G25"/>
    <mergeCell ref="A26:G26"/>
    <mergeCell ref="A27:G27"/>
    <mergeCell ref="A29:G29"/>
    <mergeCell ref="A30:G30"/>
    <mergeCell ref="A31:G31"/>
    <mergeCell ref="A32:G32"/>
  </mergeCell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&amp;L&amp;"Calibri,Bold"&amp;9ERDR Algorithm — Heart-Disease (7, 13, 2) selected from Heart-Disease (270, 13, 2)&amp;R&amp;"Calibri,Regular"&amp;9&amp;A</oddHeader>
    <oddFooter>&amp;C&amp;"Calibri,Regular"&amp;9Page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F5597"/>
    <pageSetUpPr fitToPage="1"/>
  </sheetPr>
  <dimension ref="A1:P283"/>
  <sheetViews>
    <sheetView showGridLines="0" zoomScale="100" zoomScaleNormal="100" workbookViewId="0">
      <pane ySplit="4" topLeftCell="A5" activePane="bottomLeft" state="frozen"/>
      <selection pane="bottomLeft" activeCell="A5" sqref="A5"/>
    </sheetView>
  </sheetViews>
  <sheetFormatPr defaultRowHeight="15.6"/>
  <cols>
    <col min="1" max="1" width="8.77734375" customWidth="1"/>
    <col min="2" max="14" width="9.77734375" customWidth="1"/>
    <col min="15" max="15" width="8.77734375" customWidth="1"/>
    <col min="16" max="16" width="13.77734375" customWidth="1"/>
  </cols>
  <sheetData>
    <row r="1" ht="22" customHeight="1">
      <c r="A1" s="57" t="inlineStr">
        <is>
          <t xml:space="preserve">Source dataset · Heart-Disease (270, 13, 2) — the complete original sample (input; the experiment reads the selected rows from here)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</row>
    <row r="2"/>
    <row r="3">
      <c r="A3" s="58" t="inlineStr">
        <is>
          <t xml:space="preserve">All 270 objects: 13 features x₁ … x₁₃, the class (1 / 2) and, in the last row, the feature types (1 = quantitative, 0 = nominal) · the 7 selected objects are highlighted</t>
        </is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</row>
    <row r="4">
      <c r="A4" s="60" t="inlineStr">
        <is>
          <t xml:space="preserve">Row</t>
        </is>
      </c>
      <c r="B4" s="60" t="inlineStr">
        <is>
          <t xml:space="preserve">x₁</t>
        </is>
      </c>
      <c r="C4" s="60" t="inlineStr">
        <is>
          <t xml:space="preserve">x₂</t>
        </is>
      </c>
      <c r="D4" s="60" t="inlineStr">
        <is>
          <t xml:space="preserve">x₃</t>
        </is>
      </c>
      <c r="E4" s="60" t="inlineStr">
        <is>
          <t xml:space="preserve">x₄</t>
        </is>
      </c>
      <c r="F4" s="60" t="inlineStr">
        <is>
          <t xml:space="preserve">x₅</t>
        </is>
      </c>
      <c r="G4" s="60" t="inlineStr">
        <is>
          <t xml:space="preserve">x₆</t>
        </is>
      </c>
      <c r="H4" s="60" t="inlineStr">
        <is>
          <t xml:space="preserve">x₇</t>
        </is>
      </c>
      <c r="I4" s="60" t="inlineStr">
        <is>
          <t xml:space="preserve">x₈</t>
        </is>
      </c>
      <c r="J4" s="60" t="inlineStr">
        <is>
          <t xml:space="preserve">x₉</t>
        </is>
      </c>
      <c r="K4" s="60" t="inlineStr">
        <is>
          <t xml:space="preserve">x₁₀</t>
        </is>
      </c>
      <c r="L4" s="60" t="inlineStr">
        <is>
          <t xml:space="preserve">x₁₁</t>
        </is>
      </c>
      <c r="M4" s="60" t="inlineStr">
        <is>
          <t xml:space="preserve">x₁₂</t>
        </is>
      </c>
      <c r="N4" s="60" t="inlineStr">
        <is>
          <t xml:space="preserve">x₁₃</t>
        </is>
      </c>
      <c r="O4" s="60" t="inlineStr">
        <is>
          <t xml:space="preserve">Class</t>
        </is>
      </c>
      <c r="P4" s="60" t="inlineStr">
        <is>
          <t xml:space="preserve">Selected as</t>
        </is>
      </c>
    </row>
    <row r="5">
      <c r="A5" s="62">
        <v>1</v>
      </c>
      <c r="B5" s="66">
        <v>70</v>
      </c>
      <c r="C5" s="67">
        <v>1</v>
      </c>
      <c r="D5" s="67">
        <v>4</v>
      </c>
      <c r="E5" s="66">
        <v>130</v>
      </c>
      <c r="F5" s="66">
        <v>322</v>
      </c>
      <c r="G5" s="67">
        <v>0</v>
      </c>
      <c r="H5" s="67">
        <v>2</v>
      </c>
      <c r="I5" s="66">
        <v>109</v>
      </c>
      <c r="J5" s="67">
        <v>0</v>
      </c>
      <c r="K5" s="66">
        <v>2.4</v>
      </c>
      <c r="L5" s="67">
        <v>2</v>
      </c>
      <c r="M5" s="66">
        <v>3</v>
      </c>
      <c r="N5" s="67">
        <v>3</v>
      </c>
      <c r="O5" s="68">
        <v>2</v>
      </c>
      <c r="P5" s="93" t="str">
        <f>IFERROR(CHOOSE(MATCH(A5,'Dataset'!$B$5:$B$11,0),"S₁","S₂","S₃","S₄","S₅","S₆","S₇"),"")</f>
        <v>S₁</v>
      </c>
    </row>
    <row r="6">
      <c r="A6" s="62">
        <v>2</v>
      </c>
      <c r="B6" s="66">
        <v>67</v>
      </c>
      <c r="C6" s="67">
        <v>0</v>
      </c>
      <c r="D6" s="67">
        <v>3</v>
      </c>
      <c r="E6" s="66">
        <v>115</v>
      </c>
      <c r="F6" s="66">
        <v>564</v>
      </c>
      <c r="G6" s="67">
        <v>0</v>
      </c>
      <c r="H6" s="67">
        <v>2</v>
      </c>
      <c r="I6" s="66">
        <v>160</v>
      </c>
      <c r="J6" s="67">
        <v>0</v>
      </c>
      <c r="K6" s="66">
        <v>1.6</v>
      </c>
      <c r="L6" s="67">
        <v>2</v>
      </c>
      <c r="M6" s="66">
        <v>0</v>
      </c>
      <c r="N6" s="67">
        <v>7</v>
      </c>
      <c r="O6" s="68">
        <v>1</v>
      </c>
      <c r="P6" s="93" t="str">
        <f>IFERROR(CHOOSE(MATCH(A6,'Dataset'!$B$5:$B$11,0),"S₁","S₂","S₃","S₄","S₅","S₆","S₇"),"")</f>
        <v/>
      </c>
    </row>
    <row r="7">
      <c r="A7" s="62">
        <v>3</v>
      </c>
      <c r="B7" s="66">
        <v>57</v>
      </c>
      <c r="C7" s="67">
        <v>1</v>
      </c>
      <c r="D7" s="67">
        <v>2</v>
      </c>
      <c r="E7" s="66">
        <v>124</v>
      </c>
      <c r="F7" s="66">
        <v>261</v>
      </c>
      <c r="G7" s="67">
        <v>0</v>
      </c>
      <c r="H7" s="67">
        <v>0</v>
      </c>
      <c r="I7" s="66">
        <v>141</v>
      </c>
      <c r="J7" s="67">
        <v>0</v>
      </c>
      <c r="K7" s="66">
        <v>0.3</v>
      </c>
      <c r="L7" s="67">
        <v>1</v>
      </c>
      <c r="M7" s="66">
        <v>0</v>
      </c>
      <c r="N7" s="67">
        <v>7</v>
      </c>
      <c r="O7" s="68">
        <v>2</v>
      </c>
      <c r="P7" s="93" t="str">
        <f>IFERROR(CHOOSE(MATCH(A7,'Dataset'!$B$5:$B$11,0),"S₁","S₂","S₃","S₄","S₅","S₆","S₇"),"")</f>
        <v/>
      </c>
    </row>
    <row r="8">
      <c r="A8" s="62">
        <v>4</v>
      </c>
      <c r="B8" s="66">
        <v>64</v>
      </c>
      <c r="C8" s="67">
        <v>1</v>
      </c>
      <c r="D8" s="67">
        <v>4</v>
      </c>
      <c r="E8" s="66">
        <v>128</v>
      </c>
      <c r="F8" s="66">
        <v>263</v>
      </c>
      <c r="G8" s="67">
        <v>0</v>
      </c>
      <c r="H8" s="67">
        <v>0</v>
      </c>
      <c r="I8" s="66">
        <v>105</v>
      </c>
      <c r="J8" s="67">
        <v>1</v>
      </c>
      <c r="K8" s="66">
        <v>0.2</v>
      </c>
      <c r="L8" s="67">
        <v>2</v>
      </c>
      <c r="M8" s="66">
        <v>1</v>
      </c>
      <c r="N8" s="67">
        <v>7</v>
      </c>
      <c r="O8" s="68">
        <v>1</v>
      </c>
      <c r="P8" s="93" t="str">
        <f>IFERROR(CHOOSE(MATCH(A8,'Dataset'!$B$5:$B$11,0),"S₁","S₂","S₃","S₄","S₅","S₆","S₇"),"")</f>
        <v/>
      </c>
    </row>
    <row r="9">
      <c r="A9" s="62">
        <v>5</v>
      </c>
      <c r="B9" s="66">
        <v>74</v>
      </c>
      <c r="C9" s="67">
        <v>0</v>
      </c>
      <c r="D9" s="67">
        <v>2</v>
      </c>
      <c r="E9" s="66">
        <v>120</v>
      </c>
      <c r="F9" s="66">
        <v>269</v>
      </c>
      <c r="G9" s="67">
        <v>0</v>
      </c>
      <c r="H9" s="67">
        <v>2</v>
      </c>
      <c r="I9" s="66">
        <v>121</v>
      </c>
      <c r="J9" s="67">
        <v>1</v>
      </c>
      <c r="K9" s="66">
        <v>0.2</v>
      </c>
      <c r="L9" s="67">
        <v>1</v>
      </c>
      <c r="M9" s="66">
        <v>1</v>
      </c>
      <c r="N9" s="67">
        <v>3</v>
      </c>
      <c r="O9" s="68">
        <v>1</v>
      </c>
      <c r="P9" s="93" t="str">
        <f>IFERROR(CHOOSE(MATCH(A9,'Dataset'!$B$5:$B$11,0),"S₁","S₂","S₃","S₄","S₅","S₆","S₇"),"")</f>
        <v/>
      </c>
    </row>
    <row r="10">
      <c r="A10" s="62">
        <v>6</v>
      </c>
      <c r="B10" s="66">
        <v>65</v>
      </c>
      <c r="C10" s="67">
        <v>1</v>
      </c>
      <c r="D10" s="67">
        <v>4</v>
      </c>
      <c r="E10" s="66">
        <v>120</v>
      </c>
      <c r="F10" s="66">
        <v>177</v>
      </c>
      <c r="G10" s="67">
        <v>0</v>
      </c>
      <c r="H10" s="67">
        <v>0</v>
      </c>
      <c r="I10" s="66">
        <v>140</v>
      </c>
      <c r="J10" s="67">
        <v>0</v>
      </c>
      <c r="K10" s="66">
        <v>0.4</v>
      </c>
      <c r="L10" s="67">
        <v>1</v>
      </c>
      <c r="M10" s="66">
        <v>0</v>
      </c>
      <c r="N10" s="67">
        <v>7</v>
      </c>
      <c r="O10" s="68">
        <v>1</v>
      </c>
      <c r="P10" s="93" t="str">
        <f>IFERROR(CHOOSE(MATCH(A10,'Dataset'!$B$5:$B$11,0),"S₁","S₂","S₃","S₄","S₅","S₆","S₇"),"")</f>
        <v/>
      </c>
    </row>
    <row r="11">
      <c r="A11" s="62">
        <v>7</v>
      </c>
      <c r="B11" s="66">
        <v>56</v>
      </c>
      <c r="C11" s="67">
        <v>1</v>
      </c>
      <c r="D11" s="67">
        <v>3</v>
      </c>
      <c r="E11" s="66">
        <v>130</v>
      </c>
      <c r="F11" s="66">
        <v>256</v>
      </c>
      <c r="G11" s="67">
        <v>1</v>
      </c>
      <c r="H11" s="67">
        <v>2</v>
      </c>
      <c r="I11" s="66">
        <v>142</v>
      </c>
      <c r="J11" s="67">
        <v>1</v>
      </c>
      <c r="K11" s="66">
        <v>0.6</v>
      </c>
      <c r="L11" s="67">
        <v>2</v>
      </c>
      <c r="M11" s="66">
        <v>1</v>
      </c>
      <c r="N11" s="67">
        <v>6</v>
      </c>
      <c r="O11" s="68">
        <v>2</v>
      </c>
      <c r="P11" s="93" t="str">
        <f>IFERROR(CHOOSE(MATCH(A11,'Dataset'!$B$5:$B$11,0),"S₁","S₂","S₃","S₄","S₅","S₆","S₇"),"")</f>
        <v/>
      </c>
    </row>
    <row r="12">
      <c r="A12" s="62">
        <v>8</v>
      </c>
      <c r="B12" s="66">
        <v>59</v>
      </c>
      <c r="C12" s="67">
        <v>1</v>
      </c>
      <c r="D12" s="67">
        <v>4</v>
      </c>
      <c r="E12" s="66">
        <v>110</v>
      </c>
      <c r="F12" s="66">
        <v>239</v>
      </c>
      <c r="G12" s="67">
        <v>0</v>
      </c>
      <c r="H12" s="67">
        <v>2</v>
      </c>
      <c r="I12" s="66">
        <v>142</v>
      </c>
      <c r="J12" s="67">
        <v>1</v>
      </c>
      <c r="K12" s="66">
        <v>1.2</v>
      </c>
      <c r="L12" s="67">
        <v>2</v>
      </c>
      <c r="M12" s="66">
        <v>1</v>
      </c>
      <c r="N12" s="67">
        <v>7</v>
      </c>
      <c r="O12" s="68">
        <v>2</v>
      </c>
      <c r="P12" s="93" t="str">
        <f>IFERROR(CHOOSE(MATCH(A12,'Dataset'!$B$5:$B$11,0),"S₁","S₂","S₃","S₄","S₅","S₆","S₇"),"")</f>
        <v/>
      </c>
    </row>
    <row r="13">
      <c r="A13" s="62">
        <v>9</v>
      </c>
      <c r="B13" s="66">
        <v>60</v>
      </c>
      <c r="C13" s="67">
        <v>1</v>
      </c>
      <c r="D13" s="67">
        <v>4</v>
      </c>
      <c r="E13" s="66">
        <v>140</v>
      </c>
      <c r="F13" s="66">
        <v>293</v>
      </c>
      <c r="G13" s="67">
        <v>0</v>
      </c>
      <c r="H13" s="67">
        <v>2</v>
      </c>
      <c r="I13" s="66">
        <v>170</v>
      </c>
      <c r="J13" s="67">
        <v>0</v>
      </c>
      <c r="K13" s="66">
        <v>1.2</v>
      </c>
      <c r="L13" s="67">
        <v>2</v>
      </c>
      <c r="M13" s="66">
        <v>2</v>
      </c>
      <c r="N13" s="67">
        <v>7</v>
      </c>
      <c r="O13" s="68">
        <v>2</v>
      </c>
      <c r="P13" s="93" t="str">
        <f>IFERROR(CHOOSE(MATCH(A13,'Dataset'!$B$5:$B$11,0),"S₁","S₂","S₃","S₄","S₅","S₆","S₇"),"")</f>
        <v/>
      </c>
    </row>
    <row r="14">
      <c r="A14" s="62">
        <v>10</v>
      </c>
      <c r="B14" s="66">
        <v>63</v>
      </c>
      <c r="C14" s="67">
        <v>0</v>
      </c>
      <c r="D14" s="67">
        <v>4</v>
      </c>
      <c r="E14" s="66">
        <v>150</v>
      </c>
      <c r="F14" s="66">
        <v>407</v>
      </c>
      <c r="G14" s="67">
        <v>0</v>
      </c>
      <c r="H14" s="67">
        <v>2</v>
      </c>
      <c r="I14" s="66">
        <v>154</v>
      </c>
      <c r="J14" s="67">
        <v>0</v>
      </c>
      <c r="K14" s="66">
        <v>4</v>
      </c>
      <c r="L14" s="67">
        <v>2</v>
      </c>
      <c r="M14" s="66">
        <v>3</v>
      </c>
      <c r="N14" s="67">
        <v>7</v>
      </c>
      <c r="O14" s="68">
        <v>2</v>
      </c>
      <c r="P14" s="93" t="str">
        <f>IFERROR(CHOOSE(MATCH(A14,'Dataset'!$B$5:$B$11,0),"S₁","S₂","S₃","S₄","S₅","S₆","S₇"),"")</f>
        <v>S₂</v>
      </c>
    </row>
    <row r="15">
      <c r="A15" s="62">
        <v>11</v>
      </c>
      <c r="B15" s="66">
        <v>59</v>
      </c>
      <c r="C15" s="67">
        <v>1</v>
      </c>
      <c r="D15" s="67">
        <v>4</v>
      </c>
      <c r="E15" s="66">
        <v>135</v>
      </c>
      <c r="F15" s="66">
        <v>234</v>
      </c>
      <c r="G15" s="67">
        <v>0</v>
      </c>
      <c r="H15" s="67">
        <v>0</v>
      </c>
      <c r="I15" s="66">
        <v>161</v>
      </c>
      <c r="J15" s="67">
        <v>0</v>
      </c>
      <c r="K15" s="66">
        <v>0.5</v>
      </c>
      <c r="L15" s="67">
        <v>2</v>
      </c>
      <c r="M15" s="66">
        <v>0</v>
      </c>
      <c r="N15" s="67">
        <v>7</v>
      </c>
      <c r="O15" s="68">
        <v>1</v>
      </c>
      <c r="P15" s="93" t="str">
        <f>IFERROR(CHOOSE(MATCH(A15,'Dataset'!$B$5:$B$11,0),"S₁","S₂","S₃","S₄","S₅","S₆","S₇"),"")</f>
        <v/>
      </c>
    </row>
    <row r="16">
      <c r="A16" s="62">
        <v>12</v>
      </c>
      <c r="B16" s="66">
        <v>53</v>
      </c>
      <c r="C16" s="67">
        <v>1</v>
      </c>
      <c r="D16" s="67">
        <v>4</v>
      </c>
      <c r="E16" s="66">
        <v>142</v>
      </c>
      <c r="F16" s="66">
        <v>226</v>
      </c>
      <c r="G16" s="67">
        <v>0</v>
      </c>
      <c r="H16" s="67">
        <v>2</v>
      </c>
      <c r="I16" s="66">
        <v>111</v>
      </c>
      <c r="J16" s="67">
        <v>1</v>
      </c>
      <c r="K16" s="66">
        <v>0</v>
      </c>
      <c r="L16" s="67">
        <v>1</v>
      </c>
      <c r="M16" s="66">
        <v>0</v>
      </c>
      <c r="N16" s="67">
        <v>7</v>
      </c>
      <c r="O16" s="68">
        <v>1</v>
      </c>
      <c r="P16" s="93" t="str">
        <f>IFERROR(CHOOSE(MATCH(A16,'Dataset'!$B$5:$B$11,0),"S₁","S₂","S₃","S₄","S₅","S₆","S₇"),"")</f>
        <v/>
      </c>
    </row>
    <row r="17">
      <c r="A17" s="62">
        <v>13</v>
      </c>
      <c r="B17" s="66">
        <v>44</v>
      </c>
      <c r="C17" s="67">
        <v>1</v>
      </c>
      <c r="D17" s="67">
        <v>3</v>
      </c>
      <c r="E17" s="66">
        <v>140</v>
      </c>
      <c r="F17" s="66">
        <v>235</v>
      </c>
      <c r="G17" s="67">
        <v>0</v>
      </c>
      <c r="H17" s="67">
        <v>2</v>
      </c>
      <c r="I17" s="66">
        <v>180</v>
      </c>
      <c r="J17" s="67">
        <v>0</v>
      </c>
      <c r="K17" s="66">
        <v>0</v>
      </c>
      <c r="L17" s="67">
        <v>1</v>
      </c>
      <c r="M17" s="66">
        <v>0</v>
      </c>
      <c r="N17" s="67">
        <v>3</v>
      </c>
      <c r="O17" s="68">
        <v>1</v>
      </c>
      <c r="P17" s="93" t="str">
        <f>IFERROR(CHOOSE(MATCH(A17,'Dataset'!$B$5:$B$11,0),"S₁","S₂","S₃","S₄","S₅","S₆","S₇"),"")</f>
        <v/>
      </c>
    </row>
    <row r="18">
      <c r="A18" s="62">
        <v>14</v>
      </c>
      <c r="B18" s="66">
        <v>61</v>
      </c>
      <c r="C18" s="67">
        <v>1</v>
      </c>
      <c r="D18" s="67">
        <v>1</v>
      </c>
      <c r="E18" s="66">
        <v>134</v>
      </c>
      <c r="F18" s="66">
        <v>234</v>
      </c>
      <c r="G18" s="67">
        <v>0</v>
      </c>
      <c r="H18" s="67">
        <v>0</v>
      </c>
      <c r="I18" s="66">
        <v>145</v>
      </c>
      <c r="J18" s="67">
        <v>0</v>
      </c>
      <c r="K18" s="66">
        <v>2.6</v>
      </c>
      <c r="L18" s="67">
        <v>2</v>
      </c>
      <c r="M18" s="66">
        <v>2</v>
      </c>
      <c r="N18" s="67">
        <v>3</v>
      </c>
      <c r="O18" s="68">
        <v>2</v>
      </c>
      <c r="P18" s="93" t="str">
        <f>IFERROR(CHOOSE(MATCH(A18,'Dataset'!$B$5:$B$11,0),"S₁","S₂","S₃","S₄","S₅","S₆","S₇"),"")</f>
        <v/>
      </c>
    </row>
    <row r="19">
      <c r="A19" s="62">
        <v>15</v>
      </c>
      <c r="B19" s="66">
        <v>57</v>
      </c>
      <c r="C19" s="67">
        <v>0</v>
      </c>
      <c r="D19" s="67">
        <v>4</v>
      </c>
      <c r="E19" s="66">
        <v>128</v>
      </c>
      <c r="F19" s="66">
        <v>303</v>
      </c>
      <c r="G19" s="67">
        <v>0</v>
      </c>
      <c r="H19" s="67">
        <v>2</v>
      </c>
      <c r="I19" s="66">
        <v>159</v>
      </c>
      <c r="J19" s="67">
        <v>0</v>
      </c>
      <c r="K19" s="66">
        <v>0</v>
      </c>
      <c r="L19" s="67">
        <v>1</v>
      </c>
      <c r="M19" s="66">
        <v>1</v>
      </c>
      <c r="N19" s="67">
        <v>3</v>
      </c>
      <c r="O19" s="68">
        <v>1</v>
      </c>
      <c r="P19" s="93" t="str">
        <f>IFERROR(CHOOSE(MATCH(A19,'Dataset'!$B$5:$B$11,0),"S₁","S₂","S₃","S₄","S₅","S₆","S₇"),"")</f>
        <v/>
      </c>
    </row>
    <row r="20">
      <c r="A20" s="62">
        <v>16</v>
      </c>
      <c r="B20" s="66">
        <v>71</v>
      </c>
      <c r="C20" s="67">
        <v>0</v>
      </c>
      <c r="D20" s="67">
        <v>4</v>
      </c>
      <c r="E20" s="66">
        <v>112</v>
      </c>
      <c r="F20" s="66">
        <v>149</v>
      </c>
      <c r="G20" s="67">
        <v>0</v>
      </c>
      <c r="H20" s="67">
        <v>0</v>
      </c>
      <c r="I20" s="66">
        <v>125</v>
      </c>
      <c r="J20" s="67">
        <v>0</v>
      </c>
      <c r="K20" s="66">
        <v>1.6</v>
      </c>
      <c r="L20" s="67">
        <v>2</v>
      </c>
      <c r="M20" s="66">
        <v>0</v>
      </c>
      <c r="N20" s="67">
        <v>3</v>
      </c>
      <c r="O20" s="68">
        <v>1</v>
      </c>
      <c r="P20" s="93" t="str">
        <f>IFERROR(CHOOSE(MATCH(A20,'Dataset'!$B$5:$B$11,0),"S₁","S₂","S₃","S₄","S₅","S₆","S₇"),"")</f>
        <v/>
      </c>
    </row>
    <row r="21">
      <c r="A21" s="62">
        <v>17</v>
      </c>
      <c r="B21" s="66">
        <v>46</v>
      </c>
      <c r="C21" s="67">
        <v>1</v>
      </c>
      <c r="D21" s="67">
        <v>4</v>
      </c>
      <c r="E21" s="66">
        <v>140</v>
      </c>
      <c r="F21" s="66">
        <v>311</v>
      </c>
      <c r="G21" s="67">
        <v>0</v>
      </c>
      <c r="H21" s="67">
        <v>0</v>
      </c>
      <c r="I21" s="66">
        <v>120</v>
      </c>
      <c r="J21" s="67">
        <v>1</v>
      </c>
      <c r="K21" s="66">
        <v>1.8</v>
      </c>
      <c r="L21" s="67">
        <v>2</v>
      </c>
      <c r="M21" s="66">
        <v>2</v>
      </c>
      <c r="N21" s="67">
        <v>7</v>
      </c>
      <c r="O21" s="68">
        <v>2</v>
      </c>
      <c r="P21" s="93" t="str">
        <f>IFERROR(CHOOSE(MATCH(A21,'Dataset'!$B$5:$B$11,0),"S₁","S₂","S₃","S₄","S₅","S₆","S₇"),"")</f>
        <v/>
      </c>
    </row>
    <row r="22">
      <c r="A22" s="62">
        <v>18</v>
      </c>
      <c r="B22" s="66">
        <v>53</v>
      </c>
      <c r="C22" s="67">
        <v>1</v>
      </c>
      <c r="D22" s="67">
        <v>4</v>
      </c>
      <c r="E22" s="66">
        <v>140</v>
      </c>
      <c r="F22" s="66">
        <v>203</v>
      </c>
      <c r="G22" s="67">
        <v>1</v>
      </c>
      <c r="H22" s="67">
        <v>2</v>
      </c>
      <c r="I22" s="66">
        <v>155</v>
      </c>
      <c r="J22" s="67">
        <v>1</v>
      </c>
      <c r="K22" s="66">
        <v>3.1</v>
      </c>
      <c r="L22" s="67">
        <v>3</v>
      </c>
      <c r="M22" s="66">
        <v>0</v>
      </c>
      <c r="N22" s="67">
        <v>7</v>
      </c>
      <c r="O22" s="68">
        <v>2</v>
      </c>
      <c r="P22" s="93" t="str">
        <f>IFERROR(CHOOSE(MATCH(A22,'Dataset'!$B$5:$B$11,0),"S₁","S₂","S₃","S₄","S₅","S₆","S₇"),"")</f>
        <v/>
      </c>
    </row>
    <row r="23">
      <c r="A23" s="62">
        <v>19</v>
      </c>
      <c r="B23" s="66">
        <v>64</v>
      </c>
      <c r="C23" s="67">
        <v>1</v>
      </c>
      <c r="D23" s="67">
        <v>1</v>
      </c>
      <c r="E23" s="66">
        <v>110</v>
      </c>
      <c r="F23" s="66">
        <v>211</v>
      </c>
      <c r="G23" s="67">
        <v>0</v>
      </c>
      <c r="H23" s="67">
        <v>2</v>
      </c>
      <c r="I23" s="66">
        <v>144</v>
      </c>
      <c r="J23" s="67">
        <v>1</v>
      </c>
      <c r="K23" s="66">
        <v>1.8</v>
      </c>
      <c r="L23" s="67">
        <v>2</v>
      </c>
      <c r="M23" s="66">
        <v>0</v>
      </c>
      <c r="N23" s="67">
        <v>3</v>
      </c>
      <c r="O23" s="68">
        <v>1</v>
      </c>
      <c r="P23" s="93" t="str">
        <f>IFERROR(CHOOSE(MATCH(A23,'Dataset'!$B$5:$B$11,0),"S₁","S₂","S₃","S₄","S₅","S₆","S₇"),"")</f>
        <v/>
      </c>
    </row>
    <row r="24">
      <c r="A24" s="62">
        <v>20</v>
      </c>
      <c r="B24" s="66">
        <v>40</v>
      </c>
      <c r="C24" s="67">
        <v>1</v>
      </c>
      <c r="D24" s="67">
        <v>1</v>
      </c>
      <c r="E24" s="66">
        <v>140</v>
      </c>
      <c r="F24" s="66">
        <v>199</v>
      </c>
      <c r="G24" s="67">
        <v>0</v>
      </c>
      <c r="H24" s="67">
        <v>0</v>
      </c>
      <c r="I24" s="66">
        <v>178</v>
      </c>
      <c r="J24" s="67">
        <v>1</v>
      </c>
      <c r="K24" s="66">
        <v>1.4</v>
      </c>
      <c r="L24" s="67">
        <v>1</v>
      </c>
      <c r="M24" s="66">
        <v>0</v>
      </c>
      <c r="N24" s="67">
        <v>7</v>
      </c>
      <c r="O24" s="68">
        <v>1</v>
      </c>
      <c r="P24" s="93" t="str">
        <f>IFERROR(CHOOSE(MATCH(A24,'Dataset'!$B$5:$B$11,0),"S₁","S₂","S₃","S₄","S₅","S₆","S₇"),"")</f>
        <v/>
      </c>
    </row>
    <row r="25">
      <c r="A25" s="62">
        <v>21</v>
      </c>
      <c r="B25" s="66">
        <v>67</v>
      </c>
      <c r="C25" s="67">
        <v>1</v>
      </c>
      <c r="D25" s="67">
        <v>4</v>
      </c>
      <c r="E25" s="66">
        <v>120</v>
      </c>
      <c r="F25" s="66">
        <v>229</v>
      </c>
      <c r="G25" s="67">
        <v>0</v>
      </c>
      <c r="H25" s="67">
        <v>2</v>
      </c>
      <c r="I25" s="66">
        <v>129</v>
      </c>
      <c r="J25" s="67">
        <v>1</v>
      </c>
      <c r="K25" s="66">
        <v>2.6</v>
      </c>
      <c r="L25" s="67">
        <v>2</v>
      </c>
      <c r="M25" s="66">
        <v>2</v>
      </c>
      <c r="N25" s="67">
        <v>7</v>
      </c>
      <c r="O25" s="68">
        <v>2</v>
      </c>
      <c r="P25" s="93" t="str">
        <f>IFERROR(CHOOSE(MATCH(A25,'Dataset'!$B$5:$B$11,0),"S₁","S₂","S₃","S₄","S₅","S₆","S₇"),"")</f>
        <v/>
      </c>
    </row>
    <row r="26">
      <c r="A26" s="62">
        <v>22</v>
      </c>
      <c r="B26" s="66">
        <v>48</v>
      </c>
      <c r="C26" s="67">
        <v>1</v>
      </c>
      <c r="D26" s="67">
        <v>2</v>
      </c>
      <c r="E26" s="66">
        <v>130</v>
      </c>
      <c r="F26" s="66">
        <v>245</v>
      </c>
      <c r="G26" s="67">
        <v>0</v>
      </c>
      <c r="H26" s="67">
        <v>2</v>
      </c>
      <c r="I26" s="66">
        <v>180</v>
      </c>
      <c r="J26" s="67">
        <v>0</v>
      </c>
      <c r="K26" s="66">
        <v>0.2</v>
      </c>
      <c r="L26" s="67">
        <v>2</v>
      </c>
      <c r="M26" s="66">
        <v>0</v>
      </c>
      <c r="N26" s="67">
        <v>3</v>
      </c>
      <c r="O26" s="68">
        <v>1</v>
      </c>
      <c r="P26" s="93" t="str">
        <f>IFERROR(CHOOSE(MATCH(A26,'Dataset'!$B$5:$B$11,0),"S₁","S₂","S₃","S₄","S₅","S₆","S₇"),"")</f>
        <v/>
      </c>
    </row>
    <row r="27">
      <c r="A27" s="62">
        <v>23</v>
      </c>
      <c r="B27" s="66">
        <v>43</v>
      </c>
      <c r="C27" s="67">
        <v>1</v>
      </c>
      <c r="D27" s="67">
        <v>4</v>
      </c>
      <c r="E27" s="66">
        <v>115</v>
      </c>
      <c r="F27" s="66">
        <v>303</v>
      </c>
      <c r="G27" s="67">
        <v>0</v>
      </c>
      <c r="H27" s="67">
        <v>0</v>
      </c>
      <c r="I27" s="66">
        <v>181</v>
      </c>
      <c r="J27" s="67">
        <v>0</v>
      </c>
      <c r="K27" s="66">
        <v>1.2</v>
      </c>
      <c r="L27" s="67">
        <v>2</v>
      </c>
      <c r="M27" s="66">
        <v>0</v>
      </c>
      <c r="N27" s="67">
        <v>3</v>
      </c>
      <c r="O27" s="68">
        <v>1</v>
      </c>
      <c r="P27" s="93" t="str">
        <f>IFERROR(CHOOSE(MATCH(A27,'Dataset'!$B$5:$B$11,0),"S₁","S₂","S₃","S₄","S₅","S₆","S₇"),"")</f>
        <v/>
      </c>
    </row>
    <row r="28">
      <c r="A28" s="62">
        <v>24</v>
      </c>
      <c r="B28" s="66">
        <v>47</v>
      </c>
      <c r="C28" s="67">
        <v>1</v>
      </c>
      <c r="D28" s="67">
        <v>4</v>
      </c>
      <c r="E28" s="66">
        <v>112</v>
      </c>
      <c r="F28" s="66">
        <v>204</v>
      </c>
      <c r="G28" s="67">
        <v>0</v>
      </c>
      <c r="H28" s="67">
        <v>0</v>
      </c>
      <c r="I28" s="66">
        <v>143</v>
      </c>
      <c r="J28" s="67">
        <v>0</v>
      </c>
      <c r="K28" s="66">
        <v>0.1</v>
      </c>
      <c r="L28" s="67">
        <v>1</v>
      </c>
      <c r="M28" s="66">
        <v>0</v>
      </c>
      <c r="N28" s="67">
        <v>3</v>
      </c>
      <c r="O28" s="68">
        <v>1</v>
      </c>
      <c r="P28" s="93" t="str">
        <f>IFERROR(CHOOSE(MATCH(A28,'Dataset'!$B$5:$B$11,0),"S₁","S₂","S₃","S₄","S₅","S₆","S₇"),"")</f>
        <v/>
      </c>
    </row>
    <row r="29">
      <c r="A29" s="62">
        <v>25</v>
      </c>
      <c r="B29" s="66">
        <v>54</v>
      </c>
      <c r="C29" s="67">
        <v>0</v>
      </c>
      <c r="D29" s="67">
        <v>2</v>
      </c>
      <c r="E29" s="66">
        <v>132</v>
      </c>
      <c r="F29" s="66">
        <v>288</v>
      </c>
      <c r="G29" s="67">
        <v>1</v>
      </c>
      <c r="H29" s="67">
        <v>2</v>
      </c>
      <c r="I29" s="66">
        <v>159</v>
      </c>
      <c r="J29" s="67">
        <v>1</v>
      </c>
      <c r="K29" s="66">
        <v>0</v>
      </c>
      <c r="L29" s="67">
        <v>1</v>
      </c>
      <c r="M29" s="66">
        <v>1</v>
      </c>
      <c r="N29" s="67">
        <v>3</v>
      </c>
      <c r="O29" s="68">
        <v>1</v>
      </c>
      <c r="P29" s="93" t="str">
        <f>IFERROR(CHOOSE(MATCH(A29,'Dataset'!$B$5:$B$11,0),"S₁","S₂","S₃","S₄","S₅","S₆","S₇"),"")</f>
        <v/>
      </c>
    </row>
    <row r="30">
      <c r="A30" s="62">
        <v>26</v>
      </c>
      <c r="B30" s="66">
        <v>48</v>
      </c>
      <c r="C30" s="67">
        <v>0</v>
      </c>
      <c r="D30" s="67">
        <v>3</v>
      </c>
      <c r="E30" s="66">
        <v>130</v>
      </c>
      <c r="F30" s="66">
        <v>275</v>
      </c>
      <c r="G30" s="67">
        <v>0</v>
      </c>
      <c r="H30" s="67">
        <v>0</v>
      </c>
      <c r="I30" s="66">
        <v>139</v>
      </c>
      <c r="J30" s="67">
        <v>0</v>
      </c>
      <c r="K30" s="66">
        <v>0.2</v>
      </c>
      <c r="L30" s="67">
        <v>1</v>
      </c>
      <c r="M30" s="66">
        <v>0</v>
      </c>
      <c r="N30" s="67">
        <v>3</v>
      </c>
      <c r="O30" s="68">
        <v>1</v>
      </c>
      <c r="P30" s="93" t="str">
        <f>IFERROR(CHOOSE(MATCH(A30,'Dataset'!$B$5:$B$11,0),"S₁","S₂","S₃","S₄","S₅","S₆","S₇"),"")</f>
        <v/>
      </c>
    </row>
    <row r="31">
      <c r="A31" s="62">
        <v>27</v>
      </c>
      <c r="B31" s="66">
        <v>46</v>
      </c>
      <c r="C31" s="67">
        <v>0</v>
      </c>
      <c r="D31" s="67">
        <v>4</v>
      </c>
      <c r="E31" s="66">
        <v>138</v>
      </c>
      <c r="F31" s="66">
        <v>243</v>
      </c>
      <c r="G31" s="67">
        <v>0</v>
      </c>
      <c r="H31" s="67">
        <v>2</v>
      </c>
      <c r="I31" s="66">
        <v>152</v>
      </c>
      <c r="J31" s="67">
        <v>1</v>
      </c>
      <c r="K31" s="66">
        <v>0</v>
      </c>
      <c r="L31" s="67">
        <v>2</v>
      </c>
      <c r="M31" s="66">
        <v>0</v>
      </c>
      <c r="N31" s="67">
        <v>3</v>
      </c>
      <c r="O31" s="68">
        <v>1</v>
      </c>
      <c r="P31" s="93" t="str">
        <f>IFERROR(CHOOSE(MATCH(A31,'Dataset'!$B$5:$B$11,0),"S₁","S₂","S₃","S₄","S₅","S₆","S₇"),"")</f>
        <v/>
      </c>
    </row>
    <row r="32">
      <c r="A32" s="62">
        <v>28</v>
      </c>
      <c r="B32" s="66">
        <v>51</v>
      </c>
      <c r="C32" s="67">
        <v>0</v>
      </c>
      <c r="D32" s="67">
        <v>3</v>
      </c>
      <c r="E32" s="66">
        <v>120</v>
      </c>
      <c r="F32" s="66">
        <v>295</v>
      </c>
      <c r="G32" s="67">
        <v>0</v>
      </c>
      <c r="H32" s="67">
        <v>2</v>
      </c>
      <c r="I32" s="66">
        <v>157</v>
      </c>
      <c r="J32" s="67">
        <v>0</v>
      </c>
      <c r="K32" s="66">
        <v>0.6</v>
      </c>
      <c r="L32" s="67">
        <v>1</v>
      </c>
      <c r="M32" s="66">
        <v>0</v>
      </c>
      <c r="N32" s="67">
        <v>3</v>
      </c>
      <c r="O32" s="68">
        <v>1</v>
      </c>
      <c r="P32" s="93" t="str">
        <f>IFERROR(CHOOSE(MATCH(A32,'Dataset'!$B$5:$B$11,0),"S₁","S₂","S₃","S₄","S₅","S₆","S₇"),"")</f>
        <v/>
      </c>
    </row>
    <row r="33">
      <c r="A33" s="62">
        <v>29</v>
      </c>
      <c r="B33" s="66">
        <v>58</v>
      </c>
      <c r="C33" s="67">
        <v>1</v>
      </c>
      <c r="D33" s="67">
        <v>3</v>
      </c>
      <c r="E33" s="66">
        <v>112</v>
      </c>
      <c r="F33" s="66">
        <v>230</v>
      </c>
      <c r="G33" s="67">
        <v>0</v>
      </c>
      <c r="H33" s="67">
        <v>2</v>
      </c>
      <c r="I33" s="66">
        <v>165</v>
      </c>
      <c r="J33" s="67">
        <v>0</v>
      </c>
      <c r="K33" s="66">
        <v>2.5</v>
      </c>
      <c r="L33" s="67">
        <v>2</v>
      </c>
      <c r="M33" s="66">
        <v>1</v>
      </c>
      <c r="N33" s="67">
        <v>7</v>
      </c>
      <c r="O33" s="68">
        <v>2</v>
      </c>
      <c r="P33" s="93" t="str">
        <f>IFERROR(CHOOSE(MATCH(A33,'Dataset'!$B$5:$B$11,0),"S₁","S₂","S₃","S₄","S₅","S₆","S₇"),"")</f>
        <v/>
      </c>
    </row>
    <row r="34">
      <c r="A34" s="62">
        <v>30</v>
      </c>
      <c r="B34" s="66">
        <v>71</v>
      </c>
      <c r="C34" s="67">
        <v>0</v>
      </c>
      <c r="D34" s="67">
        <v>3</v>
      </c>
      <c r="E34" s="66">
        <v>110</v>
      </c>
      <c r="F34" s="66">
        <v>265</v>
      </c>
      <c r="G34" s="67">
        <v>1</v>
      </c>
      <c r="H34" s="67">
        <v>2</v>
      </c>
      <c r="I34" s="66">
        <v>130</v>
      </c>
      <c r="J34" s="67">
        <v>0</v>
      </c>
      <c r="K34" s="66">
        <v>0</v>
      </c>
      <c r="L34" s="67">
        <v>1</v>
      </c>
      <c r="M34" s="66">
        <v>1</v>
      </c>
      <c r="N34" s="67">
        <v>3</v>
      </c>
      <c r="O34" s="68">
        <v>1</v>
      </c>
      <c r="P34" s="93" t="str">
        <f>IFERROR(CHOOSE(MATCH(A34,'Dataset'!$B$5:$B$11,0),"S₁","S₂","S₃","S₄","S₅","S₆","S₇"),"")</f>
        <v/>
      </c>
    </row>
    <row r="35">
      <c r="A35" s="62">
        <v>31</v>
      </c>
      <c r="B35" s="66">
        <v>57</v>
      </c>
      <c r="C35" s="67">
        <v>1</v>
      </c>
      <c r="D35" s="67">
        <v>3</v>
      </c>
      <c r="E35" s="66">
        <v>128</v>
      </c>
      <c r="F35" s="66">
        <v>229</v>
      </c>
      <c r="G35" s="67">
        <v>0</v>
      </c>
      <c r="H35" s="67">
        <v>2</v>
      </c>
      <c r="I35" s="66">
        <v>150</v>
      </c>
      <c r="J35" s="67">
        <v>0</v>
      </c>
      <c r="K35" s="66">
        <v>0.4</v>
      </c>
      <c r="L35" s="67">
        <v>2</v>
      </c>
      <c r="M35" s="66">
        <v>1</v>
      </c>
      <c r="N35" s="67">
        <v>7</v>
      </c>
      <c r="O35" s="68">
        <v>2</v>
      </c>
      <c r="P35" s="93" t="str">
        <f>IFERROR(CHOOSE(MATCH(A35,'Dataset'!$B$5:$B$11,0),"S₁","S₂","S₃","S₄","S₅","S₆","S₇"),"")</f>
        <v/>
      </c>
    </row>
    <row r="36">
      <c r="A36" s="62">
        <v>32</v>
      </c>
      <c r="B36" s="66">
        <v>66</v>
      </c>
      <c r="C36" s="67">
        <v>1</v>
      </c>
      <c r="D36" s="67">
        <v>4</v>
      </c>
      <c r="E36" s="66">
        <v>160</v>
      </c>
      <c r="F36" s="66">
        <v>228</v>
      </c>
      <c r="G36" s="67">
        <v>0</v>
      </c>
      <c r="H36" s="67">
        <v>2</v>
      </c>
      <c r="I36" s="66">
        <v>138</v>
      </c>
      <c r="J36" s="67">
        <v>0</v>
      </c>
      <c r="K36" s="66">
        <v>2.3</v>
      </c>
      <c r="L36" s="67">
        <v>1</v>
      </c>
      <c r="M36" s="66">
        <v>0</v>
      </c>
      <c r="N36" s="67">
        <v>6</v>
      </c>
      <c r="O36" s="68">
        <v>1</v>
      </c>
      <c r="P36" s="93" t="str">
        <f>IFERROR(CHOOSE(MATCH(A36,'Dataset'!$B$5:$B$11,0),"S₁","S₂","S₃","S₄","S₅","S₆","S₇"),"")</f>
        <v/>
      </c>
    </row>
    <row r="37">
      <c r="A37" s="62">
        <v>33</v>
      </c>
      <c r="B37" s="66">
        <v>37</v>
      </c>
      <c r="C37" s="67">
        <v>0</v>
      </c>
      <c r="D37" s="67">
        <v>3</v>
      </c>
      <c r="E37" s="66">
        <v>120</v>
      </c>
      <c r="F37" s="66">
        <v>215</v>
      </c>
      <c r="G37" s="67">
        <v>0</v>
      </c>
      <c r="H37" s="67">
        <v>0</v>
      </c>
      <c r="I37" s="66">
        <v>170</v>
      </c>
      <c r="J37" s="67">
        <v>0</v>
      </c>
      <c r="K37" s="66">
        <v>0</v>
      </c>
      <c r="L37" s="67">
        <v>1</v>
      </c>
      <c r="M37" s="66">
        <v>0</v>
      </c>
      <c r="N37" s="67">
        <v>3</v>
      </c>
      <c r="O37" s="68">
        <v>1</v>
      </c>
      <c r="P37" s="93" t="str">
        <f>IFERROR(CHOOSE(MATCH(A37,'Dataset'!$B$5:$B$11,0),"S₁","S₂","S₃","S₄","S₅","S₆","S₇"),"")</f>
        <v/>
      </c>
    </row>
    <row r="38">
      <c r="A38" s="62">
        <v>34</v>
      </c>
      <c r="B38" s="66">
        <v>59</v>
      </c>
      <c r="C38" s="67">
        <v>1</v>
      </c>
      <c r="D38" s="67">
        <v>4</v>
      </c>
      <c r="E38" s="66">
        <v>170</v>
      </c>
      <c r="F38" s="66">
        <v>326</v>
      </c>
      <c r="G38" s="67">
        <v>0</v>
      </c>
      <c r="H38" s="67">
        <v>2</v>
      </c>
      <c r="I38" s="66">
        <v>140</v>
      </c>
      <c r="J38" s="67">
        <v>1</v>
      </c>
      <c r="K38" s="66">
        <v>3.4</v>
      </c>
      <c r="L38" s="67">
        <v>3</v>
      </c>
      <c r="M38" s="66">
        <v>0</v>
      </c>
      <c r="N38" s="67">
        <v>7</v>
      </c>
      <c r="O38" s="68">
        <v>2</v>
      </c>
      <c r="P38" s="93" t="str">
        <f>IFERROR(CHOOSE(MATCH(A38,'Dataset'!$B$5:$B$11,0),"S₁","S₂","S₃","S₄","S₅","S₆","S₇"),"")</f>
        <v/>
      </c>
    </row>
    <row r="39">
      <c r="A39" s="62">
        <v>35</v>
      </c>
      <c r="B39" s="66">
        <v>50</v>
      </c>
      <c r="C39" s="67">
        <v>1</v>
      </c>
      <c r="D39" s="67">
        <v>4</v>
      </c>
      <c r="E39" s="66">
        <v>144</v>
      </c>
      <c r="F39" s="66">
        <v>200</v>
      </c>
      <c r="G39" s="67">
        <v>0</v>
      </c>
      <c r="H39" s="67">
        <v>2</v>
      </c>
      <c r="I39" s="66">
        <v>126</v>
      </c>
      <c r="J39" s="67">
        <v>1</v>
      </c>
      <c r="K39" s="66">
        <v>0.9</v>
      </c>
      <c r="L39" s="67">
        <v>2</v>
      </c>
      <c r="M39" s="66">
        <v>0</v>
      </c>
      <c r="N39" s="67">
        <v>7</v>
      </c>
      <c r="O39" s="68">
        <v>2</v>
      </c>
      <c r="P39" s="93" t="str">
        <f>IFERROR(CHOOSE(MATCH(A39,'Dataset'!$B$5:$B$11,0),"S₁","S₂","S₃","S₄","S₅","S₆","S₇"),"")</f>
        <v/>
      </c>
    </row>
    <row r="40">
      <c r="A40" s="62">
        <v>36</v>
      </c>
      <c r="B40" s="66">
        <v>48</v>
      </c>
      <c r="C40" s="67">
        <v>1</v>
      </c>
      <c r="D40" s="67">
        <v>4</v>
      </c>
      <c r="E40" s="66">
        <v>130</v>
      </c>
      <c r="F40" s="66">
        <v>256</v>
      </c>
      <c r="G40" s="67">
        <v>1</v>
      </c>
      <c r="H40" s="67">
        <v>2</v>
      </c>
      <c r="I40" s="66">
        <v>150</v>
      </c>
      <c r="J40" s="67">
        <v>1</v>
      </c>
      <c r="K40" s="66">
        <v>0</v>
      </c>
      <c r="L40" s="67">
        <v>1</v>
      </c>
      <c r="M40" s="66">
        <v>2</v>
      </c>
      <c r="N40" s="67">
        <v>7</v>
      </c>
      <c r="O40" s="68">
        <v>2</v>
      </c>
      <c r="P40" s="93" t="str">
        <f>IFERROR(CHOOSE(MATCH(A40,'Dataset'!$B$5:$B$11,0),"S₁","S₂","S₃","S₄","S₅","S₆","S₇"),"")</f>
        <v/>
      </c>
    </row>
    <row r="41">
      <c r="A41" s="62">
        <v>37</v>
      </c>
      <c r="B41" s="66">
        <v>61</v>
      </c>
      <c r="C41" s="67">
        <v>1</v>
      </c>
      <c r="D41" s="67">
        <v>4</v>
      </c>
      <c r="E41" s="66">
        <v>140</v>
      </c>
      <c r="F41" s="66">
        <v>207</v>
      </c>
      <c r="G41" s="67">
        <v>0</v>
      </c>
      <c r="H41" s="67">
        <v>2</v>
      </c>
      <c r="I41" s="66">
        <v>138</v>
      </c>
      <c r="J41" s="67">
        <v>1</v>
      </c>
      <c r="K41" s="66">
        <v>1.9</v>
      </c>
      <c r="L41" s="67">
        <v>1</v>
      </c>
      <c r="M41" s="66">
        <v>1</v>
      </c>
      <c r="N41" s="67">
        <v>7</v>
      </c>
      <c r="O41" s="68">
        <v>2</v>
      </c>
      <c r="P41" s="93" t="str">
        <f>IFERROR(CHOOSE(MATCH(A41,'Dataset'!$B$5:$B$11,0),"S₁","S₂","S₃","S₄","S₅","S₆","S₇"),"")</f>
        <v/>
      </c>
    </row>
    <row r="42">
      <c r="A42" s="62">
        <v>38</v>
      </c>
      <c r="B42" s="66">
        <v>59</v>
      </c>
      <c r="C42" s="67">
        <v>1</v>
      </c>
      <c r="D42" s="67">
        <v>1</v>
      </c>
      <c r="E42" s="66">
        <v>160</v>
      </c>
      <c r="F42" s="66">
        <v>273</v>
      </c>
      <c r="G42" s="67">
        <v>0</v>
      </c>
      <c r="H42" s="67">
        <v>2</v>
      </c>
      <c r="I42" s="66">
        <v>125</v>
      </c>
      <c r="J42" s="67">
        <v>0</v>
      </c>
      <c r="K42" s="66">
        <v>0</v>
      </c>
      <c r="L42" s="67">
        <v>1</v>
      </c>
      <c r="M42" s="66">
        <v>0</v>
      </c>
      <c r="N42" s="67">
        <v>3</v>
      </c>
      <c r="O42" s="68">
        <v>2</v>
      </c>
      <c r="P42" s="93" t="str">
        <f>IFERROR(CHOOSE(MATCH(A42,'Dataset'!$B$5:$B$11,0),"S₁","S₂","S₃","S₄","S₅","S₆","S₇"),"")</f>
        <v/>
      </c>
    </row>
    <row r="43">
      <c r="A43" s="62">
        <v>39</v>
      </c>
      <c r="B43" s="66">
        <v>42</v>
      </c>
      <c r="C43" s="67">
        <v>1</v>
      </c>
      <c r="D43" s="67">
        <v>3</v>
      </c>
      <c r="E43" s="66">
        <v>130</v>
      </c>
      <c r="F43" s="66">
        <v>180</v>
      </c>
      <c r="G43" s="67">
        <v>0</v>
      </c>
      <c r="H43" s="67">
        <v>0</v>
      </c>
      <c r="I43" s="66">
        <v>150</v>
      </c>
      <c r="J43" s="67">
        <v>0</v>
      </c>
      <c r="K43" s="66">
        <v>0</v>
      </c>
      <c r="L43" s="67">
        <v>1</v>
      </c>
      <c r="M43" s="66">
        <v>0</v>
      </c>
      <c r="N43" s="67">
        <v>3</v>
      </c>
      <c r="O43" s="68">
        <v>1</v>
      </c>
      <c r="P43" s="93" t="str">
        <f>IFERROR(CHOOSE(MATCH(A43,'Dataset'!$B$5:$B$11,0),"S₁","S₂","S₃","S₄","S₅","S₆","S₇"),"")</f>
        <v/>
      </c>
    </row>
    <row r="44">
      <c r="A44" s="62">
        <v>40</v>
      </c>
      <c r="B44" s="66">
        <v>48</v>
      </c>
      <c r="C44" s="67">
        <v>1</v>
      </c>
      <c r="D44" s="67">
        <v>4</v>
      </c>
      <c r="E44" s="66">
        <v>122</v>
      </c>
      <c r="F44" s="66">
        <v>222</v>
      </c>
      <c r="G44" s="67">
        <v>0</v>
      </c>
      <c r="H44" s="67">
        <v>2</v>
      </c>
      <c r="I44" s="66">
        <v>186</v>
      </c>
      <c r="J44" s="67">
        <v>0</v>
      </c>
      <c r="K44" s="66">
        <v>0</v>
      </c>
      <c r="L44" s="67">
        <v>1</v>
      </c>
      <c r="M44" s="66">
        <v>0</v>
      </c>
      <c r="N44" s="67">
        <v>3</v>
      </c>
      <c r="O44" s="68">
        <v>1</v>
      </c>
      <c r="P44" s="93" t="str">
        <f>IFERROR(CHOOSE(MATCH(A44,'Dataset'!$B$5:$B$11,0),"S₁","S₂","S₃","S₄","S₅","S₆","S₇"),"")</f>
        <v/>
      </c>
    </row>
    <row r="45">
      <c r="A45" s="62">
        <v>41</v>
      </c>
      <c r="B45" s="66">
        <v>40</v>
      </c>
      <c r="C45" s="67">
        <v>1</v>
      </c>
      <c r="D45" s="67">
        <v>4</v>
      </c>
      <c r="E45" s="66">
        <v>152</v>
      </c>
      <c r="F45" s="66">
        <v>223</v>
      </c>
      <c r="G45" s="67">
        <v>0</v>
      </c>
      <c r="H45" s="67">
        <v>0</v>
      </c>
      <c r="I45" s="66">
        <v>181</v>
      </c>
      <c r="J45" s="67">
        <v>0</v>
      </c>
      <c r="K45" s="66">
        <v>0</v>
      </c>
      <c r="L45" s="67">
        <v>1</v>
      </c>
      <c r="M45" s="66">
        <v>0</v>
      </c>
      <c r="N45" s="67">
        <v>7</v>
      </c>
      <c r="O45" s="68">
        <v>2</v>
      </c>
      <c r="P45" s="93" t="str">
        <f>IFERROR(CHOOSE(MATCH(A45,'Dataset'!$B$5:$B$11,0),"S₁","S₂","S₃","S₄","S₅","S₆","S₇"),"")</f>
        <v/>
      </c>
    </row>
    <row r="46">
      <c r="A46" s="62">
        <v>42</v>
      </c>
      <c r="B46" s="66">
        <v>62</v>
      </c>
      <c r="C46" s="67">
        <v>0</v>
      </c>
      <c r="D46" s="67">
        <v>4</v>
      </c>
      <c r="E46" s="66">
        <v>124</v>
      </c>
      <c r="F46" s="66">
        <v>209</v>
      </c>
      <c r="G46" s="67">
        <v>0</v>
      </c>
      <c r="H46" s="67">
        <v>0</v>
      </c>
      <c r="I46" s="66">
        <v>163</v>
      </c>
      <c r="J46" s="67">
        <v>0</v>
      </c>
      <c r="K46" s="66">
        <v>0</v>
      </c>
      <c r="L46" s="67">
        <v>1</v>
      </c>
      <c r="M46" s="66">
        <v>0</v>
      </c>
      <c r="N46" s="67">
        <v>3</v>
      </c>
      <c r="O46" s="68">
        <v>1</v>
      </c>
      <c r="P46" s="93" t="str">
        <f>IFERROR(CHOOSE(MATCH(A46,'Dataset'!$B$5:$B$11,0),"S₁","S₂","S₃","S₄","S₅","S₆","S₇"),"")</f>
        <v/>
      </c>
    </row>
    <row r="47">
      <c r="A47" s="62">
        <v>43</v>
      </c>
      <c r="B47" s="66">
        <v>44</v>
      </c>
      <c r="C47" s="67">
        <v>1</v>
      </c>
      <c r="D47" s="67">
        <v>3</v>
      </c>
      <c r="E47" s="66">
        <v>130</v>
      </c>
      <c r="F47" s="66">
        <v>233</v>
      </c>
      <c r="G47" s="67">
        <v>0</v>
      </c>
      <c r="H47" s="67">
        <v>0</v>
      </c>
      <c r="I47" s="66">
        <v>179</v>
      </c>
      <c r="J47" s="67">
        <v>1</v>
      </c>
      <c r="K47" s="66">
        <v>0.4</v>
      </c>
      <c r="L47" s="67">
        <v>1</v>
      </c>
      <c r="M47" s="66">
        <v>0</v>
      </c>
      <c r="N47" s="67">
        <v>3</v>
      </c>
      <c r="O47" s="68">
        <v>1</v>
      </c>
      <c r="P47" s="93" t="str">
        <f>IFERROR(CHOOSE(MATCH(A47,'Dataset'!$B$5:$B$11,0),"S₁","S₂","S₃","S₄","S₅","S₆","S₇"),"")</f>
        <v/>
      </c>
    </row>
    <row r="48">
      <c r="A48" s="62">
        <v>44</v>
      </c>
      <c r="B48" s="66">
        <v>46</v>
      </c>
      <c r="C48" s="67">
        <v>1</v>
      </c>
      <c r="D48" s="67">
        <v>2</v>
      </c>
      <c r="E48" s="66">
        <v>101</v>
      </c>
      <c r="F48" s="66">
        <v>197</v>
      </c>
      <c r="G48" s="67">
        <v>1</v>
      </c>
      <c r="H48" s="67">
        <v>0</v>
      </c>
      <c r="I48" s="66">
        <v>156</v>
      </c>
      <c r="J48" s="67">
        <v>0</v>
      </c>
      <c r="K48" s="66">
        <v>0</v>
      </c>
      <c r="L48" s="67">
        <v>1</v>
      </c>
      <c r="M48" s="66">
        <v>0</v>
      </c>
      <c r="N48" s="67">
        <v>7</v>
      </c>
      <c r="O48" s="68">
        <v>1</v>
      </c>
      <c r="P48" s="93" t="str">
        <f>IFERROR(CHOOSE(MATCH(A48,'Dataset'!$B$5:$B$11,0),"S₁","S₂","S₃","S₄","S₅","S₆","S₇"),"")</f>
        <v/>
      </c>
    </row>
    <row r="49">
      <c r="A49" s="62">
        <v>45</v>
      </c>
      <c r="B49" s="66">
        <v>59</v>
      </c>
      <c r="C49" s="67">
        <v>1</v>
      </c>
      <c r="D49" s="67">
        <v>3</v>
      </c>
      <c r="E49" s="66">
        <v>126</v>
      </c>
      <c r="F49" s="66">
        <v>218</v>
      </c>
      <c r="G49" s="67">
        <v>1</v>
      </c>
      <c r="H49" s="67">
        <v>0</v>
      </c>
      <c r="I49" s="66">
        <v>134</v>
      </c>
      <c r="J49" s="67">
        <v>0</v>
      </c>
      <c r="K49" s="66">
        <v>2.2</v>
      </c>
      <c r="L49" s="67">
        <v>2</v>
      </c>
      <c r="M49" s="66">
        <v>1</v>
      </c>
      <c r="N49" s="67">
        <v>6</v>
      </c>
      <c r="O49" s="68">
        <v>2</v>
      </c>
      <c r="P49" s="93" t="str">
        <f>IFERROR(CHOOSE(MATCH(A49,'Dataset'!$B$5:$B$11,0),"S₁","S₂","S₃","S₄","S₅","S₆","S₇"),"")</f>
        <v/>
      </c>
    </row>
    <row r="50">
      <c r="A50" s="62">
        <v>46</v>
      </c>
      <c r="B50" s="66">
        <v>58</v>
      </c>
      <c r="C50" s="67">
        <v>1</v>
      </c>
      <c r="D50" s="67">
        <v>3</v>
      </c>
      <c r="E50" s="66">
        <v>140</v>
      </c>
      <c r="F50" s="66">
        <v>211</v>
      </c>
      <c r="G50" s="67">
        <v>1</v>
      </c>
      <c r="H50" s="67">
        <v>2</v>
      </c>
      <c r="I50" s="66">
        <v>165</v>
      </c>
      <c r="J50" s="67">
        <v>0</v>
      </c>
      <c r="K50" s="66">
        <v>0</v>
      </c>
      <c r="L50" s="67">
        <v>1</v>
      </c>
      <c r="M50" s="66">
        <v>0</v>
      </c>
      <c r="N50" s="67">
        <v>3</v>
      </c>
      <c r="O50" s="68">
        <v>1</v>
      </c>
      <c r="P50" s="93" t="str">
        <f>IFERROR(CHOOSE(MATCH(A50,'Dataset'!$B$5:$B$11,0),"S₁","S₂","S₃","S₄","S₅","S₆","S₇"),"")</f>
        <v/>
      </c>
    </row>
    <row r="51">
      <c r="A51" s="62">
        <v>47</v>
      </c>
      <c r="B51" s="66">
        <v>49</v>
      </c>
      <c r="C51" s="67">
        <v>1</v>
      </c>
      <c r="D51" s="67">
        <v>3</v>
      </c>
      <c r="E51" s="66">
        <v>118</v>
      </c>
      <c r="F51" s="66">
        <v>149</v>
      </c>
      <c r="G51" s="67">
        <v>0</v>
      </c>
      <c r="H51" s="67">
        <v>2</v>
      </c>
      <c r="I51" s="66">
        <v>126</v>
      </c>
      <c r="J51" s="67">
        <v>0</v>
      </c>
      <c r="K51" s="66">
        <v>0.8</v>
      </c>
      <c r="L51" s="67">
        <v>1</v>
      </c>
      <c r="M51" s="66">
        <v>3</v>
      </c>
      <c r="N51" s="67">
        <v>3</v>
      </c>
      <c r="O51" s="68">
        <v>2</v>
      </c>
      <c r="P51" s="93" t="str">
        <f>IFERROR(CHOOSE(MATCH(A51,'Dataset'!$B$5:$B$11,0),"S₁","S₂","S₃","S₄","S₅","S₆","S₇"),"")</f>
        <v/>
      </c>
    </row>
    <row r="52">
      <c r="A52" s="62">
        <v>48</v>
      </c>
      <c r="B52" s="66">
        <v>44</v>
      </c>
      <c r="C52" s="67">
        <v>1</v>
      </c>
      <c r="D52" s="67">
        <v>4</v>
      </c>
      <c r="E52" s="66">
        <v>110</v>
      </c>
      <c r="F52" s="66">
        <v>197</v>
      </c>
      <c r="G52" s="67">
        <v>0</v>
      </c>
      <c r="H52" s="67">
        <v>2</v>
      </c>
      <c r="I52" s="66">
        <v>177</v>
      </c>
      <c r="J52" s="67">
        <v>0</v>
      </c>
      <c r="K52" s="66">
        <v>0</v>
      </c>
      <c r="L52" s="67">
        <v>1</v>
      </c>
      <c r="M52" s="66">
        <v>1</v>
      </c>
      <c r="N52" s="67">
        <v>3</v>
      </c>
      <c r="O52" s="68">
        <v>2</v>
      </c>
      <c r="P52" s="93" t="str">
        <f>IFERROR(CHOOSE(MATCH(A52,'Dataset'!$B$5:$B$11,0),"S₁","S₂","S₃","S₄","S₅","S₆","S₇"),"")</f>
        <v/>
      </c>
    </row>
    <row r="53">
      <c r="A53" s="62">
        <v>49</v>
      </c>
      <c r="B53" s="66">
        <v>66</v>
      </c>
      <c r="C53" s="67">
        <v>1</v>
      </c>
      <c r="D53" s="67">
        <v>2</v>
      </c>
      <c r="E53" s="66">
        <v>160</v>
      </c>
      <c r="F53" s="66">
        <v>246</v>
      </c>
      <c r="G53" s="67">
        <v>0</v>
      </c>
      <c r="H53" s="67">
        <v>0</v>
      </c>
      <c r="I53" s="66">
        <v>120</v>
      </c>
      <c r="J53" s="67">
        <v>1</v>
      </c>
      <c r="K53" s="66">
        <v>0</v>
      </c>
      <c r="L53" s="67">
        <v>2</v>
      </c>
      <c r="M53" s="66">
        <v>3</v>
      </c>
      <c r="N53" s="67">
        <v>6</v>
      </c>
      <c r="O53" s="68">
        <v>2</v>
      </c>
      <c r="P53" s="93" t="str">
        <f>IFERROR(CHOOSE(MATCH(A53,'Dataset'!$B$5:$B$11,0),"S₁","S₂","S₃","S₄","S₅","S₆","S₇"),"")</f>
        <v/>
      </c>
    </row>
    <row r="54">
      <c r="A54" s="62">
        <v>50</v>
      </c>
      <c r="B54" s="66">
        <v>65</v>
      </c>
      <c r="C54" s="67">
        <v>0</v>
      </c>
      <c r="D54" s="67">
        <v>4</v>
      </c>
      <c r="E54" s="66">
        <v>150</v>
      </c>
      <c r="F54" s="66">
        <v>225</v>
      </c>
      <c r="G54" s="67">
        <v>0</v>
      </c>
      <c r="H54" s="67">
        <v>2</v>
      </c>
      <c r="I54" s="66">
        <v>114</v>
      </c>
      <c r="J54" s="67">
        <v>0</v>
      </c>
      <c r="K54" s="66">
        <v>1</v>
      </c>
      <c r="L54" s="67">
        <v>2</v>
      </c>
      <c r="M54" s="66">
        <v>3</v>
      </c>
      <c r="N54" s="67">
        <v>7</v>
      </c>
      <c r="O54" s="68">
        <v>2</v>
      </c>
      <c r="P54" s="93" t="str">
        <f>IFERROR(CHOOSE(MATCH(A54,'Dataset'!$B$5:$B$11,0),"S₁","S₂","S₃","S₄","S₅","S₆","S₇"),"")</f>
        <v/>
      </c>
    </row>
    <row r="55">
      <c r="A55" s="62">
        <v>51</v>
      </c>
      <c r="B55" s="66">
        <v>42</v>
      </c>
      <c r="C55" s="67">
        <v>1</v>
      </c>
      <c r="D55" s="67">
        <v>4</v>
      </c>
      <c r="E55" s="66">
        <v>136</v>
      </c>
      <c r="F55" s="66">
        <v>315</v>
      </c>
      <c r="G55" s="67">
        <v>0</v>
      </c>
      <c r="H55" s="67">
        <v>0</v>
      </c>
      <c r="I55" s="66">
        <v>125</v>
      </c>
      <c r="J55" s="67">
        <v>1</v>
      </c>
      <c r="K55" s="66">
        <v>1.8</v>
      </c>
      <c r="L55" s="67">
        <v>2</v>
      </c>
      <c r="M55" s="66">
        <v>0</v>
      </c>
      <c r="N55" s="67">
        <v>6</v>
      </c>
      <c r="O55" s="68">
        <v>2</v>
      </c>
      <c r="P55" s="93" t="str">
        <f>IFERROR(CHOOSE(MATCH(A55,'Dataset'!$B$5:$B$11,0),"S₁","S₂","S₃","S₄","S₅","S₆","S₇"),"")</f>
        <v/>
      </c>
    </row>
    <row r="56">
      <c r="A56" s="62">
        <v>52</v>
      </c>
      <c r="B56" s="66">
        <v>52</v>
      </c>
      <c r="C56" s="67">
        <v>1</v>
      </c>
      <c r="D56" s="67">
        <v>2</v>
      </c>
      <c r="E56" s="66">
        <v>128</v>
      </c>
      <c r="F56" s="66">
        <v>205</v>
      </c>
      <c r="G56" s="67">
        <v>1</v>
      </c>
      <c r="H56" s="67">
        <v>0</v>
      </c>
      <c r="I56" s="66">
        <v>184</v>
      </c>
      <c r="J56" s="67">
        <v>0</v>
      </c>
      <c r="K56" s="66">
        <v>0</v>
      </c>
      <c r="L56" s="67">
        <v>1</v>
      </c>
      <c r="M56" s="66">
        <v>0</v>
      </c>
      <c r="N56" s="67">
        <v>3</v>
      </c>
      <c r="O56" s="68">
        <v>1</v>
      </c>
      <c r="P56" s="93" t="str">
        <f>IFERROR(CHOOSE(MATCH(A56,'Dataset'!$B$5:$B$11,0),"S₁","S₂","S₃","S₄","S₅","S₆","S₇"),"")</f>
        <v/>
      </c>
    </row>
    <row r="57">
      <c r="A57" s="62">
        <v>53</v>
      </c>
      <c r="B57" s="66">
        <v>65</v>
      </c>
      <c r="C57" s="67">
        <v>0</v>
      </c>
      <c r="D57" s="67">
        <v>3</v>
      </c>
      <c r="E57" s="66">
        <v>140</v>
      </c>
      <c r="F57" s="66">
        <v>417</v>
      </c>
      <c r="G57" s="67">
        <v>1</v>
      </c>
      <c r="H57" s="67">
        <v>2</v>
      </c>
      <c r="I57" s="66">
        <v>157</v>
      </c>
      <c r="J57" s="67">
        <v>0</v>
      </c>
      <c r="K57" s="66">
        <v>0.8</v>
      </c>
      <c r="L57" s="67">
        <v>1</v>
      </c>
      <c r="M57" s="66">
        <v>1</v>
      </c>
      <c r="N57" s="67">
        <v>3</v>
      </c>
      <c r="O57" s="68">
        <v>1</v>
      </c>
      <c r="P57" s="93" t="str">
        <f>IFERROR(CHOOSE(MATCH(A57,'Dataset'!$B$5:$B$11,0),"S₁","S₂","S₃","S₄","S₅","S₆","S₇"),"")</f>
        <v/>
      </c>
    </row>
    <row r="58">
      <c r="A58" s="62">
        <v>54</v>
      </c>
      <c r="B58" s="66">
        <v>63</v>
      </c>
      <c r="C58" s="67">
        <v>0</v>
      </c>
      <c r="D58" s="67">
        <v>2</v>
      </c>
      <c r="E58" s="66">
        <v>140</v>
      </c>
      <c r="F58" s="66">
        <v>195</v>
      </c>
      <c r="G58" s="67">
        <v>0</v>
      </c>
      <c r="H58" s="67">
        <v>0</v>
      </c>
      <c r="I58" s="66">
        <v>179</v>
      </c>
      <c r="J58" s="67">
        <v>0</v>
      </c>
      <c r="K58" s="66">
        <v>0</v>
      </c>
      <c r="L58" s="67">
        <v>1</v>
      </c>
      <c r="M58" s="66">
        <v>2</v>
      </c>
      <c r="N58" s="67">
        <v>3</v>
      </c>
      <c r="O58" s="68">
        <v>1</v>
      </c>
      <c r="P58" s="93" t="str">
        <f>IFERROR(CHOOSE(MATCH(A58,'Dataset'!$B$5:$B$11,0),"S₁","S₂","S₃","S₄","S₅","S₆","S₇"),"")</f>
        <v/>
      </c>
    </row>
    <row r="59">
      <c r="A59" s="62">
        <v>55</v>
      </c>
      <c r="B59" s="66">
        <v>45</v>
      </c>
      <c r="C59" s="67">
        <v>0</v>
      </c>
      <c r="D59" s="67">
        <v>2</v>
      </c>
      <c r="E59" s="66">
        <v>130</v>
      </c>
      <c r="F59" s="66">
        <v>234</v>
      </c>
      <c r="G59" s="67">
        <v>0</v>
      </c>
      <c r="H59" s="67">
        <v>2</v>
      </c>
      <c r="I59" s="66">
        <v>175</v>
      </c>
      <c r="J59" s="67">
        <v>0</v>
      </c>
      <c r="K59" s="66">
        <v>0.6</v>
      </c>
      <c r="L59" s="67">
        <v>2</v>
      </c>
      <c r="M59" s="66">
        <v>0</v>
      </c>
      <c r="N59" s="67">
        <v>3</v>
      </c>
      <c r="O59" s="68">
        <v>1</v>
      </c>
      <c r="P59" s="93" t="str">
        <f>IFERROR(CHOOSE(MATCH(A59,'Dataset'!$B$5:$B$11,0),"S₁","S₂","S₃","S₄","S₅","S₆","S₇"),"")</f>
        <v/>
      </c>
    </row>
    <row r="60">
      <c r="A60" s="62">
        <v>56</v>
      </c>
      <c r="B60" s="66">
        <v>41</v>
      </c>
      <c r="C60" s="67">
        <v>0</v>
      </c>
      <c r="D60" s="67">
        <v>2</v>
      </c>
      <c r="E60" s="66">
        <v>105</v>
      </c>
      <c r="F60" s="66">
        <v>198</v>
      </c>
      <c r="G60" s="67">
        <v>0</v>
      </c>
      <c r="H60" s="67">
        <v>0</v>
      </c>
      <c r="I60" s="66">
        <v>168</v>
      </c>
      <c r="J60" s="67">
        <v>0</v>
      </c>
      <c r="K60" s="66">
        <v>0</v>
      </c>
      <c r="L60" s="67">
        <v>1</v>
      </c>
      <c r="M60" s="66">
        <v>1</v>
      </c>
      <c r="N60" s="67">
        <v>3</v>
      </c>
      <c r="O60" s="68">
        <v>1</v>
      </c>
      <c r="P60" s="93" t="str">
        <f>IFERROR(CHOOSE(MATCH(A60,'Dataset'!$B$5:$B$11,0),"S₁","S₂","S₃","S₄","S₅","S₆","S₇"),"")</f>
        <v/>
      </c>
    </row>
    <row r="61">
      <c r="A61" s="62">
        <v>57</v>
      </c>
      <c r="B61" s="66">
        <v>61</v>
      </c>
      <c r="C61" s="67">
        <v>1</v>
      </c>
      <c r="D61" s="67">
        <v>4</v>
      </c>
      <c r="E61" s="66">
        <v>138</v>
      </c>
      <c r="F61" s="66">
        <v>166</v>
      </c>
      <c r="G61" s="67">
        <v>0</v>
      </c>
      <c r="H61" s="67">
        <v>2</v>
      </c>
      <c r="I61" s="66">
        <v>125</v>
      </c>
      <c r="J61" s="67">
        <v>1</v>
      </c>
      <c r="K61" s="66">
        <v>3.6</v>
      </c>
      <c r="L61" s="67">
        <v>2</v>
      </c>
      <c r="M61" s="66">
        <v>1</v>
      </c>
      <c r="N61" s="67">
        <v>3</v>
      </c>
      <c r="O61" s="68">
        <v>2</v>
      </c>
      <c r="P61" s="93" t="str">
        <f>IFERROR(CHOOSE(MATCH(A61,'Dataset'!$B$5:$B$11,0),"S₁","S₂","S₃","S₄","S₅","S₆","S₇"),"")</f>
        <v/>
      </c>
    </row>
    <row r="62">
      <c r="A62" s="62">
        <v>58</v>
      </c>
      <c r="B62" s="66">
        <v>60</v>
      </c>
      <c r="C62" s="67">
        <v>0</v>
      </c>
      <c r="D62" s="67">
        <v>3</v>
      </c>
      <c r="E62" s="66">
        <v>120</v>
      </c>
      <c r="F62" s="66">
        <v>178</v>
      </c>
      <c r="G62" s="67">
        <v>1</v>
      </c>
      <c r="H62" s="67">
        <v>0</v>
      </c>
      <c r="I62" s="66">
        <v>96</v>
      </c>
      <c r="J62" s="67">
        <v>0</v>
      </c>
      <c r="K62" s="66">
        <v>0</v>
      </c>
      <c r="L62" s="67">
        <v>1</v>
      </c>
      <c r="M62" s="66">
        <v>0</v>
      </c>
      <c r="N62" s="67">
        <v>3</v>
      </c>
      <c r="O62" s="68">
        <v>1</v>
      </c>
      <c r="P62" s="93" t="str">
        <f>IFERROR(CHOOSE(MATCH(A62,'Dataset'!$B$5:$B$11,0),"S₁","S₂","S₃","S₄","S₅","S₆","S₇"),"")</f>
        <v/>
      </c>
    </row>
    <row r="63">
      <c r="A63" s="62">
        <v>59</v>
      </c>
      <c r="B63" s="66">
        <v>59</v>
      </c>
      <c r="C63" s="67">
        <v>0</v>
      </c>
      <c r="D63" s="67">
        <v>4</v>
      </c>
      <c r="E63" s="66">
        <v>174</v>
      </c>
      <c r="F63" s="66">
        <v>249</v>
      </c>
      <c r="G63" s="67">
        <v>0</v>
      </c>
      <c r="H63" s="67">
        <v>0</v>
      </c>
      <c r="I63" s="66">
        <v>143</v>
      </c>
      <c r="J63" s="67">
        <v>1</v>
      </c>
      <c r="K63" s="66">
        <v>0</v>
      </c>
      <c r="L63" s="67">
        <v>2</v>
      </c>
      <c r="M63" s="66">
        <v>0</v>
      </c>
      <c r="N63" s="67">
        <v>3</v>
      </c>
      <c r="O63" s="68">
        <v>2</v>
      </c>
      <c r="P63" s="93" t="str">
        <f>IFERROR(CHOOSE(MATCH(A63,'Dataset'!$B$5:$B$11,0),"S₁","S₂","S₃","S₄","S₅","S₆","S₇"),"")</f>
        <v/>
      </c>
    </row>
    <row r="64">
      <c r="A64" s="62">
        <v>60</v>
      </c>
      <c r="B64" s="66">
        <v>62</v>
      </c>
      <c r="C64" s="67">
        <v>1</v>
      </c>
      <c r="D64" s="67">
        <v>2</v>
      </c>
      <c r="E64" s="66">
        <v>120</v>
      </c>
      <c r="F64" s="66">
        <v>281</v>
      </c>
      <c r="G64" s="67">
        <v>0</v>
      </c>
      <c r="H64" s="67">
        <v>2</v>
      </c>
      <c r="I64" s="66">
        <v>103</v>
      </c>
      <c r="J64" s="67">
        <v>0</v>
      </c>
      <c r="K64" s="66">
        <v>1.4</v>
      </c>
      <c r="L64" s="67">
        <v>2</v>
      </c>
      <c r="M64" s="66">
        <v>1</v>
      </c>
      <c r="N64" s="67">
        <v>7</v>
      </c>
      <c r="O64" s="68">
        <v>2</v>
      </c>
      <c r="P64" s="93" t="str">
        <f>IFERROR(CHOOSE(MATCH(A64,'Dataset'!$B$5:$B$11,0),"S₁","S₂","S₃","S₄","S₅","S₆","S₇"),"")</f>
        <v/>
      </c>
    </row>
    <row r="65">
      <c r="A65" s="62">
        <v>61</v>
      </c>
      <c r="B65" s="66">
        <v>57</v>
      </c>
      <c r="C65" s="67">
        <v>1</v>
      </c>
      <c r="D65" s="67">
        <v>3</v>
      </c>
      <c r="E65" s="66">
        <v>150</v>
      </c>
      <c r="F65" s="66">
        <v>126</v>
      </c>
      <c r="G65" s="67">
        <v>1</v>
      </c>
      <c r="H65" s="67">
        <v>0</v>
      </c>
      <c r="I65" s="66">
        <v>173</v>
      </c>
      <c r="J65" s="67">
        <v>0</v>
      </c>
      <c r="K65" s="66">
        <v>0.2</v>
      </c>
      <c r="L65" s="67">
        <v>1</v>
      </c>
      <c r="M65" s="66">
        <v>1</v>
      </c>
      <c r="N65" s="67">
        <v>7</v>
      </c>
      <c r="O65" s="68">
        <v>1</v>
      </c>
      <c r="P65" s="93" t="str">
        <f>IFERROR(CHOOSE(MATCH(A65,'Dataset'!$B$5:$B$11,0),"S₁","S₂","S₃","S₄","S₅","S₆","S₇"),"")</f>
        <v/>
      </c>
    </row>
    <row r="66">
      <c r="A66" s="62">
        <v>62</v>
      </c>
      <c r="B66" s="66">
        <v>51</v>
      </c>
      <c r="C66" s="67">
        <v>0</v>
      </c>
      <c r="D66" s="67">
        <v>4</v>
      </c>
      <c r="E66" s="66">
        <v>130</v>
      </c>
      <c r="F66" s="66">
        <v>305</v>
      </c>
      <c r="G66" s="67">
        <v>0</v>
      </c>
      <c r="H66" s="67">
        <v>0</v>
      </c>
      <c r="I66" s="66">
        <v>142</v>
      </c>
      <c r="J66" s="67">
        <v>1</v>
      </c>
      <c r="K66" s="66">
        <v>1.2</v>
      </c>
      <c r="L66" s="67">
        <v>2</v>
      </c>
      <c r="M66" s="66">
        <v>0</v>
      </c>
      <c r="N66" s="67">
        <v>7</v>
      </c>
      <c r="O66" s="68">
        <v>2</v>
      </c>
      <c r="P66" s="93" t="str">
        <f>IFERROR(CHOOSE(MATCH(A66,'Dataset'!$B$5:$B$11,0),"S₁","S₂","S₃","S₄","S₅","S₆","S₇"),"")</f>
        <v/>
      </c>
    </row>
    <row r="67">
      <c r="A67" s="62">
        <v>63</v>
      </c>
      <c r="B67" s="66">
        <v>44</v>
      </c>
      <c r="C67" s="67">
        <v>1</v>
      </c>
      <c r="D67" s="67">
        <v>3</v>
      </c>
      <c r="E67" s="66">
        <v>120</v>
      </c>
      <c r="F67" s="66">
        <v>226</v>
      </c>
      <c r="G67" s="67">
        <v>0</v>
      </c>
      <c r="H67" s="67">
        <v>0</v>
      </c>
      <c r="I67" s="66">
        <v>169</v>
      </c>
      <c r="J67" s="67">
        <v>0</v>
      </c>
      <c r="K67" s="66">
        <v>0</v>
      </c>
      <c r="L67" s="67">
        <v>1</v>
      </c>
      <c r="M67" s="66">
        <v>0</v>
      </c>
      <c r="N67" s="67">
        <v>3</v>
      </c>
      <c r="O67" s="68">
        <v>1</v>
      </c>
      <c r="P67" s="93" t="str">
        <f>IFERROR(CHOOSE(MATCH(A67,'Dataset'!$B$5:$B$11,0),"S₁","S₂","S₃","S₄","S₅","S₆","S₇"),"")</f>
        <v/>
      </c>
    </row>
    <row r="68">
      <c r="A68" s="62">
        <v>64</v>
      </c>
      <c r="B68" s="66">
        <v>60</v>
      </c>
      <c r="C68" s="67">
        <v>0</v>
      </c>
      <c r="D68" s="67">
        <v>1</v>
      </c>
      <c r="E68" s="66">
        <v>150</v>
      </c>
      <c r="F68" s="66">
        <v>240</v>
      </c>
      <c r="G68" s="67">
        <v>0</v>
      </c>
      <c r="H68" s="67">
        <v>0</v>
      </c>
      <c r="I68" s="66">
        <v>171</v>
      </c>
      <c r="J68" s="67">
        <v>0</v>
      </c>
      <c r="K68" s="66">
        <v>0.9</v>
      </c>
      <c r="L68" s="67">
        <v>1</v>
      </c>
      <c r="M68" s="66">
        <v>0</v>
      </c>
      <c r="N68" s="67">
        <v>3</v>
      </c>
      <c r="O68" s="68">
        <v>1</v>
      </c>
      <c r="P68" s="93" t="str">
        <f>IFERROR(CHOOSE(MATCH(A68,'Dataset'!$B$5:$B$11,0),"S₁","S₂","S₃","S₄","S₅","S₆","S₇"),"")</f>
        <v/>
      </c>
    </row>
    <row r="69">
      <c r="A69" s="62">
        <v>65</v>
      </c>
      <c r="B69" s="66">
        <v>63</v>
      </c>
      <c r="C69" s="67">
        <v>1</v>
      </c>
      <c r="D69" s="67">
        <v>1</v>
      </c>
      <c r="E69" s="66">
        <v>145</v>
      </c>
      <c r="F69" s="66">
        <v>233</v>
      </c>
      <c r="G69" s="67">
        <v>1</v>
      </c>
      <c r="H69" s="67">
        <v>2</v>
      </c>
      <c r="I69" s="66">
        <v>150</v>
      </c>
      <c r="J69" s="67">
        <v>0</v>
      </c>
      <c r="K69" s="66">
        <v>2.3</v>
      </c>
      <c r="L69" s="67">
        <v>3</v>
      </c>
      <c r="M69" s="66">
        <v>0</v>
      </c>
      <c r="N69" s="67">
        <v>6</v>
      </c>
      <c r="O69" s="68">
        <v>1</v>
      </c>
      <c r="P69" s="93" t="str">
        <f>IFERROR(CHOOSE(MATCH(A69,'Dataset'!$B$5:$B$11,0),"S₁","S₂","S₃","S₄","S₅","S₆","S₇"),"")</f>
        <v/>
      </c>
    </row>
    <row r="70">
      <c r="A70" s="62">
        <v>66</v>
      </c>
      <c r="B70" s="66">
        <v>57</v>
      </c>
      <c r="C70" s="67">
        <v>1</v>
      </c>
      <c r="D70" s="67">
        <v>4</v>
      </c>
      <c r="E70" s="66">
        <v>150</v>
      </c>
      <c r="F70" s="66">
        <v>276</v>
      </c>
      <c r="G70" s="67">
        <v>0</v>
      </c>
      <c r="H70" s="67">
        <v>2</v>
      </c>
      <c r="I70" s="66">
        <v>112</v>
      </c>
      <c r="J70" s="67">
        <v>1</v>
      </c>
      <c r="K70" s="66">
        <v>0.6</v>
      </c>
      <c r="L70" s="67">
        <v>2</v>
      </c>
      <c r="M70" s="66">
        <v>1</v>
      </c>
      <c r="N70" s="67">
        <v>6</v>
      </c>
      <c r="O70" s="68">
        <v>2</v>
      </c>
      <c r="P70" s="93" t="str">
        <f>IFERROR(CHOOSE(MATCH(A70,'Dataset'!$B$5:$B$11,0),"S₁","S₂","S₃","S₄","S₅","S₆","S₇"),"")</f>
        <v/>
      </c>
    </row>
    <row r="71">
      <c r="A71" s="62">
        <v>67</v>
      </c>
      <c r="B71" s="66">
        <v>51</v>
      </c>
      <c r="C71" s="67">
        <v>1</v>
      </c>
      <c r="D71" s="67">
        <v>4</v>
      </c>
      <c r="E71" s="66">
        <v>140</v>
      </c>
      <c r="F71" s="66">
        <v>261</v>
      </c>
      <c r="G71" s="67">
        <v>0</v>
      </c>
      <c r="H71" s="67">
        <v>2</v>
      </c>
      <c r="I71" s="66">
        <v>186</v>
      </c>
      <c r="J71" s="67">
        <v>1</v>
      </c>
      <c r="K71" s="66">
        <v>0</v>
      </c>
      <c r="L71" s="67">
        <v>1</v>
      </c>
      <c r="M71" s="66">
        <v>0</v>
      </c>
      <c r="N71" s="67">
        <v>3</v>
      </c>
      <c r="O71" s="68">
        <v>1</v>
      </c>
      <c r="P71" s="93" t="str">
        <f>IFERROR(CHOOSE(MATCH(A71,'Dataset'!$B$5:$B$11,0),"S₁","S₂","S₃","S₄","S₅","S₆","S₇"),"")</f>
        <v/>
      </c>
    </row>
    <row r="72">
      <c r="A72" s="62">
        <v>68</v>
      </c>
      <c r="B72" s="66">
        <v>58</v>
      </c>
      <c r="C72" s="67">
        <v>0</v>
      </c>
      <c r="D72" s="67">
        <v>2</v>
      </c>
      <c r="E72" s="66">
        <v>136</v>
      </c>
      <c r="F72" s="66">
        <v>319</v>
      </c>
      <c r="G72" s="67">
        <v>1</v>
      </c>
      <c r="H72" s="67">
        <v>2</v>
      </c>
      <c r="I72" s="66">
        <v>152</v>
      </c>
      <c r="J72" s="67">
        <v>0</v>
      </c>
      <c r="K72" s="66">
        <v>0</v>
      </c>
      <c r="L72" s="67">
        <v>1</v>
      </c>
      <c r="M72" s="66">
        <v>2</v>
      </c>
      <c r="N72" s="67">
        <v>3</v>
      </c>
      <c r="O72" s="68">
        <v>2</v>
      </c>
      <c r="P72" s="93" t="str">
        <f>IFERROR(CHOOSE(MATCH(A72,'Dataset'!$B$5:$B$11,0),"S₁","S₂","S₃","S₄","S₅","S₆","S₇"),"")</f>
        <v/>
      </c>
    </row>
    <row r="73">
      <c r="A73" s="62">
        <v>69</v>
      </c>
      <c r="B73" s="66">
        <v>44</v>
      </c>
      <c r="C73" s="67">
        <v>0</v>
      </c>
      <c r="D73" s="67">
        <v>3</v>
      </c>
      <c r="E73" s="66">
        <v>118</v>
      </c>
      <c r="F73" s="66">
        <v>242</v>
      </c>
      <c r="G73" s="67">
        <v>0</v>
      </c>
      <c r="H73" s="67">
        <v>0</v>
      </c>
      <c r="I73" s="66">
        <v>149</v>
      </c>
      <c r="J73" s="67">
        <v>0</v>
      </c>
      <c r="K73" s="66">
        <v>0.3</v>
      </c>
      <c r="L73" s="67">
        <v>2</v>
      </c>
      <c r="M73" s="66">
        <v>1</v>
      </c>
      <c r="N73" s="67">
        <v>3</v>
      </c>
      <c r="O73" s="68">
        <v>1</v>
      </c>
      <c r="P73" s="93" t="str">
        <f>IFERROR(CHOOSE(MATCH(A73,'Dataset'!$B$5:$B$11,0),"S₁","S₂","S₃","S₄","S₅","S₆","S₇"),"")</f>
        <v/>
      </c>
    </row>
    <row r="74">
      <c r="A74" s="62">
        <v>70</v>
      </c>
      <c r="B74" s="66">
        <v>47</v>
      </c>
      <c r="C74" s="67">
        <v>1</v>
      </c>
      <c r="D74" s="67">
        <v>3</v>
      </c>
      <c r="E74" s="66">
        <v>108</v>
      </c>
      <c r="F74" s="66">
        <v>243</v>
      </c>
      <c r="G74" s="67">
        <v>0</v>
      </c>
      <c r="H74" s="67">
        <v>0</v>
      </c>
      <c r="I74" s="66">
        <v>152</v>
      </c>
      <c r="J74" s="67">
        <v>0</v>
      </c>
      <c r="K74" s="66">
        <v>0</v>
      </c>
      <c r="L74" s="67">
        <v>1</v>
      </c>
      <c r="M74" s="66">
        <v>0</v>
      </c>
      <c r="N74" s="67">
        <v>3</v>
      </c>
      <c r="O74" s="68">
        <v>2</v>
      </c>
      <c r="P74" s="93" t="str">
        <f>IFERROR(CHOOSE(MATCH(A74,'Dataset'!$B$5:$B$11,0),"S₁","S₂","S₃","S₄","S₅","S₆","S₇"),"")</f>
        <v/>
      </c>
    </row>
    <row r="75">
      <c r="A75" s="62">
        <v>71</v>
      </c>
      <c r="B75" s="66">
        <v>61</v>
      </c>
      <c r="C75" s="67">
        <v>1</v>
      </c>
      <c r="D75" s="67">
        <v>4</v>
      </c>
      <c r="E75" s="66">
        <v>120</v>
      </c>
      <c r="F75" s="66">
        <v>260</v>
      </c>
      <c r="G75" s="67">
        <v>0</v>
      </c>
      <c r="H75" s="67">
        <v>0</v>
      </c>
      <c r="I75" s="66">
        <v>140</v>
      </c>
      <c r="J75" s="67">
        <v>1</v>
      </c>
      <c r="K75" s="66">
        <v>3.6</v>
      </c>
      <c r="L75" s="67">
        <v>2</v>
      </c>
      <c r="M75" s="66">
        <v>1</v>
      </c>
      <c r="N75" s="67">
        <v>7</v>
      </c>
      <c r="O75" s="68">
        <v>2</v>
      </c>
      <c r="P75" s="93" t="str">
        <f>IFERROR(CHOOSE(MATCH(A75,'Dataset'!$B$5:$B$11,0),"S₁","S₂","S₃","S₄","S₅","S₆","S₇"),"")</f>
        <v/>
      </c>
    </row>
    <row r="76">
      <c r="A76" s="62">
        <v>72</v>
      </c>
      <c r="B76" s="66">
        <v>57</v>
      </c>
      <c r="C76" s="67">
        <v>0</v>
      </c>
      <c r="D76" s="67">
        <v>4</v>
      </c>
      <c r="E76" s="66">
        <v>120</v>
      </c>
      <c r="F76" s="66">
        <v>354</v>
      </c>
      <c r="G76" s="67">
        <v>0</v>
      </c>
      <c r="H76" s="67">
        <v>0</v>
      </c>
      <c r="I76" s="66">
        <v>163</v>
      </c>
      <c r="J76" s="67">
        <v>1</v>
      </c>
      <c r="K76" s="66">
        <v>0.6</v>
      </c>
      <c r="L76" s="67">
        <v>1</v>
      </c>
      <c r="M76" s="66">
        <v>0</v>
      </c>
      <c r="N76" s="67">
        <v>3</v>
      </c>
      <c r="O76" s="68">
        <v>1</v>
      </c>
      <c r="P76" s="93" t="str">
        <f>IFERROR(CHOOSE(MATCH(A76,'Dataset'!$B$5:$B$11,0),"S₁","S₂","S₃","S₄","S₅","S₆","S₇"),"")</f>
        <v/>
      </c>
    </row>
    <row r="77">
      <c r="A77" s="62">
        <v>73</v>
      </c>
      <c r="B77" s="66">
        <v>70</v>
      </c>
      <c r="C77" s="67">
        <v>1</v>
      </c>
      <c r="D77" s="67">
        <v>2</v>
      </c>
      <c r="E77" s="66">
        <v>156</v>
      </c>
      <c r="F77" s="66">
        <v>245</v>
      </c>
      <c r="G77" s="67">
        <v>0</v>
      </c>
      <c r="H77" s="67">
        <v>2</v>
      </c>
      <c r="I77" s="66">
        <v>143</v>
      </c>
      <c r="J77" s="67">
        <v>0</v>
      </c>
      <c r="K77" s="66">
        <v>0</v>
      </c>
      <c r="L77" s="67">
        <v>1</v>
      </c>
      <c r="M77" s="66">
        <v>0</v>
      </c>
      <c r="N77" s="67">
        <v>3</v>
      </c>
      <c r="O77" s="68">
        <v>1</v>
      </c>
      <c r="P77" s="93" t="str">
        <f>IFERROR(CHOOSE(MATCH(A77,'Dataset'!$B$5:$B$11,0),"S₁","S₂","S₃","S₄","S₅","S₆","S₇"),"")</f>
        <v>S₃</v>
      </c>
    </row>
    <row r="78">
      <c r="A78" s="62">
        <v>74</v>
      </c>
      <c r="B78" s="66">
        <v>76</v>
      </c>
      <c r="C78" s="67">
        <v>0</v>
      </c>
      <c r="D78" s="67">
        <v>3</v>
      </c>
      <c r="E78" s="66">
        <v>140</v>
      </c>
      <c r="F78" s="66">
        <v>197</v>
      </c>
      <c r="G78" s="67">
        <v>0</v>
      </c>
      <c r="H78" s="67">
        <v>1</v>
      </c>
      <c r="I78" s="66">
        <v>116</v>
      </c>
      <c r="J78" s="67">
        <v>0</v>
      </c>
      <c r="K78" s="66">
        <v>1.1</v>
      </c>
      <c r="L78" s="67">
        <v>2</v>
      </c>
      <c r="M78" s="66">
        <v>0</v>
      </c>
      <c r="N78" s="67">
        <v>3</v>
      </c>
      <c r="O78" s="68">
        <v>1</v>
      </c>
      <c r="P78" s="93" t="str">
        <f>IFERROR(CHOOSE(MATCH(A78,'Dataset'!$B$5:$B$11,0),"S₁","S₂","S₃","S₄","S₅","S₆","S₇"),"")</f>
        <v/>
      </c>
    </row>
    <row r="79">
      <c r="A79" s="62">
        <v>75</v>
      </c>
      <c r="B79" s="66">
        <v>67</v>
      </c>
      <c r="C79" s="67">
        <v>0</v>
      </c>
      <c r="D79" s="67">
        <v>4</v>
      </c>
      <c r="E79" s="66">
        <v>106</v>
      </c>
      <c r="F79" s="66">
        <v>223</v>
      </c>
      <c r="G79" s="67">
        <v>0</v>
      </c>
      <c r="H79" s="67">
        <v>0</v>
      </c>
      <c r="I79" s="66">
        <v>142</v>
      </c>
      <c r="J79" s="67">
        <v>0</v>
      </c>
      <c r="K79" s="66">
        <v>0.3</v>
      </c>
      <c r="L79" s="67">
        <v>1</v>
      </c>
      <c r="M79" s="66">
        <v>2</v>
      </c>
      <c r="N79" s="67">
        <v>3</v>
      </c>
      <c r="O79" s="68">
        <v>1</v>
      </c>
      <c r="P79" s="93" t="str">
        <f>IFERROR(CHOOSE(MATCH(A79,'Dataset'!$B$5:$B$11,0),"S₁","S₂","S₃","S₄","S₅","S₆","S₇"),"")</f>
        <v/>
      </c>
    </row>
    <row r="80">
      <c r="A80" s="62">
        <v>76</v>
      </c>
      <c r="B80" s="66">
        <v>45</v>
      </c>
      <c r="C80" s="67">
        <v>1</v>
      </c>
      <c r="D80" s="67">
        <v>4</v>
      </c>
      <c r="E80" s="66">
        <v>142</v>
      </c>
      <c r="F80" s="66">
        <v>309</v>
      </c>
      <c r="G80" s="67">
        <v>0</v>
      </c>
      <c r="H80" s="67">
        <v>2</v>
      </c>
      <c r="I80" s="66">
        <v>147</v>
      </c>
      <c r="J80" s="67">
        <v>1</v>
      </c>
      <c r="K80" s="66">
        <v>0</v>
      </c>
      <c r="L80" s="67">
        <v>2</v>
      </c>
      <c r="M80" s="66">
        <v>3</v>
      </c>
      <c r="N80" s="67">
        <v>7</v>
      </c>
      <c r="O80" s="68">
        <v>2</v>
      </c>
      <c r="P80" s="93" t="str">
        <f>IFERROR(CHOOSE(MATCH(A80,'Dataset'!$B$5:$B$11,0),"S₁","S₂","S₃","S₄","S₅","S₆","S₇"),"")</f>
        <v/>
      </c>
    </row>
    <row r="81">
      <c r="A81" s="62">
        <v>77</v>
      </c>
      <c r="B81" s="66">
        <v>45</v>
      </c>
      <c r="C81" s="67">
        <v>1</v>
      </c>
      <c r="D81" s="67">
        <v>4</v>
      </c>
      <c r="E81" s="66">
        <v>104</v>
      </c>
      <c r="F81" s="66">
        <v>208</v>
      </c>
      <c r="G81" s="67">
        <v>0</v>
      </c>
      <c r="H81" s="67">
        <v>2</v>
      </c>
      <c r="I81" s="66">
        <v>148</v>
      </c>
      <c r="J81" s="67">
        <v>1</v>
      </c>
      <c r="K81" s="66">
        <v>3</v>
      </c>
      <c r="L81" s="67">
        <v>2</v>
      </c>
      <c r="M81" s="66">
        <v>0</v>
      </c>
      <c r="N81" s="67">
        <v>3</v>
      </c>
      <c r="O81" s="68">
        <v>1</v>
      </c>
      <c r="P81" s="93" t="str">
        <f>IFERROR(CHOOSE(MATCH(A81,'Dataset'!$B$5:$B$11,0),"S₁","S₂","S₃","S₄","S₅","S₆","S₇"),"")</f>
        <v/>
      </c>
    </row>
    <row r="82">
      <c r="A82" s="62">
        <v>78</v>
      </c>
      <c r="B82" s="66">
        <v>39</v>
      </c>
      <c r="C82" s="67">
        <v>0</v>
      </c>
      <c r="D82" s="67">
        <v>3</v>
      </c>
      <c r="E82" s="66">
        <v>94</v>
      </c>
      <c r="F82" s="66">
        <v>199</v>
      </c>
      <c r="G82" s="67">
        <v>0</v>
      </c>
      <c r="H82" s="67">
        <v>0</v>
      </c>
      <c r="I82" s="66">
        <v>179</v>
      </c>
      <c r="J82" s="67">
        <v>0</v>
      </c>
      <c r="K82" s="66">
        <v>0</v>
      </c>
      <c r="L82" s="67">
        <v>1</v>
      </c>
      <c r="M82" s="66">
        <v>0</v>
      </c>
      <c r="N82" s="67">
        <v>3</v>
      </c>
      <c r="O82" s="68">
        <v>1</v>
      </c>
      <c r="P82" s="93" t="str">
        <f>IFERROR(CHOOSE(MATCH(A82,'Dataset'!$B$5:$B$11,0),"S₁","S₂","S₃","S₄","S₅","S₆","S₇"),"")</f>
        <v/>
      </c>
    </row>
    <row r="83">
      <c r="A83" s="62">
        <v>79</v>
      </c>
      <c r="B83" s="66">
        <v>42</v>
      </c>
      <c r="C83" s="67">
        <v>0</v>
      </c>
      <c r="D83" s="67">
        <v>3</v>
      </c>
      <c r="E83" s="66">
        <v>120</v>
      </c>
      <c r="F83" s="66">
        <v>209</v>
      </c>
      <c r="G83" s="67">
        <v>0</v>
      </c>
      <c r="H83" s="67">
        <v>0</v>
      </c>
      <c r="I83" s="66">
        <v>173</v>
      </c>
      <c r="J83" s="67">
        <v>0</v>
      </c>
      <c r="K83" s="66">
        <v>0</v>
      </c>
      <c r="L83" s="67">
        <v>2</v>
      </c>
      <c r="M83" s="66">
        <v>0</v>
      </c>
      <c r="N83" s="67">
        <v>3</v>
      </c>
      <c r="O83" s="68">
        <v>1</v>
      </c>
      <c r="P83" s="93" t="str">
        <f>IFERROR(CHOOSE(MATCH(A83,'Dataset'!$B$5:$B$11,0),"S₁","S₂","S₃","S₄","S₅","S₆","S₇"),"")</f>
        <v/>
      </c>
    </row>
    <row r="84">
      <c r="A84" s="62">
        <v>80</v>
      </c>
      <c r="B84" s="66">
        <v>56</v>
      </c>
      <c r="C84" s="67">
        <v>1</v>
      </c>
      <c r="D84" s="67">
        <v>2</v>
      </c>
      <c r="E84" s="66">
        <v>120</v>
      </c>
      <c r="F84" s="66">
        <v>236</v>
      </c>
      <c r="G84" s="67">
        <v>0</v>
      </c>
      <c r="H84" s="67">
        <v>0</v>
      </c>
      <c r="I84" s="66">
        <v>178</v>
      </c>
      <c r="J84" s="67">
        <v>0</v>
      </c>
      <c r="K84" s="66">
        <v>0.8</v>
      </c>
      <c r="L84" s="67">
        <v>1</v>
      </c>
      <c r="M84" s="66">
        <v>0</v>
      </c>
      <c r="N84" s="67">
        <v>3</v>
      </c>
      <c r="O84" s="68">
        <v>1</v>
      </c>
      <c r="P84" s="93" t="str">
        <f>IFERROR(CHOOSE(MATCH(A84,'Dataset'!$B$5:$B$11,0),"S₁","S₂","S₃","S₄","S₅","S₆","S₇"),"")</f>
        <v/>
      </c>
    </row>
    <row r="85">
      <c r="A85" s="62">
        <v>81</v>
      </c>
      <c r="B85" s="66">
        <v>58</v>
      </c>
      <c r="C85" s="67">
        <v>1</v>
      </c>
      <c r="D85" s="67">
        <v>4</v>
      </c>
      <c r="E85" s="66">
        <v>146</v>
      </c>
      <c r="F85" s="66">
        <v>218</v>
      </c>
      <c r="G85" s="67">
        <v>0</v>
      </c>
      <c r="H85" s="67">
        <v>0</v>
      </c>
      <c r="I85" s="66">
        <v>105</v>
      </c>
      <c r="J85" s="67">
        <v>0</v>
      </c>
      <c r="K85" s="66">
        <v>2</v>
      </c>
      <c r="L85" s="67">
        <v>2</v>
      </c>
      <c r="M85" s="66">
        <v>1</v>
      </c>
      <c r="N85" s="67">
        <v>7</v>
      </c>
      <c r="O85" s="68">
        <v>2</v>
      </c>
      <c r="P85" s="93" t="str">
        <f>IFERROR(CHOOSE(MATCH(A85,'Dataset'!$B$5:$B$11,0),"S₁","S₂","S₃","S₄","S₅","S₆","S₇"),"")</f>
        <v/>
      </c>
    </row>
    <row r="86">
      <c r="A86" s="62">
        <v>82</v>
      </c>
      <c r="B86" s="66">
        <v>35</v>
      </c>
      <c r="C86" s="67">
        <v>1</v>
      </c>
      <c r="D86" s="67">
        <v>4</v>
      </c>
      <c r="E86" s="66">
        <v>120</v>
      </c>
      <c r="F86" s="66">
        <v>198</v>
      </c>
      <c r="G86" s="67">
        <v>0</v>
      </c>
      <c r="H86" s="67">
        <v>0</v>
      </c>
      <c r="I86" s="66">
        <v>130</v>
      </c>
      <c r="J86" s="67">
        <v>1</v>
      </c>
      <c r="K86" s="66">
        <v>1.6</v>
      </c>
      <c r="L86" s="67">
        <v>2</v>
      </c>
      <c r="M86" s="66">
        <v>0</v>
      </c>
      <c r="N86" s="67">
        <v>7</v>
      </c>
      <c r="O86" s="68">
        <v>2</v>
      </c>
      <c r="P86" s="93" t="str">
        <f>IFERROR(CHOOSE(MATCH(A86,'Dataset'!$B$5:$B$11,0),"S₁","S₂","S₃","S₄","S₅","S₆","S₇"),"")</f>
        <v/>
      </c>
    </row>
    <row r="87">
      <c r="A87" s="62">
        <v>83</v>
      </c>
      <c r="B87" s="66">
        <v>58</v>
      </c>
      <c r="C87" s="67">
        <v>1</v>
      </c>
      <c r="D87" s="67">
        <v>4</v>
      </c>
      <c r="E87" s="66">
        <v>150</v>
      </c>
      <c r="F87" s="66">
        <v>270</v>
      </c>
      <c r="G87" s="67">
        <v>0</v>
      </c>
      <c r="H87" s="67">
        <v>2</v>
      </c>
      <c r="I87" s="66">
        <v>111</v>
      </c>
      <c r="J87" s="67">
        <v>1</v>
      </c>
      <c r="K87" s="66">
        <v>0.8</v>
      </c>
      <c r="L87" s="67">
        <v>1</v>
      </c>
      <c r="M87" s="66">
        <v>0</v>
      </c>
      <c r="N87" s="67">
        <v>7</v>
      </c>
      <c r="O87" s="68">
        <v>2</v>
      </c>
      <c r="P87" s="93" t="str">
        <f>IFERROR(CHOOSE(MATCH(A87,'Dataset'!$B$5:$B$11,0),"S₁","S₂","S₃","S₄","S₅","S₆","S₇"),"")</f>
        <v/>
      </c>
    </row>
    <row r="88">
      <c r="A88" s="62">
        <v>84</v>
      </c>
      <c r="B88" s="66">
        <v>41</v>
      </c>
      <c r="C88" s="67">
        <v>1</v>
      </c>
      <c r="D88" s="67">
        <v>3</v>
      </c>
      <c r="E88" s="66">
        <v>130</v>
      </c>
      <c r="F88" s="66">
        <v>214</v>
      </c>
      <c r="G88" s="67">
        <v>0</v>
      </c>
      <c r="H88" s="67">
        <v>2</v>
      </c>
      <c r="I88" s="66">
        <v>168</v>
      </c>
      <c r="J88" s="67">
        <v>0</v>
      </c>
      <c r="K88" s="66">
        <v>2</v>
      </c>
      <c r="L88" s="67">
        <v>2</v>
      </c>
      <c r="M88" s="66">
        <v>0</v>
      </c>
      <c r="N88" s="67">
        <v>3</v>
      </c>
      <c r="O88" s="68">
        <v>1</v>
      </c>
      <c r="P88" s="93" t="str">
        <f>IFERROR(CHOOSE(MATCH(A88,'Dataset'!$B$5:$B$11,0),"S₁","S₂","S₃","S₄","S₅","S₆","S₇"),"")</f>
        <v/>
      </c>
    </row>
    <row r="89">
      <c r="A89" s="62">
        <v>85</v>
      </c>
      <c r="B89" s="66">
        <v>57</v>
      </c>
      <c r="C89" s="67">
        <v>1</v>
      </c>
      <c r="D89" s="67">
        <v>4</v>
      </c>
      <c r="E89" s="66">
        <v>110</v>
      </c>
      <c r="F89" s="66">
        <v>201</v>
      </c>
      <c r="G89" s="67">
        <v>0</v>
      </c>
      <c r="H89" s="67">
        <v>0</v>
      </c>
      <c r="I89" s="66">
        <v>126</v>
      </c>
      <c r="J89" s="67">
        <v>1</v>
      </c>
      <c r="K89" s="66">
        <v>1.5</v>
      </c>
      <c r="L89" s="67">
        <v>2</v>
      </c>
      <c r="M89" s="66">
        <v>0</v>
      </c>
      <c r="N89" s="67">
        <v>6</v>
      </c>
      <c r="O89" s="68">
        <v>1</v>
      </c>
      <c r="P89" s="93" t="str">
        <f>IFERROR(CHOOSE(MATCH(A89,'Dataset'!$B$5:$B$11,0),"S₁","S₂","S₃","S₄","S₅","S₆","S₇"),"")</f>
        <v/>
      </c>
    </row>
    <row r="90">
      <c r="A90" s="62">
        <v>86</v>
      </c>
      <c r="B90" s="66">
        <v>42</v>
      </c>
      <c r="C90" s="67">
        <v>1</v>
      </c>
      <c r="D90" s="67">
        <v>1</v>
      </c>
      <c r="E90" s="66">
        <v>148</v>
      </c>
      <c r="F90" s="66">
        <v>244</v>
      </c>
      <c r="G90" s="67">
        <v>0</v>
      </c>
      <c r="H90" s="67">
        <v>2</v>
      </c>
      <c r="I90" s="66">
        <v>178</v>
      </c>
      <c r="J90" s="67">
        <v>0</v>
      </c>
      <c r="K90" s="66">
        <v>0.8</v>
      </c>
      <c r="L90" s="67">
        <v>1</v>
      </c>
      <c r="M90" s="66">
        <v>2</v>
      </c>
      <c r="N90" s="67">
        <v>3</v>
      </c>
      <c r="O90" s="68">
        <v>1</v>
      </c>
      <c r="P90" s="93" t="str">
        <f>IFERROR(CHOOSE(MATCH(A90,'Dataset'!$B$5:$B$11,0),"S₁","S₂","S₃","S₄","S₅","S₆","S₇"),"")</f>
        <v/>
      </c>
    </row>
    <row r="91">
      <c r="A91" s="62">
        <v>87</v>
      </c>
      <c r="B91" s="66">
        <v>62</v>
      </c>
      <c r="C91" s="67">
        <v>1</v>
      </c>
      <c r="D91" s="67">
        <v>2</v>
      </c>
      <c r="E91" s="66">
        <v>128</v>
      </c>
      <c r="F91" s="66">
        <v>208</v>
      </c>
      <c r="G91" s="67">
        <v>1</v>
      </c>
      <c r="H91" s="67">
        <v>2</v>
      </c>
      <c r="I91" s="66">
        <v>140</v>
      </c>
      <c r="J91" s="67">
        <v>0</v>
      </c>
      <c r="K91" s="66">
        <v>0</v>
      </c>
      <c r="L91" s="67">
        <v>1</v>
      </c>
      <c r="M91" s="66">
        <v>0</v>
      </c>
      <c r="N91" s="67">
        <v>3</v>
      </c>
      <c r="O91" s="68">
        <v>1</v>
      </c>
      <c r="P91" s="93" t="str">
        <f>IFERROR(CHOOSE(MATCH(A91,'Dataset'!$B$5:$B$11,0),"S₁","S₂","S₃","S₄","S₅","S₆","S₇"),"")</f>
        <v/>
      </c>
    </row>
    <row r="92">
      <c r="A92" s="62">
        <v>88</v>
      </c>
      <c r="B92" s="66">
        <v>59</v>
      </c>
      <c r="C92" s="67">
        <v>1</v>
      </c>
      <c r="D92" s="67">
        <v>1</v>
      </c>
      <c r="E92" s="66">
        <v>178</v>
      </c>
      <c r="F92" s="66">
        <v>270</v>
      </c>
      <c r="G92" s="67">
        <v>0</v>
      </c>
      <c r="H92" s="67">
        <v>2</v>
      </c>
      <c r="I92" s="66">
        <v>145</v>
      </c>
      <c r="J92" s="67">
        <v>0</v>
      </c>
      <c r="K92" s="66">
        <v>4.2</v>
      </c>
      <c r="L92" s="67">
        <v>3</v>
      </c>
      <c r="M92" s="66">
        <v>0</v>
      </c>
      <c r="N92" s="67">
        <v>7</v>
      </c>
      <c r="O92" s="68">
        <v>1</v>
      </c>
      <c r="P92" s="93" t="str">
        <f>IFERROR(CHOOSE(MATCH(A92,'Dataset'!$B$5:$B$11,0),"S₁","S₂","S₃","S₄","S₅","S₆","S₇"),"")</f>
        <v/>
      </c>
    </row>
    <row r="93">
      <c r="A93" s="62">
        <v>89</v>
      </c>
      <c r="B93" s="66">
        <v>41</v>
      </c>
      <c r="C93" s="67">
        <v>0</v>
      </c>
      <c r="D93" s="67">
        <v>2</v>
      </c>
      <c r="E93" s="66">
        <v>126</v>
      </c>
      <c r="F93" s="66">
        <v>306</v>
      </c>
      <c r="G93" s="67">
        <v>0</v>
      </c>
      <c r="H93" s="67">
        <v>0</v>
      </c>
      <c r="I93" s="66">
        <v>163</v>
      </c>
      <c r="J93" s="67">
        <v>0</v>
      </c>
      <c r="K93" s="66">
        <v>0</v>
      </c>
      <c r="L93" s="67">
        <v>1</v>
      </c>
      <c r="M93" s="66">
        <v>0</v>
      </c>
      <c r="N93" s="67">
        <v>3</v>
      </c>
      <c r="O93" s="68">
        <v>1</v>
      </c>
      <c r="P93" s="93" t="str">
        <f>IFERROR(CHOOSE(MATCH(A93,'Dataset'!$B$5:$B$11,0),"S₁","S₂","S₃","S₄","S₅","S₆","S₇"),"")</f>
        <v/>
      </c>
    </row>
    <row r="94">
      <c r="A94" s="62">
        <v>90</v>
      </c>
      <c r="B94" s="66">
        <v>50</v>
      </c>
      <c r="C94" s="67">
        <v>1</v>
      </c>
      <c r="D94" s="67">
        <v>4</v>
      </c>
      <c r="E94" s="66">
        <v>150</v>
      </c>
      <c r="F94" s="66">
        <v>243</v>
      </c>
      <c r="G94" s="67">
        <v>0</v>
      </c>
      <c r="H94" s="67">
        <v>2</v>
      </c>
      <c r="I94" s="66">
        <v>128</v>
      </c>
      <c r="J94" s="67">
        <v>0</v>
      </c>
      <c r="K94" s="66">
        <v>2.6</v>
      </c>
      <c r="L94" s="67">
        <v>2</v>
      </c>
      <c r="M94" s="66">
        <v>0</v>
      </c>
      <c r="N94" s="67">
        <v>7</v>
      </c>
      <c r="O94" s="68">
        <v>2</v>
      </c>
      <c r="P94" s="93" t="str">
        <f>IFERROR(CHOOSE(MATCH(A94,'Dataset'!$B$5:$B$11,0),"S₁","S₂","S₃","S₄","S₅","S₆","S₇"),"")</f>
        <v/>
      </c>
    </row>
    <row r="95">
      <c r="A95" s="62">
        <v>91</v>
      </c>
      <c r="B95" s="66">
        <v>59</v>
      </c>
      <c r="C95" s="67">
        <v>1</v>
      </c>
      <c r="D95" s="67">
        <v>2</v>
      </c>
      <c r="E95" s="66">
        <v>140</v>
      </c>
      <c r="F95" s="66">
        <v>221</v>
      </c>
      <c r="G95" s="67">
        <v>0</v>
      </c>
      <c r="H95" s="67">
        <v>0</v>
      </c>
      <c r="I95" s="66">
        <v>164</v>
      </c>
      <c r="J95" s="67">
        <v>1</v>
      </c>
      <c r="K95" s="66">
        <v>0</v>
      </c>
      <c r="L95" s="67">
        <v>1</v>
      </c>
      <c r="M95" s="66">
        <v>0</v>
      </c>
      <c r="N95" s="67">
        <v>3</v>
      </c>
      <c r="O95" s="68">
        <v>1</v>
      </c>
      <c r="P95" s="93" t="str">
        <f>IFERROR(CHOOSE(MATCH(A95,'Dataset'!$B$5:$B$11,0),"S₁","S₂","S₃","S₄","S₅","S₆","S₇"),"")</f>
        <v/>
      </c>
    </row>
    <row r="96">
      <c r="A96" s="62">
        <v>92</v>
      </c>
      <c r="B96" s="66">
        <v>61</v>
      </c>
      <c r="C96" s="67">
        <v>0</v>
      </c>
      <c r="D96" s="67">
        <v>4</v>
      </c>
      <c r="E96" s="66">
        <v>130</v>
      </c>
      <c r="F96" s="66">
        <v>330</v>
      </c>
      <c r="G96" s="67">
        <v>0</v>
      </c>
      <c r="H96" s="67">
        <v>2</v>
      </c>
      <c r="I96" s="66">
        <v>169</v>
      </c>
      <c r="J96" s="67">
        <v>0</v>
      </c>
      <c r="K96" s="66">
        <v>0</v>
      </c>
      <c r="L96" s="67">
        <v>1</v>
      </c>
      <c r="M96" s="66">
        <v>0</v>
      </c>
      <c r="N96" s="67">
        <v>3</v>
      </c>
      <c r="O96" s="68">
        <v>2</v>
      </c>
      <c r="P96" s="93" t="str">
        <f>IFERROR(CHOOSE(MATCH(A96,'Dataset'!$B$5:$B$11,0),"S₁","S₂","S₃","S₄","S₅","S₆","S₇"),"")</f>
        <v/>
      </c>
    </row>
    <row r="97">
      <c r="A97" s="62">
        <v>93</v>
      </c>
      <c r="B97" s="66">
        <v>54</v>
      </c>
      <c r="C97" s="67">
        <v>1</v>
      </c>
      <c r="D97" s="67">
        <v>4</v>
      </c>
      <c r="E97" s="66">
        <v>124</v>
      </c>
      <c r="F97" s="66">
        <v>266</v>
      </c>
      <c r="G97" s="67">
        <v>0</v>
      </c>
      <c r="H97" s="67">
        <v>2</v>
      </c>
      <c r="I97" s="66">
        <v>109</v>
      </c>
      <c r="J97" s="67">
        <v>1</v>
      </c>
      <c r="K97" s="66">
        <v>2.2</v>
      </c>
      <c r="L97" s="67">
        <v>2</v>
      </c>
      <c r="M97" s="66">
        <v>1</v>
      </c>
      <c r="N97" s="67">
        <v>7</v>
      </c>
      <c r="O97" s="68">
        <v>2</v>
      </c>
      <c r="P97" s="93" t="str">
        <f>IFERROR(CHOOSE(MATCH(A97,'Dataset'!$B$5:$B$11,0),"S₁","S₂","S₃","S₄","S₅","S₆","S₇"),"")</f>
        <v/>
      </c>
    </row>
    <row r="98">
      <c r="A98" s="62">
        <v>94</v>
      </c>
      <c r="B98" s="66">
        <v>54</v>
      </c>
      <c r="C98" s="67">
        <v>1</v>
      </c>
      <c r="D98" s="67">
        <v>4</v>
      </c>
      <c r="E98" s="66">
        <v>110</v>
      </c>
      <c r="F98" s="66">
        <v>206</v>
      </c>
      <c r="G98" s="67">
        <v>0</v>
      </c>
      <c r="H98" s="67">
        <v>2</v>
      </c>
      <c r="I98" s="66">
        <v>108</v>
      </c>
      <c r="J98" s="67">
        <v>1</v>
      </c>
      <c r="K98" s="66">
        <v>0</v>
      </c>
      <c r="L98" s="67">
        <v>2</v>
      </c>
      <c r="M98" s="66">
        <v>1</v>
      </c>
      <c r="N98" s="67">
        <v>3</v>
      </c>
      <c r="O98" s="68">
        <v>2</v>
      </c>
      <c r="P98" s="93" t="str">
        <f>IFERROR(CHOOSE(MATCH(A98,'Dataset'!$B$5:$B$11,0),"S₁","S₂","S₃","S₄","S₅","S₆","S₇"),"")</f>
        <v/>
      </c>
    </row>
    <row r="99">
      <c r="A99" s="62">
        <v>95</v>
      </c>
      <c r="B99" s="66">
        <v>52</v>
      </c>
      <c r="C99" s="67">
        <v>1</v>
      </c>
      <c r="D99" s="67">
        <v>4</v>
      </c>
      <c r="E99" s="66">
        <v>125</v>
      </c>
      <c r="F99" s="66">
        <v>212</v>
      </c>
      <c r="G99" s="67">
        <v>0</v>
      </c>
      <c r="H99" s="67">
        <v>0</v>
      </c>
      <c r="I99" s="66">
        <v>168</v>
      </c>
      <c r="J99" s="67">
        <v>0</v>
      </c>
      <c r="K99" s="66">
        <v>1</v>
      </c>
      <c r="L99" s="67">
        <v>1</v>
      </c>
      <c r="M99" s="66">
        <v>2</v>
      </c>
      <c r="N99" s="67">
        <v>7</v>
      </c>
      <c r="O99" s="68">
        <v>2</v>
      </c>
      <c r="P99" s="93" t="str">
        <f>IFERROR(CHOOSE(MATCH(A99,'Dataset'!$B$5:$B$11,0),"S₁","S₂","S₃","S₄","S₅","S₆","S₇"),"")</f>
        <v/>
      </c>
    </row>
    <row r="100">
      <c r="A100" s="62">
        <v>96</v>
      </c>
      <c r="B100" s="66">
        <v>47</v>
      </c>
      <c r="C100" s="67">
        <v>1</v>
      </c>
      <c r="D100" s="67">
        <v>4</v>
      </c>
      <c r="E100" s="66">
        <v>110</v>
      </c>
      <c r="F100" s="66">
        <v>275</v>
      </c>
      <c r="G100" s="67">
        <v>0</v>
      </c>
      <c r="H100" s="67">
        <v>2</v>
      </c>
      <c r="I100" s="66">
        <v>118</v>
      </c>
      <c r="J100" s="67">
        <v>1</v>
      </c>
      <c r="K100" s="66">
        <v>1</v>
      </c>
      <c r="L100" s="67">
        <v>2</v>
      </c>
      <c r="M100" s="66">
        <v>1</v>
      </c>
      <c r="N100" s="67">
        <v>3</v>
      </c>
      <c r="O100" s="68">
        <v>2</v>
      </c>
      <c r="P100" s="93" t="str">
        <f>IFERROR(CHOOSE(MATCH(A100,'Dataset'!$B$5:$B$11,0),"S₁","S₂","S₃","S₄","S₅","S₆","S₇"),"")</f>
        <v/>
      </c>
    </row>
    <row r="101">
      <c r="A101" s="62">
        <v>97</v>
      </c>
      <c r="B101" s="66">
        <v>66</v>
      </c>
      <c r="C101" s="67">
        <v>1</v>
      </c>
      <c r="D101" s="67">
        <v>4</v>
      </c>
      <c r="E101" s="66">
        <v>120</v>
      </c>
      <c r="F101" s="66">
        <v>302</v>
      </c>
      <c r="G101" s="67">
        <v>0</v>
      </c>
      <c r="H101" s="67">
        <v>2</v>
      </c>
      <c r="I101" s="66">
        <v>151</v>
      </c>
      <c r="J101" s="67">
        <v>0</v>
      </c>
      <c r="K101" s="66">
        <v>0.4</v>
      </c>
      <c r="L101" s="67">
        <v>2</v>
      </c>
      <c r="M101" s="66">
        <v>0</v>
      </c>
      <c r="N101" s="67">
        <v>3</v>
      </c>
      <c r="O101" s="68">
        <v>1</v>
      </c>
      <c r="P101" s="93" t="str">
        <f>IFERROR(CHOOSE(MATCH(A101,'Dataset'!$B$5:$B$11,0),"S₁","S₂","S₃","S₄","S₅","S₆","S₇"),"")</f>
        <v/>
      </c>
    </row>
    <row r="102">
      <c r="A102" s="62">
        <v>98</v>
      </c>
      <c r="B102" s="66">
        <v>58</v>
      </c>
      <c r="C102" s="67">
        <v>1</v>
      </c>
      <c r="D102" s="67">
        <v>4</v>
      </c>
      <c r="E102" s="66">
        <v>100</v>
      </c>
      <c r="F102" s="66">
        <v>234</v>
      </c>
      <c r="G102" s="67">
        <v>0</v>
      </c>
      <c r="H102" s="67">
        <v>0</v>
      </c>
      <c r="I102" s="66">
        <v>156</v>
      </c>
      <c r="J102" s="67">
        <v>0</v>
      </c>
      <c r="K102" s="66">
        <v>0.1</v>
      </c>
      <c r="L102" s="67">
        <v>1</v>
      </c>
      <c r="M102" s="66">
        <v>1</v>
      </c>
      <c r="N102" s="67">
        <v>7</v>
      </c>
      <c r="O102" s="68">
        <v>2</v>
      </c>
      <c r="P102" s="93" t="str">
        <f>IFERROR(CHOOSE(MATCH(A102,'Dataset'!$B$5:$B$11,0),"S₁","S₂","S₃","S₄","S₅","S₆","S₇"),"")</f>
        <v/>
      </c>
    </row>
    <row r="103">
      <c r="A103" s="62">
        <v>99</v>
      </c>
      <c r="B103" s="66">
        <v>64</v>
      </c>
      <c r="C103" s="67">
        <v>0</v>
      </c>
      <c r="D103" s="67">
        <v>3</v>
      </c>
      <c r="E103" s="66">
        <v>140</v>
      </c>
      <c r="F103" s="66">
        <v>313</v>
      </c>
      <c r="G103" s="67">
        <v>0</v>
      </c>
      <c r="H103" s="67">
        <v>0</v>
      </c>
      <c r="I103" s="66">
        <v>133</v>
      </c>
      <c r="J103" s="67">
        <v>0</v>
      </c>
      <c r="K103" s="66">
        <v>0.2</v>
      </c>
      <c r="L103" s="67">
        <v>1</v>
      </c>
      <c r="M103" s="66">
        <v>0</v>
      </c>
      <c r="N103" s="67">
        <v>7</v>
      </c>
      <c r="O103" s="68">
        <v>1</v>
      </c>
      <c r="P103" s="93" t="str">
        <f>IFERROR(CHOOSE(MATCH(A103,'Dataset'!$B$5:$B$11,0),"S₁","S₂","S₃","S₄","S₅","S₆","S₇"),"")</f>
        <v/>
      </c>
    </row>
    <row r="104">
      <c r="A104" s="62">
        <v>100</v>
      </c>
      <c r="B104" s="66">
        <v>50</v>
      </c>
      <c r="C104" s="67">
        <v>0</v>
      </c>
      <c r="D104" s="67">
        <v>2</v>
      </c>
      <c r="E104" s="66">
        <v>120</v>
      </c>
      <c r="F104" s="66">
        <v>244</v>
      </c>
      <c r="G104" s="67">
        <v>0</v>
      </c>
      <c r="H104" s="67">
        <v>0</v>
      </c>
      <c r="I104" s="66">
        <v>162</v>
      </c>
      <c r="J104" s="67">
        <v>0</v>
      </c>
      <c r="K104" s="66">
        <v>1.1</v>
      </c>
      <c r="L104" s="67">
        <v>1</v>
      </c>
      <c r="M104" s="66">
        <v>0</v>
      </c>
      <c r="N104" s="67">
        <v>3</v>
      </c>
      <c r="O104" s="68">
        <v>1</v>
      </c>
      <c r="P104" s="93" t="str">
        <f>IFERROR(CHOOSE(MATCH(A104,'Dataset'!$B$5:$B$11,0),"S₁","S₂","S₃","S₄","S₅","S₆","S₇"),"")</f>
        <v/>
      </c>
    </row>
    <row r="105">
      <c r="A105" s="62">
        <v>101</v>
      </c>
      <c r="B105" s="66">
        <v>44</v>
      </c>
      <c r="C105" s="67">
        <v>0</v>
      </c>
      <c r="D105" s="67">
        <v>3</v>
      </c>
      <c r="E105" s="66">
        <v>108</v>
      </c>
      <c r="F105" s="66">
        <v>141</v>
      </c>
      <c r="G105" s="67">
        <v>0</v>
      </c>
      <c r="H105" s="67">
        <v>0</v>
      </c>
      <c r="I105" s="66">
        <v>175</v>
      </c>
      <c r="J105" s="67">
        <v>0</v>
      </c>
      <c r="K105" s="66">
        <v>0.6</v>
      </c>
      <c r="L105" s="67">
        <v>2</v>
      </c>
      <c r="M105" s="66">
        <v>0</v>
      </c>
      <c r="N105" s="67">
        <v>3</v>
      </c>
      <c r="O105" s="68">
        <v>1</v>
      </c>
      <c r="P105" s="93" t="str">
        <f>IFERROR(CHOOSE(MATCH(A105,'Dataset'!$B$5:$B$11,0),"S₁","S₂","S₃","S₄","S₅","S₆","S₇"),"")</f>
        <v/>
      </c>
    </row>
    <row r="106">
      <c r="A106" s="62">
        <v>102</v>
      </c>
      <c r="B106" s="66">
        <v>67</v>
      </c>
      <c r="C106" s="67">
        <v>1</v>
      </c>
      <c r="D106" s="67">
        <v>4</v>
      </c>
      <c r="E106" s="66">
        <v>120</v>
      </c>
      <c r="F106" s="66">
        <v>237</v>
      </c>
      <c r="G106" s="67">
        <v>0</v>
      </c>
      <c r="H106" s="67">
        <v>0</v>
      </c>
      <c r="I106" s="66">
        <v>71</v>
      </c>
      <c r="J106" s="67">
        <v>0</v>
      </c>
      <c r="K106" s="66">
        <v>1</v>
      </c>
      <c r="L106" s="67">
        <v>2</v>
      </c>
      <c r="M106" s="66">
        <v>0</v>
      </c>
      <c r="N106" s="67">
        <v>3</v>
      </c>
      <c r="O106" s="68">
        <v>2</v>
      </c>
      <c r="P106" s="93" t="str">
        <f>IFERROR(CHOOSE(MATCH(A106,'Dataset'!$B$5:$B$11,0),"S₁","S₂","S₃","S₄","S₅","S₆","S₇"),"")</f>
        <v/>
      </c>
    </row>
    <row r="107">
      <c r="A107" s="62">
        <v>103</v>
      </c>
      <c r="B107" s="66">
        <v>49</v>
      </c>
      <c r="C107" s="67">
        <v>0</v>
      </c>
      <c r="D107" s="67">
        <v>4</v>
      </c>
      <c r="E107" s="66">
        <v>130</v>
      </c>
      <c r="F107" s="66">
        <v>269</v>
      </c>
      <c r="G107" s="67">
        <v>0</v>
      </c>
      <c r="H107" s="67">
        <v>0</v>
      </c>
      <c r="I107" s="66">
        <v>163</v>
      </c>
      <c r="J107" s="67">
        <v>0</v>
      </c>
      <c r="K107" s="66">
        <v>0</v>
      </c>
      <c r="L107" s="67">
        <v>1</v>
      </c>
      <c r="M107" s="66">
        <v>0</v>
      </c>
      <c r="N107" s="67">
        <v>3</v>
      </c>
      <c r="O107" s="68">
        <v>1</v>
      </c>
      <c r="P107" s="93" t="str">
        <f>IFERROR(CHOOSE(MATCH(A107,'Dataset'!$B$5:$B$11,0),"S₁","S₂","S₃","S₄","S₅","S₆","S₇"),"")</f>
        <v/>
      </c>
    </row>
    <row r="108">
      <c r="A108" s="62">
        <v>104</v>
      </c>
      <c r="B108" s="66">
        <v>57</v>
      </c>
      <c r="C108" s="67">
        <v>1</v>
      </c>
      <c r="D108" s="67">
        <v>4</v>
      </c>
      <c r="E108" s="66">
        <v>165</v>
      </c>
      <c r="F108" s="66">
        <v>289</v>
      </c>
      <c r="G108" s="67">
        <v>1</v>
      </c>
      <c r="H108" s="67">
        <v>2</v>
      </c>
      <c r="I108" s="66">
        <v>124</v>
      </c>
      <c r="J108" s="67">
        <v>0</v>
      </c>
      <c r="K108" s="66">
        <v>1</v>
      </c>
      <c r="L108" s="67">
        <v>2</v>
      </c>
      <c r="M108" s="66">
        <v>3</v>
      </c>
      <c r="N108" s="67">
        <v>7</v>
      </c>
      <c r="O108" s="68">
        <v>2</v>
      </c>
      <c r="P108" s="93" t="str">
        <f>IFERROR(CHOOSE(MATCH(A108,'Dataset'!$B$5:$B$11,0),"S₁","S₂","S₃","S₄","S₅","S₆","S₇"),"")</f>
        <v/>
      </c>
    </row>
    <row r="109">
      <c r="A109" s="62">
        <v>105</v>
      </c>
      <c r="B109" s="66">
        <v>63</v>
      </c>
      <c r="C109" s="67">
        <v>1</v>
      </c>
      <c r="D109" s="67">
        <v>4</v>
      </c>
      <c r="E109" s="66">
        <v>130</v>
      </c>
      <c r="F109" s="66">
        <v>254</v>
      </c>
      <c r="G109" s="67">
        <v>0</v>
      </c>
      <c r="H109" s="67">
        <v>2</v>
      </c>
      <c r="I109" s="66">
        <v>147</v>
      </c>
      <c r="J109" s="67">
        <v>0</v>
      </c>
      <c r="K109" s="66">
        <v>1.4</v>
      </c>
      <c r="L109" s="67">
        <v>2</v>
      </c>
      <c r="M109" s="66">
        <v>1</v>
      </c>
      <c r="N109" s="67">
        <v>7</v>
      </c>
      <c r="O109" s="68">
        <v>2</v>
      </c>
      <c r="P109" s="93" t="str">
        <f>IFERROR(CHOOSE(MATCH(A109,'Dataset'!$B$5:$B$11,0),"S₁","S₂","S₃","S₄","S₅","S₆","S₇"),"")</f>
        <v/>
      </c>
    </row>
    <row r="110">
      <c r="A110" s="62">
        <v>106</v>
      </c>
      <c r="B110" s="66">
        <v>48</v>
      </c>
      <c r="C110" s="67">
        <v>1</v>
      </c>
      <c r="D110" s="67">
        <v>4</v>
      </c>
      <c r="E110" s="66">
        <v>124</v>
      </c>
      <c r="F110" s="66">
        <v>274</v>
      </c>
      <c r="G110" s="67">
        <v>0</v>
      </c>
      <c r="H110" s="67">
        <v>2</v>
      </c>
      <c r="I110" s="66">
        <v>166</v>
      </c>
      <c r="J110" s="67">
        <v>0</v>
      </c>
      <c r="K110" s="66">
        <v>0.5</v>
      </c>
      <c r="L110" s="67">
        <v>2</v>
      </c>
      <c r="M110" s="66">
        <v>0</v>
      </c>
      <c r="N110" s="67">
        <v>7</v>
      </c>
      <c r="O110" s="68">
        <v>2</v>
      </c>
      <c r="P110" s="93" t="str">
        <f>IFERROR(CHOOSE(MATCH(A110,'Dataset'!$B$5:$B$11,0),"S₁","S₂","S₃","S₄","S₅","S₆","S₇"),"")</f>
        <v/>
      </c>
    </row>
    <row r="111">
      <c r="A111" s="62">
        <v>107</v>
      </c>
      <c r="B111" s="66">
        <v>51</v>
      </c>
      <c r="C111" s="67">
        <v>1</v>
      </c>
      <c r="D111" s="67">
        <v>3</v>
      </c>
      <c r="E111" s="66">
        <v>100</v>
      </c>
      <c r="F111" s="66">
        <v>222</v>
      </c>
      <c r="G111" s="67">
        <v>0</v>
      </c>
      <c r="H111" s="67">
        <v>0</v>
      </c>
      <c r="I111" s="66">
        <v>143</v>
      </c>
      <c r="J111" s="67">
        <v>1</v>
      </c>
      <c r="K111" s="66">
        <v>1.2</v>
      </c>
      <c r="L111" s="67">
        <v>2</v>
      </c>
      <c r="M111" s="66">
        <v>0</v>
      </c>
      <c r="N111" s="67">
        <v>3</v>
      </c>
      <c r="O111" s="68">
        <v>1</v>
      </c>
      <c r="P111" s="93" t="str">
        <f>IFERROR(CHOOSE(MATCH(A111,'Dataset'!$B$5:$B$11,0),"S₁","S₂","S₃","S₄","S₅","S₆","S₇"),"")</f>
        <v/>
      </c>
    </row>
    <row r="112">
      <c r="A112" s="62">
        <v>108</v>
      </c>
      <c r="B112" s="66">
        <v>60</v>
      </c>
      <c r="C112" s="67">
        <v>0</v>
      </c>
      <c r="D112" s="67">
        <v>4</v>
      </c>
      <c r="E112" s="66">
        <v>150</v>
      </c>
      <c r="F112" s="66">
        <v>258</v>
      </c>
      <c r="G112" s="67">
        <v>0</v>
      </c>
      <c r="H112" s="67">
        <v>2</v>
      </c>
      <c r="I112" s="66">
        <v>157</v>
      </c>
      <c r="J112" s="67">
        <v>0</v>
      </c>
      <c r="K112" s="66">
        <v>2.6</v>
      </c>
      <c r="L112" s="67">
        <v>2</v>
      </c>
      <c r="M112" s="66">
        <v>2</v>
      </c>
      <c r="N112" s="67">
        <v>7</v>
      </c>
      <c r="O112" s="68">
        <v>2</v>
      </c>
      <c r="P112" s="93" t="str">
        <f>IFERROR(CHOOSE(MATCH(A112,'Dataset'!$B$5:$B$11,0),"S₁","S₂","S₃","S₄","S₅","S₆","S₇"),"")</f>
        <v/>
      </c>
    </row>
    <row r="113">
      <c r="A113" s="62">
        <v>109</v>
      </c>
      <c r="B113" s="66">
        <v>59</v>
      </c>
      <c r="C113" s="67">
        <v>1</v>
      </c>
      <c r="D113" s="67">
        <v>4</v>
      </c>
      <c r="E113" s="66">
        <v>140</v>
      </c>
      <c r="F113" s="66">
        <v>177</v>
      </c>
      <c r="G113" s="67">
        <v>0</v>
      </c>
      <c r="H113" s="67">
        <v>0</v>
      </c>
      <c r="I113" s="66">
        <v>162</v>
      </c>
      <c r="J113" s="67">
        <v>1</v>
      </c>
      <c r="K113" s="66">
        <v>0</v>
      </c>
      <c r="L113" s="67">
        <v>1</v>
      </c>
      <c r="M113" s="66">
        <v>1</v>
      </c>
      <c r="N113" s="67">
        <v>7</v>
      </c>
      <c r="O113" s="68">
        <v>2</v>
      </c>
      <c r="P113" s="93" t="str">
        <f>IFERROR(CHOOSE(MATCH(A113,'Dataset'!$B$5:$B$11,0),"S₁","S₂","S₃","S₄","S₅","S₆","S₇"),"")</f>
        <v/>
      </c>
    </row>
    <row r="114">
      <c r="A114" s="62">
        <v>110</v>
      </c>
      <c r="B114" s="66">
        <v>45</v>
      </c>
      <c r="C114" s="67">
        <v>0</v>
      </c>
      <c r="D114" s="67">
        <v>2</v>
      </c>
      <c r="E114" s="66">
        <v>112</v>
      </c>
      <c r="F114" s="66">
        <v>160</v>
      </c>
      <c r="G114" s="67">
        <v>0</v>
      </c>
      <c r="H114" s="67">
        <v>0</v>
      </c>
      <c r="I114" s="66">
        <v>138</v>
      </c>
      <c r="J114" s="67">
        <v>0</v>
      </c>
      <c r="K114" s="66">
        <v>0</v>
      </c>
      <c r="L114" s="67">
        <v>2</v>
      </c>
      <c r="M114" s="66">
        <v>0</v>
      </c>
      <c r="N114" s="67">
        <v>3</v>
      </c>
      <c r="O114" s="68">
        <v>1</v>
      </c>
      <c r="P114" s="93" t="str">
        <f>IFERROR(CHOOSE(MATCH(A114,'Dataset'!$B$5:$B$11,0),"S₁","S₂","S₃","S₄","S₅","S₆","S₇"),"")</f>
        <v/>
      </c>
    </row>
    <row r="115">
      <c r="A115" s="62">
        <v>111</v>
      </c>
      <c r="B115" s="66">
        <v>55</v>
      </c>
      <c r="C115" s="67">
        <v>0</v>
      </c>
      <c r="D115" s="67">
        <v>4</v>
      </c>
      <c r="E115" s="66">
        <v>180</v>
      </c>
      <c r="F115" s="66">
        <v>327</v>
      </c>
      <c r="G115" s="67">
        <v>0</v>
      </c>
      <c r="H115" s="67">
        <v>1</v>
      </c>
      <c r="I115" s="66">
        <v>117</v>
      </c>
      <c r="J115" s="67">
        <v>1</v>
      </c>
      <c r="K115" s="66">
        <v>3.4</v>
      </c>
      <c r="L115" s="67">
        <v>2</v>
      </c>
      <c r="M115" s="66">
        <v>0</v>
      </c>
      <c r="N115" s="67">
        <v>3</v>
      </c>
      <c r="O115" s="68">
        <v>2</v>
      </c>
      <c r="P115" s="93" t="str">
        <f>IFERROR(CHOOSE(MATCH(A115,'Dataset'!$B$5:$B$11,0),"S₁","S₂","S₃","S₄","S₅","S₆","S₇"),"")</f>
        <v/>
      </c>
    </row>
    <row r="116">
      <c r="A116" s="62">
        <v>112</v>
      </c>
      <c r="B116" s="66">
        <v>41</v>
      </c>
      <c r="C116" s="67">
        <v>1</v>
      </c>
      <c r="D116" s="67">
        <v>2</v>
      </c>
      <c r="E116" s="66">
        <v>110</v>
      </c>
      <c r="F116" s="66">
        <v>235</v>
      </c>
      <c r="G116" s="67">
        <v>0</v>
      </c>
      <c r="H116" s="67">
        <v>0</v>
      </c>
      <c r="I116" s="66">
        <v>153</v>
      </c>
      <c r="J116" s="67">
        <v>0</v>
      </c>
      <c r="K116" s="66">
        <v>0</v>
      </c>
      <c r="L116" s="67">
        <v>1</v>
      </c>
      <c r="M116" s="66">
        <v>0</v>
      </c>
      <c r="N116" s="67">
        <v>3</v>
      </c>
      <c r="O116" s="68">
        <v>1</v>
      </c>
      <c r="P116" s="93" t="str">
        <f>IFERROR(CHOOSE(MATCH(A116,'Dataset'!$B$5:$B$11,0),"S₁","S₂","S₃","S₄","S₅","S₆","S₇"),"")</f>
        <v/>
      </c>
    </row>
    <row r="117">
      <c r="A117" s="62">
        <v>113</v>
      </c>
      <c r="B117" s="66">
        <v>60</v>
      </c>
      <c r="C117" s="67">
        <v>0</v>
      </c>
      <c r="D117" s="67">
        <v>4</v>
      </c>
      <c r="E117" s="66">
        <v>158</v>
      </c>
      <c r="F117" s="66">
        <v>305</v>
      </c>
      <c r="G117" s="67">
        <v>0</v>
      </c>
      <c r="H117" s="67">
        <v>2</v>
      </c>
      <c r="I117" s="66">
        <v>161</v>
      </c>
      <c r="J117" s="67">
        <v>0</v>
      </c>
      <c r="K117" s="66">
        <v>0</v>
      </c>
      <c r="L117" s="67">
        <v>1</v>
      </c>
      <c r="M117" s="66">
        <v>0</v>
      </c>
      <c r="N117" s="67">
        <v>3</v>
      </c>
      <c r="O117" s="68">
        <v>2</v>
      </c>
      <c r="P117" s="93" t="str">
        <f>IFERROR(CHOOSE(MATCH(A117,'Dataset'!$B$5:$B$11,0),"S₁","S₂","S₃","S₄","S₅","S₆","S₇"),"")</f>
        <v/>
      </c>
    </row>
    <row r="118">
      <c r="A118" s="62">
        <v>114</v>
      </c>
      <c r="B118" s="66">
        <v>54</v>
      </c>
      <c r="C118" s="67">
        <v>0</v>
      </c>
      <c r="D118" s="67">
        <v>3</v>
      </c>
      <c r="E118" s="66">
        <v>135</v>
      </c>
      <c r="F118" s="66">
        <v>304</v>
      </c>
      <c r="G118" s="67">
        <v>1</v>
      </c>
      <c r="H118" s="67">
        <v>0</v>
      </c>
      <c r="I118" s="66">
        <v>170</v>
      </c>
      <c r="J118" s="67">
        <v>0</v>
      </c>
      <c r="K118" s="66">
        <v>0</v>
      </c>
      <c r="L118" s="67">
        <v>1</v>
      </c>
      <c r="M118" s="66">
        <v>0</v>
      </c>
      <c r="N118" s="67">
        <v>3</v>
      </c>
      <c r="O118" s="68">
        <v>1</v>
      </c>
      <c r="P118" s="93" t="str">
        <f>IFERROR(CHOOSE(MATCH(A118,'Dataset'!$B$5:$B$11,0),"S₁","S₂","S₃","S₄","S₅","S₆","S₇"),"")</f>
        <v/>
      </c>
    </row>
    <row r="119">
      <c r="A119" s="62">
        <v>115</v>
      </c>
      <c r="B119" s="66">
        <v>42</v>
      </c>
      <c r="C119" s="67">
        <v>1</v>
      </c>
      <c r="D119" s="67">
        <v>2</v>
      </c>
      <c r="E119" s="66">
        <v>120</v>
      </c>
      <c r="F119" s="66">
        <v>295</v>
      </c>
      <c r="G119" s="67">
        <v>0</v>
      </c>
      <c r="H119" s="67">
        <v>0</v>
      </c>
      <c r="I119" s="66">
        <v>162</v>
      </c>
      <c r="J119" s="67">
        <v>0</v>
      </c>
      <c r="K119" s="66">
        <v>0</v>
      </c>
      <c r="L119" s="67">
        <v>1</v>
      </c>
      <c r="M119" s="66">
        <v>0</v>
      </c>
      <c r="N119" s="67">
        <v>3</v>
      </c>
      <c r="O119" s="68">
        <v>1</v>
      </c>
      <c r="P119" s="93" t="str">
        <f>IFERROR(CHOOSE(MATCH(A119,'Dataset'!$B$5:$B$11,0),"S₁","S₂","S₃","S₄","S₅","S₆","S₇"),"")</f>
        <v/>
      </c>
    </row>
    <row r="120">
      <c r="A120" s="62">
        <v>116</v>
      </c>
      <c r="B120" s="66">
        <v>49</v>
      </c>
      <c r="C120" s="67">
        <v>0</v>
      </c>
      <c r="D120" s="67">
        <v>2</v>
      </c>
      <c r="E120" s="66">
        <v>134</v>
      </c>
      <c r="F120" s="66">
        <v>271</v>
      </c>
      <c r="G120" s="67">
        <v>0</v>
      </c>
      <c r="H120" s="67">
        <v>0</v>
      </c>
      <c r="I120" s="66">
        <v>162</v>
      </c>
      <c r="J120" s="67">
        <v>0</v>
      </c>
      <c r="K120" s="66">
        <v>0</v>
      </c>
      <c r="L120" s="67">
        <v>2</v>
      </c>
      <c r="M120" s="66">
        <v>0</v>
      </c>
      <c r="N120" s="67">
        <v>3</v>
      </c>
      <c r="O120" s="68">
        <v>1</v>
      </c>
      <c r="P120" s="93" t="str">
        <f>IFERROR(CHOOSE(MATCH(A120,'Dataset'!$B$5:$B$11,0),"S₁","S₂","S₃","S₄","S₅","S₆","S₇"),"")</f>
        <v/>
      </c>
    </row>
    <row r="121">
      <c r="A121" s="62">
        <v>117</v>
      </c>
      <c r="B121" s="66">
        <v>46</v>
      </c>
      <c r="C121" s="67">
        <v>1</v>
      </c>
      <c r="D121" s="67">
        <v>4</v>
      </c>
      <c r="E121" s="66">
        <v>120</v>
      </c>
      <c r="F121" s="66">
        <v>249</v>
      </c>
      <c r="G121" s="67">
        <v>0</v>
      </c>
      <c r="H121" s="67">
        <v>2</v>
      </c>
      <c r="I121" s="66">
        <v>144</v>
      </c>
      <c r="J121" s="67">
        <v>0</v>
      </c>
      <c r="K121" s="66">
        <v>0.8</v>
      </c>
      <c r="L121" s="67">
        <v>1</v>
      </c>
      <c r="M121" s="66">
        <v>0</v>
      </c>
      <c r="N121" s="67">
        <v>7</v>
      </c>
      <c r="O121" s="68">
        <v>2</v>
      </c>
      <c r="P121" s="93" t="str">
        <f>IFERROR(CHOOSE(MATCH(A121,'Dataset'!$B$5:$B$11,0),"S₁","S₂","S₃","S₄","S₅","S₆","S₇"),"")</f>
        <v/>
      </c>
    </row>
    <row r="122">
      <c r="A122" s="62">
        <v>118</v>
      </c>
      <c r="B122" s="66">
        <v>56</v>
      </c>
      <c r="C122" s="67">
        <v>0</v>
      </c>
      <c r="D122" s="67">
        <v>4</v>
      </c>
      <c r="E122" s="66">
        <v>200</v>
      </c>
      <c r="F122" s="66">
        <v>288</v>
      </c>
      <c r="G122" s="67">
        <v>1</v>
      </c>
      <c r="H122" s="67">
        <v>2</v>
      </c>
      <c r="I122" s="66">
        <v>133</v>
      </c>
      <c r="J122" s="67">
        <v>1</v>
      </c>
      <c r="K122" s="66">
        <v>4</v>
      </c>
      <c r="L122" s="67">
        <v>3</v>
      </c>
      <c r="M122" s="66">
        <v>2</v>
      </c>
      <c r="N122" s="67">
        <v>7</v>
      </c>
      <c r="O122" s="68">
        <v>2</v>
      </c>
      <c r="P122" s="93" t="str">
        <f>IFERROR(CHOOSE(MATCH(A122,'Dataset'!$B$5:$B$11,0),"S₁","S₂","S₃","S₄","S₅","S₆","S₇"),"")</f>
        <v/>
      </c>
    </row>
    <row r="123">
      <c r="A123" s="62">
        <v>119</v>
      </c>
      <c r="B123" s="66">
        <v>66</v>
      </c>
      <c r="C123" s="67">
        <v>0</v>
      </c>
      <c r="D123" s="67">
        <v>1</v>
      </c>
      <c r="E123" s="66">
        <v>150</v>
      </c>
      <c r="F123" s="66">
        <v>226</v>
      </c>
      <c r="G123" s="67">
        <v>0</v>
      </c>
      <c r="H123" s="67">
        <v>0</v>
      </c>
      <c r="I123" s="66">
        <v>114</v>
      </c>
      <c r="J123" s="67">
        <v>0</v>
      </c>
      <c r="K123" s="66">
        <v>2.6</v>
      </c>
      <c r="L123" s="67">
        <v>3</v>
      </c>
      <c r="M123" s="66">
        <v>0</v>
      </c>
      <c r="N123" s="67">
        <v>3</v>
      </c>
      <c r="O123" s="68">
        <v>1</v>
      </c>
      <c r="P123" s="93" t="str">
        <f>IFERROR(CHOOSE(MATCH(A123,'Dataset'!$B$5:$B$11,0),"S₁","S₂","S₃","S₄","S₅","S₆","S₇"),"")</f>
        <v/>
      </c>
    </row>
    <row r="124">
      <c r="A124" s="62">
        <v>120</v>
      </c>
      <c r="B124" s="66">
        <v>56</v>
      </c>
      <c r="C124" s="67">
        <v>1</v>
      </c>
      <c r="D124" s="67">
        <v>4</v>
      </c>
      <c r="E124" s="66">
        <v>130</v>
      </c>
      <c r="F124" s="66">
        <v>283</v>
      </c>
      <c r="G124" s="67">
        <v>1</v>
      </c>
      <c r="H124" s="67">
        <v>2</v>
      </c>
      <c r="I124" s="66">
        <v>103</v>
      </c>
      <c r="J124" s="67">
        <v>1</v>
      </c>
      <c r="K124" s="66">
        <v>1.6</v>
      </c>
      <c r="L124" s="67">
        <v>3</v>
      </c>
      <c r="M124" s="66">
        <v>0</v>
      </c>
      <c r="N124" s="67">
        <v>7</v>
      </c>
      <c r="O124" s="68">
        <v>2</v>
      </c>
      <c r="P124" s="93" t="str">
        <f>IFERROR(CHOOSE(MATCH(A124,'Dataset'!$B$5:$B$11,0),"S₁","S₂","S₃","S₄","S₅","S₆","S₇"),"")</f>
        <v/>
      </c>
    </row>
    <row r="125">
      <c r="A125" s="62">
        <v>121</v>
      </c>
      <c r="B125" s="66">
        <v>49</v>
      </c>
      <c r="C125" s="67">
        <v>1</v>
      </c>
      <c r="D125" s="67">
        <v>3</v>
      </c>
      <c r="E125" s="66">
        <v>120</v>
      </c>
      <c r="F125" s="66">
        <v>188</v>
      </c>
      <c r="G125" s="67">
        <v>0</v>
      </c>
      <c r="H125" s="67">
        <v>0</v>
      </c>
      <c r="I125" s="66">
        <v>139</v>
      </c>
      <c r="J125" s="67">
        <v>0</v>
      </c>
      <c r="K125" s="66">
        <v>2</v>
      </c>
      <c r="L125" s="67">
        <v>2</v>
      </c>
      <c r="M125" s="66">
        <v>3</v>
      </c>
      <c r="N125" s="67">
        <v>7</v>
      </c>
      <c r="O125" s="68">
        <v>2</v>
      </c>
      <c r="P125" s="93" t="str">
        <f>IFERROR(CHOOSE(MATCH(A125,'Dataset'!$B$5:$B$11,0),"S₁","S₂","S₃","S₄","S₅","S₆","S₇"),"")</f>
        <v/>
      </c>
    </row>
    <row r="126">
      <c r="A126" s="62">
        <v>122</v>
      </c>
      <c r="B126" s="66">
        <v>54</v>
      </c>
      <c r="C126" s="67">
        <v>1</v>
      </c>
      <c r="D126" s="67">
        <v>4</v>
      </c>
      <c r="E126" s="66">
        <v>122</v>
      </c>
      <c r="F126" s="66">
        <v>286</v>
      </c>
      <c r="G126" s="67">
        <v>0</v>
      </c>
      <c r="H126" s="67">
        <v>2</v>
      </c>
      <c r="I126" s="66">
        <v>116</v>
      </c>
      <c r="J126" s="67">
        <v>1</v>
      </c>
      <c r="K126" s="66">
        <v>3.2</v>
      </c>
      <c r="L126" s="67">
        <v>2</v>
      </c>
      <c r="M126" s="66">
        <v>2</v>
      </c>
      <c r="N126" s="67">
        <v>3</v>
      </c>
      <c r="O126" s="68">
        <v>2</v>
      </c>
      <c r="P126" s="93" t="str">
        <f>IFERROR(CHOOSE(MATCH(A126,'Dataset'!$B$5:$B$11,0),"S₁","S₂","S₃","S₄","S₅","S₆","S₇"),"")</f>
        <v/>
      </c>
    </row>
    <row r="127">
      <c r="A127" s="62">
        <v>123</v>
      </c>
      <c r="B127" s="66">
        <v>57</v>
      </c>
      <c r="C127" s="67">
        <v>1</v>
      </c>
      <c r="D127" s="67">
        <v>4</v>
      </c>
      <c r="E127" s="66">
        <v>152</v>
      </c>
      <c r="F127" s="66">
        <v>274</v>
      </c>
      <c r="G127" s="67">
        <v>0</v>
      </c>
      <c r="H127" s="67">
        <v>0</v>
      </c>
      <c r="I127" s="66">
        <v>88</v>
      </c>
      <c r="J127" s="67">
        <v>1</v>
      </c>
      <c r="K127" s="66">
        <v>1.2</v>
      </c>
      <c r="L127" s="67">
        <v>2</v>
      </c>
      <c r="M127" s="66">
        <v>1</v>
      </c>
      <c r="N127" s="67">
        <v>7</v>
      </c>
      <c r="O127" s="68">
        <v>2</v>
      </c>
      <c r="P127" s="93" t="str">
        <f>IFERROR(CHOOSE(MATCH(A127,'Dataset'!$B$5:$B$11,0),"S₁","S₂","S₃","S₄","S₅","S₆","S₇"),"")</f>
        <v/>
      </c>
    </row>
    <row r="128">
      <c r="A128" s="62">
        <v>124</v>
      </c>
      <c r="B128" s="66">
        <v>65</v>
      </c>
      <c r="C128" s="67">
        <v>0</v>
      </c>
      <c r="D128" s="67">
        <v>3</v>
      </c>
      <c r="E128" s="66">
        <v>160</v>
      </c>
      <c r="F128" s="66">
        <v>360</v>
      </c>
      <c r="G128" s="67">
        <v>0</v>
      </c>
      <c r="H128" s="67">
        <v>2</v>
      </c>
      <c r="I128" s="66">
        <v>151</v>
      </c>
      <c r="J128" s="67">
        <v>0</v>
      </c>
      <c r="K128" s="66">
        <v>0.8</v>
      </c>
      <c r="L128" s="67">
        <v>1</v>
      </c>
      <c r="M128" s="66">
        <v>0</v>
      </c>
      <c r="N128" s="67">
        <v>3</v>
      </c>
      <c r="O128" s="68">
        <v>1</v>
      </c>
      <c r="P128" s="93" t="str">
        <f>IFERROR(CHOOSE(MATCH(A128,'Dataset'!$B$5:$B$11,0),"S₁","S₂","S₃","S₄","S₅","S₆","S₇"),"")</f>
        <v/>
      </c>
    </row>
    <row r="129">
      <c r="A129" s="62">
        <v>125</v>
      </c>
      <c r="B129" s="66">
        <v>54</v>
      </c>
      <c r="C129" s="67">
        <v>1</v>
      </c>
      <c r="D129" s="67">
        <v>3</v>
      </c>
      <c r="E129" s="66">
        <v>125</v>
      </c>
      <c r="F129" s="66">
        <v>273</v>
      </c>
      <c r="G129" s="67">
        <v>0</v>
      </c>
      <c r="H129" s="67">
        <v>2</v>
      </c>
      <c r="I129" s="66">
        <v>152</v>
      </c>
      <c r="J129" s="67">
        <v>0</v>
      </c>
      <c r="K129" s="66">
        <v>0.5</v>
      </c>
      <c r="L129" s="67">
        <v>3</v>
      </c>
      <c r="M129" s="66">
        <v>1</v>
      </c>
      <c r="N129" s="67">
        <v>3</v>
      </c>
      <c r="O129" s="68">
        <v>1</v>
      </c>
      <c r="P129" s="93" t="str">
        <f>IFERROR(CHOOSE(MATCH(A129,'Dataset'!$B$5:$B$11,0),"S₁","S₂","S₃","S₄","S₅","S₆","S₇"),"")</f>
        <v/>
      </c>
    </row>
    <row r="130">
      <c r="A130" s="62">
        <v>126</v>
      </c>
      <c r="B130" s="66">
        <v>54</v>
      </c>
      <c r="C130" s="67">
        <v>0</v>
      </c>
      <c r="D130" s="67">
        <v>3</v>
      </c>
      <c r="E130" s="66">
        <v>160</v>
      </c>
      <c r="F130" s="66">
        <v>201</v>
      </c>
      <c r="G130" s="67">
        <v>0</v>
      </c>
      <c r="H130" s="67">
        <v>0</v>
      </c>
      <c r="I130" s="66">
        <v>163</v>
      </c>
      <c r="J130" s="67">
        <v>0</v>
      </c>
      <c r="K130" s="66">
        <v>0</v>
      </c>
      <c r="L130" s="67">
        <v>1</v>
      </c>
      <c r="M130" s="66">
        <v>1</v>
      </c>
      <c r="N130" s="67">
        <v>3</v>
      </c>
      <c r="O130" s="68">
        <v>1</v>
      </c>
      <c r="P130" s="93" t="str">
        <f>IFERROR(CHOOSE(MATCH(A130,'Dataset'!$B$5:$B$11,0),"S₁","S₂","S₃","S₄","S₅","S₆","S₇"),"")</f>
        <v/>
      </c>
    </row>
    <row r="131">
      <c r="A131" s="62">
        <v>127</v>
      </c>
      <c r="B131" s="66">
        <v>62</v>
      </c>
      <c r="C131" s="67">
        <v>1</v>
      </c>
      <c r="D131" s="67">
        <v>4</v>
      </c>
      <c r="E131" s="66">
        <v>120</v>
      </c>
      <c r="F131" s="66">
        <v>267</v>
      </c>
      <c r="G131" s="67">
        <v>0</v>
      </c>
      <c r="H131" s="67">
        <v>0</v>
      </c>
      <c r="I131" s="66">
        <v>99</v>
      </c>
      <c r="J131" s="67">
        <v>1</v>
      </c>
      <c r="K131" s="66">
        <v>1.8</v>
      </c>
      <c r="L131" s="67">
        <v>2</v>
      </c>
      <c r="M131" s="66">
        <v>2</v>
      </c>
      <c r="N131" s="67">
        <v>7</v>
      </c>
      <c r="O131" s="68">
        <v>2</v>
      </c>
      <c r="P131" s="93" t="str">
        <f>IFERROR(CHOOSE(MATCH(A131,'Dataset'!$B$5:$B$11,0),"S₁","S₂","S₃","S₄","S₅","S₆","S₇"),"")</f>
        <v/>
      </c>
    </row>
    <row r="132">
      <c r="A132" s="62">
        <v>128</v>
      </c>
      <c r="B132" s="66">
        <v>52</v>
      </c>
      <c r="C132" s="67">
        <v>0</v>
      </c>
      <c r="D132" s="67">
        <v>3</v>
      </c>
      <c r="E132" s="66">
        <v>136</v>
      </c>
      <c r="F132" s="66">
        <v>196</v>
      </c>
      <c r="G132" s="67">
        <v>0</v>
      </c>
      <c r="H132" s="67">
        <v>2</v>
      </c>
      <c r="I132" s="66">
        <v>169</v>
      </c>
      <c r="J132" s="67">
        <v>0</v>
      </c>
      <c r="K132" s="66">
        <v>0.1</v>
      </c>
      <c r="L132" s="67">
        <v>2</v>
      </c>
      <c r="M132" s="66">
        <v>0</v>
      </c>
      <c r="N132" s="67">
        <v>3</v>
      </c>
      <c r="O132" s="68">
        <v>1</v>
      </c>
      <c r="P132" s="93" t="str">
        <f>IFERROR(CHOOSE(MATCH(A132,'Dataset'!$B$5:$B$11,0),"S₁","S₂","S₃","S₄","S₅","S₆","S₇"),"")</f>
        <v/>
      </c>
    </row>
    <row r="133">
      <c r="A133" s="62">
        <v>129</v>
      </c>
      <c r="B133" s="66">
        <v>52</v>
      </c>
      <c r="C133" s="67">
        <v>1</v>
      </c>
      <c r="D133" s="67">
        <v>2</v>
      </c>
      <c r="E133" s="66">
        <v>134</v>
      </c>
      <c r="F133" s="66">
        <v>201</v>
      </c>
      <c r="G133" s="67">
        <v>0</v>
      </c>
      <c r="H133" s="67">
        <v>0</v>
      </c>
      <c r="I133" s="66">
        <v>158</v>
      </c>
      <c r="J133" s="67">
        <v>0</v>
      </c>
      <c r="K133" s="66">
        <v>0.8</v>
      </c>
      <c r="L133" s="67">
        <v>1</v>
      </c>
      <c r="M133" s="66">
        <v>1</v>
      </c>
      <c r="N133" s="67">
        <v>3</v>
      </c>
      <c r="O133" s="68">
        <v>1</v>
      </c>
      <c r="P133" s="93" t="str">
        <f>IFERROR(CHOOSE(MATCH(A133,'Dataset'!$B$5:$B$11,0),"S₁","S₂","S₃","S₄","S₅","S₆","S₇"),"")</f>
        <v/>
      </c>
    </row>
    <row r="134">
      <c r="A134" s="62">
        <v>130</v>
      </c>
      <c r="B134" s="66">
        <v>60</v>
      </c>
      <c r="C134" s="67">
        <v>1</v>
      </c>
      <c r="D134" s="67">
        <v>4</v>
      </c>
      <c r="E134" s="66">
        <v>117</v>
      </c>
      <c r="F134" s="66">
        <v>230</v>
      </c>
      <c r="G134" s="67">
        <v>1</v>
      </c>
      <c r="H134" s="67">
        <v>0</v>
      </c>
      <c r="I134" s="66">
        <v>160</v>
      </c>
      <c r="J134" s="67">
        <v>1</v>
      </c>
      <c r="K134" s="66">
        <v>1.4</v>
      </c>
      <c r="L134" s="67">
        <v>1</v>
      </c>
      <c r="M134" s="66">
        <v>2</v>
      </c>
      <c r="N134" s="67">
        <v>7</v>
      </c>
      <c r="O134" s="68">
        <v>2</v>
      </c>
      <c r="P134" s="93" t="str">
        <f>IFERROR(CHOOSE(MATCH(A134,'Dataset'!$B$5:$B$11,0),"S₁","S₂","S₃","S₄","S₅","S₆","S₇"),"")</f>
        <v/>
      </c>
    </row>
    <row r="135">
      <c r="A135" s="62">
        <v>131</v>
      </c>
      <c r="B135" s="66">
        <v>63</v>
      </c>
      <c r="C135" s="67">
        <v>0</v>
      </c>
      <c r="D135" s="67">
        <v>4</v>
      </c>
      <c r="E135" s="66">
        <v>108</v>
      </c>
      <c r="F135" s="66">
        <v>269</v>
      </c>
      <c r="G135" s="67">
        <v>0</v>
      </c>
      <c r="H135" s="67">
        <v>0</v>
      </c>
      <c r="I135" s="66">
        <v>169</v>
      </c>
      <c r="J135" s="67">
        <v>1</v>
      </c>
      <c r="K135" s="66">
        <v>1.8</v>
      </c>
      <c r="L135" s="67">
        <v>2</v>
      </c>
      <c r="M135" s="66">
        <v>2</v>
      </c>
      <c r="N135" s="67">
        <v>3</v>
      </c>
      <c r="O135" s="68">
        <v>2</v>
      </c>
      <c r="P135" s="93" t="str">
        <f>IFERROR(CHOOSE(MATCH(A135,'Dataset'!$B$5:$B$11,0),"S₁","S₂","S₃","S₄","S₅","S₆","S₇"),"")</f>
        <v/>
      </c>
    </row>
    <row r="136">
      <c r="A136" s="62">
        <v>132</v>
      </c>
      <c r="B136" s="66">
        <v>66</v>
      </c>
      <c r="C136" s="67">
        <v>1</v>
      </c>
      <c r="D136" s="67">
        <v>4</v>
      </c>
      <c r="E136" s="66">
        <v>112</v>
      </c>
      <c r="F136" s="66">
        <v>212</v>
      </c>
      <c r="G136" s="67">
        <v>0</v>
      </c>
      <c r="H136" s="67">
        <v>2</v>
      </c>
      <c r="I136" s="66">
        <v>132</v>
      </c>
      <c r="J136" s="67">
        <v>1</v>
      </c>
      <c r="K136" s="66">
        <v>0.1</v>
      </c>
      <c r="L136" s="67">
        <v>1</v>
      </c>
      <c r="M136" s="66">
        <v>1</v>
      </c>
      <c r="N136" s="67">
        <v>3</v>
      </c>
      <c r="O136" s="68">
        <v>2</v>
      </c>
      <c r="P136" s="93" t="str">
        <f>IFERROR(CHOOSE(MATCH(A136,'Dataset'!$B$5:$B$11,0),"S₁","S₂","S₃","S₄","S₅","S₆","S₇"),"")</f>
        <v/>
      </c>
    </row>
    <row r="137">
      <c r="A137" s="62">
        <v>133</v>
      </c>
      <c r="B137" s="66">
        <v>42</v>
      </c>
      <c r="C137" s="67">
        <v>1</v>
      </c>
      <c r="D137" s="67">
        <v>4</v>
      </c>
      <c r="E137" s="66">
        <v>140</v>
      </c>
      <c r="F137" s="66">
        <v>226</v>
      </c>
      <c r="G137" s="67">
        <v>0</v>
      </c>
      <c r="H137" s="67">
        <v>0</v>
      </c>
      <c r="I137" s="66">
        <v>178</v>
      </c>
      <c r="J137" s="67">
        <v>0</v>
      </c>
      <c r="K137" s="66">
        <v>0</v>
      </c>
      <c r="L137" s="67">
        <v>1</v>
      </c>
      <c r="M137" s="66">
        <v>0</v>
      </c>
      <c r="N137" s="67">
        <v>3</v>
      </c>
      <c r="O137" s="68">
        <v>1</v>
      </c>
      <c r="P137" s="93" t="str">
        <f>IFERROR(CHOOSE(MATCH(A137,'Dataset'!$B$5:$B$11,0),"S₁","S₂","S₃","S₄","S₅","S₆","S₇"),"")</f>
        <v/>
      </c>
    </row>
    <row r="138">
      <c r="A138" s="62">
        <v>134</v>
      </c>
      <c r="B138" s="66">
        <v>64</v>
      </c>
      <c r="C138" s="67">
        <v>1</v>
      </c>
      <c r="D138" s="67">
        <v>4</v>
      </c>
      <c r="E138" s="66">
        <v>120</v>
      </c>
      <c r="F138" s="66">
        <v>246</v>
      </c>
      <c r="G138" s="67">
        <v>0</v>
      </c>
      <c r="H138" s="67">
        <v>2</v>
      </c>
      <c r="I138" s="66">
        <v>96</v>
      </c>
      <c r="J138" s="67">
        <v>1</v>
      </c>
      <c r="K138" s="66">
        <v>2.2</v>
      </c>
      <c r="L138" s="67">
        <v>3</v>
      </c>
      <c r="M138" s="66">
        <v>1</v>
      </c>
      <c r="N138" s="67">
        <v>3</v>
      </c>
      <c r="O138" s="68">
        <v>2</v>
      </c>
      <c r="P138" s="93" t="str">
        <f>IFERROR(CHOOSE(MATCH(A138,'Dataset'!$B$5:$B$11,0),"S₁","S₂","S₃","S₄","S₅","S₆","S₇"),"")</f>
        <v/>
      </c>
    </row>
    <row r="139">
      <c r="A139" s="62">
        <v>135</v>
      </c>
      <c r="B139" s="66">
        <v>54</v>
      </c>
      <c r="C139" s="67">
        <v>1</v>
      </c>
      <c r="D139" s="67">
        <v>3</v>
      </c>
      <c r="E139" s="66">
        <v>150</v>
      </c>
      <c r="F139" s="66">
        <v>232</v>
      </c>
      <c r="G139" s="67">
        <v>0</v>
      </c>
      <c r="H139" s="67">
        <v>2</v>
      </c>
      <c r="I139" s="66">
        <v>165</v>
      </c>
      <c r="J139" s="67">
        <v>0</v>
      </c>
      <c r="K139" s="66">
        <v>1.6</v>
      </c>
      <c r="L139" s="67">
        <v>1</v>
      </c>
      <c r="M139" s="66">
        <v>0</v>
      </c>
      <c r="N139" s="67">
        <v>7</v>
      </c>
      <c r="O139" s="68">
        <v>1</v>
      </c>
      <c r="P139" s="93" t="str">
        <f>IFERROR(CHOOSE(MATCH(A139,'Dataset'!$B$5:$B$11,0),"S₁","S₂","S₃","S₄","S₅","S₆","S₇"),"")</f>
        <v/>
      </c>
    </row>
    <row r="140">
      <c r="A140" s="62">
        <v>136</v>
      </c>
      <c r="B140" s="66">
        <v>46</v>
      </c>
      <c r="C140" s="67">
        <v>0</v>
      </c>
      <c r="D140" s="67">
        <v>3</v>
      </c>
      <c r="E140" s="66">
        <v>142</v>
      </c>
      <c r="F140" s="66">
        <v>177</v>
      </c>
      <c r="G140" s="67">
        <v>0</v>
      </c>
      <c r="H140" s="67">
        <v>2</v>
      </c>
      <c r="I140" s="66">
        <v>160</v>
      </c>
      <c r="J140" s="67">
        <v>1</v>
      </c>
      <c r="K140" s="66">
        <v>1.4</v>
      </c>
      <c r="L140" s="67">
        <v>3</v>
      </c>
      <c r="M140" s="66">
        <v>0</v>
      </c>
      <c r="N140" s="67">
        <v>3</v>
      </c>
      <c r="O140" s="68">
        <v>1</v>
      </c>
      <c r="P140" s="93" t="str">
        <f>IFERROR(CHOOSE(MATCH(A140,'Dataset'!$B$5:$B$11,0),"S₁","S₂","S₃","S₄","S₅","S₆","S₇"),"")</f>
        <v/>
      </c>
    </row>
    <row r="141">
      <c r="A141" s="62">
        <v>137</v>
      </c>
      <c r="B141" s="66">
        <v>67</v>
      </c>
      <c r="C141" s="67">
        <v>0</v>
      </c>
      <c r="D141" s="67">
        <v>3</v>
      </c>
      <c r="E141" s="66">
        <v>152</v>
      </c>
      <c r="F141" s="66">
        <v>277</v>
      </c>
      <c r="G141" s="67">
        <v>0</v>
      </c>
      <c r="H141" s="67">
        <v>0</v>
      </c>
      <c r="I141" s="66">
        <v>172</v>
      </c>
      <c r="J141" s="67">
        <v>0</v>
      </c>
      <c r="K141" s="66">
        <v>0</v>
      </c>
      <c r="L141" s="67">
        <v>1</v>
      </c>
      <c r="M141" s="66">
        <v>1</v>
      </c>
      <c r="N141" s="67">
        <v>3</v>
      </c>
      <c r="O141" s="68">
        <v>1</v>
      </c>
      <c r="P141" s="93" t="str">
        <f>IFERROR(CHOOSE(MATCH(A141,'Dataset'!$B$5:$B$11,0),"S₁","S₂","S₃","S₄","S₅","S₆","S₇"),"")</f>
        <v/>
      </c>
    </row>
    <row r="142">
      <c r="A142" s="62">
        <v>138</v>
      </c>
      <c r="B142" s="66">
        <v>56</v>
      </c>
      <c r="C142" s="67">
        <v>1</v>
      </c>
      <c r="D142" s="67">
        <v>4</v>
      </c>
      <c r="E142" s="66">
        <v>125</v>
      </c>
      <c r="F142" s="66">
        <v>249</v>
      </c>
      <c r="G142" s="67">
        <v>1</v>
      </c>
      <c r="H142" s="67">
        <v>2</v>
      </c>
      <c r="I142" s="66">
        <v>144</v>
      </c>
      <c r="J142" s="67">
        <v>1</v>
      </c>
      <c r="K142" s="66">
        <v>1.2</v>
      </c>
      <c r="L142" s="67">
        <v>2</v>
      </c>
      <c r="M142" s="66">
        <v>1</v>
      </c>
      <c r="N142" s="67">
        <v>3</v>
      </c>
      <c r="O142" s="68">
        <v>2</v>
      </c>
      <c r="P142" s="93" t="str">
        <f>IFERROR(CHOOSE(MATCH(A142,'Dataset'!$B$5:$B$11,0),"S₁","S₂","S₃","S₄","S₅","S₆","S₇"),"")</f>
        <v/>
      </c>
    </row>
    <row r="143">
      <c r="A143" s="62">
        <v>139</v>
      </c>
      <c r="B143" s="66">
        <v>34</v>
      </c>
      <c r="C143" s="67">
        <v>0</v>
      </c>
      <c r="D143" s="67">
        <v>2</v>
      </c>
      <c r="E143" s="66">
        <v>118</v>
      </c>
      <c r="F143" s="66">
        <v>210</v>
      </c>
      <c r="G143" s="67">
        <v>0</v>
      </c>
      <c r="H143" s="67">
        <v>0</v>
      </c>
      <c r="I143" s="66">
        <v>192</v>
      </c>
      <c r="J143" s="67">
        <v>0</v>
      </c>
      <c r="K143" s="66">
        <v>0.7</v>
      </c>
      <c r="L143" s="67">
        <v>1</v>
      </c>
      <c r="M143" s="66">
        <v>0</v>
      </c>
      <c r="N143" s="67">
        <v>3</v>
      </c>
      <c r="O143" s="68">
        <v>1</v>
      </c>
      <c r="P143" s="93" t="str">
        <f>IFERROR(CHOOSE(MATCH(A143,'Dataset'!$B$5:$B$11,0),"S₁","S₂","S₃","S₄","S₅","S₆","S₇"),"")</f>
        <v/>
      </c>
    </row>
    <row r="144">
      <c r="A144" s="62">
        <v>140</v>
      </c>
      <c r="B144" s="66">
        <v>57</v>
      </c>
      <c r="C144" s="67">
        <v>1</v>
      </c>
      <c r="D144" s="67">
        <v>4</v>
      </c>
      <c r="E144" s="66">
        <v>132</v>
      </c>
      <c r="F144" s="66">
        <v>207</v>
      </c>
      <c r="G144" s="67">
        <v>0</v>
      </c>
      <c r="H144" s="67">
        <v>0</v>
      </c>
      <c r="I144" s="66">
        <v>168</v>
      </c>
      <c r="J144" s="67">
        <v>1</v>
      </c>
      <c r="K144" s="66">
        <v>0</v>
      </c>
      <c r="L144" s="67">
        <v>1</v>
      </c>
      <c r="M144" s="66">
        <v>0</v>
      </c>
      <c r="N144" s="67">
        <v>7</v>
      </c>
      <c r="O144" s="68">
        <v>1</v>
      </c>
      <c r="P144" s="93" t="str">
        <f>IFERROR(CHOOSE(MATCH(A144,'Dataset'!$B$5:$B$11,0),"S₁","S₂","S₃","S₄","S₅","S₆","S₇"),"")</f>
        <v/>
      </c>
    </row>
    <row r="145">
      <c r="A145" s="62">
        <v>141</v>
      </c>
      <c r="B145" s="66">
        <v>64</v>
      </c>
      <c r="C145" s="67">
        <v>1</v>
      </c>
      <c r="D145" s="67">
        <v>4</v>
      </c>
      <c r="E145" s="66">
        <v>145</v>
      </c>
      <c r="F145" s="66">
        <v>212</v>
      </c>
      <c r="G145" s="67">
        <v>0</v>
      </c>
      <c r="H145" s="67">
        <v>2</v>
      </c>
      <c r="I145" s="66">
        <v>132</v>
      </c>
      <c r="J145" s="67">
        <v>0</v>
      </c>
      <c r="K145" s="66">
        <v>2</v>
      </c>
      <c r="L145" s="67">
        <v>2</v>
      </c>
      <c r="M145" s="66">
        <v>2</v>
      </c>
      <c r="N145" s="67">
        <v>6</v>
      </c>
      <c r="O145" s="68">
        <v>2</v>
      </c>
      <c r="P145" s="93" t="str">
        <f>IFERROR(CHOOSE(MATCH(A145,'Dataset'!$B$5:$B$11,0),"S₁","S₂","S₃","S₄","S₅","S₆","S₇"),"")</f>
        <v/>
      </c>
    </row>
    <row r="146">
      <c r="A146" s="62">
        <v>142</v>
      </c>
      <c r="B146" s="66">
        <v>59</v>
      </c>
      <c r="C146" s="67">
        <v>1</v>
      </c>
      <c r="D146" s="67">
        <v>4</v>
      </c>
      <c r="E146" s="66">
        <v>138</v>
      </c>
      <c r="F146" s="66">
        <v>271</v>
      </c>
      <c r="G146" s="67">
        <v>0</v>
      </c>
      <c r="H146" s="67">
        <v>2</v>
      </c>
      <c r="I146" s="66">
        <v>182</v>
      </c>
      <c r="J146" s="67">
        <v>0</v>
      </c>
      <c r="K146" s="66">
        <v>0</v>
      </c>
      <c r="L146" s="67">
        <v>1</v>
      </c>
      <c r="M146" s="66">
        <v>0</v>
      </c>
      <c r="N146" s="67">
        <v>3</v>
      </c>
      <c r="O146" s="68">
        <v>1</v>
      </c>
      <c r="P146" s="93" t="str">
        <f>IFERROR(CHOOSE(MATCH(A146,'Dataset'!$B$5:$B$11,0),"S₁","S₂","S₃","S₄","S₅","S₆","S₇"),"")</f>
        <v/>
      </c>
    </row>
    <row r="147">
      <c r="A147" s="62">
        <v>143</v>
      </c>
      <c r="B147" s="66">
        <v>50</v>
      </c>
      <c r="C147" s="67">
        <v>1</v>
      </c>
      <c r="D147" s="67">
        <v>3</v>
      </c>
      <c r="E147" s="66">
        <v>140</v>
      </c>
      <c r="F147" s="66">
        <v>233</v>
      </c>
      <c r="G147" s="67">
        <v>0</v>
      </c>
      <c r="H147" s="67">
        <v>0</v>
      </c>
      <c r="I147" s="66">
        <v>163</v>
      </c>
      <c r="J147" s="67">
        <v>0</v>
      </c>
      <c r="K147" s="66">
        <v>0.6</v>
      </c>
      <c r="L147" s="67">
        <v>2</v>
      </c>
      <c r="M147" s="66">
        <v>1</v>
      </c>
      <c r="N147" s="67">
        <v>7</v>
      </c>
      <c r="O147" s="68">
        <v>2</v>
      </c>
      <c r="P147" s="93" t="str">
        <f>IFERROR(CHOOSE(MATCH(A147,'Dataset'!$B$5:$B$11,0),"S₁","S₂","S₃","S₄","S₅","S₆","S₇"),"")</f>
        <v>S₄</v>
      </c>
    </row>
    <row r="148">
      <c r="A148" s="62">
        <v>144</v>
      </c>
      <c r="B148" s="66">
        <v>51</v>
      </c>
      <c r="C148" s="67">
        <v>1</v>
      </c>
      <c r="D148" s="67">
        <v>1</v>
      </c>
      <c r="E148" s="66">
        <v>125</v>
      </c>
      <c r="F148" s="66">
        <v>213</v>
      </c>
      <c r="G148" s="67">
        <v>0</v>
      </c>
      <c r="H148" s="67">
        <v>2</v>
      </c>
      <c r="I148" s="66">
        <v>125</v>
      </c>
      <c r="J148" s="67">
        <v>1</v>
      </c>
      <c r="K148" s="66">
        <v>1.4</v>
      </c>
      <c r="L148" s="67">
        <v>1</v>
      </c>
      <c r="M148" s="66">
        <v>1</v>
      </c>
      <c r="N148" s="67">
        <v>3</v>
      </c>
      <c r="O148" s="68">
        <v>1</v>
      </c>
      <c r="P148" s="93" t="str">
        <f>IFERROR(CHOOSE(MATCH(A148,'Dataset'!$B$5:$B$11,0),"S₁","S₂","S₃","S₄","S₅","S₆","S₇"),"")</f>
        <v/>
      </c>
    </row>
    <row r="149">
      <c r="A149" s="62">
        <v>145</v>
      </c>
      <c r="B149" s="66">
        <v>54</v>
      </c>
      <c r="C149" s="67">
        <v>1</v>
      </c>
      <c r="D149" s="67">
        <v>2</v>
      </c>
      <c r="E149" s="66">
        <v>192</v>
      </c>
      <c r="F149" s="66">
        <v>283</v>
      </c>
      <c r="G149" s="67">
        <v>0</v>
      </c>
      <c r="H149" s="67">
        <v>2</v>
      </c>
      <c r="I149" s="66">
        <v>195</v>
      </c>
      <c r="J149" s="67">
        <v>0</v>
      </c>
      <c r="K149" s="66">
        <v>0</v>
      </c>
      <c r="L149" s="67">
        <v>1</v>
      </c>
      <c r="M149" s="66">
        <v>1</v>
      </c>
      <c r="N149" s="67">
        <v>7</v>
      </c>
      <c r="O149" s="68">
        <v>2</v>
      </c>
      <c r="P149" s="93" t="str">
        <f>IFERROR(CHOOSE(MATCH(A149,'Dataset'!$B$5:$B$11,0),"S₁","S₂","S₃","S₄","S₅","S₆","S₇"),"")</f>
        <v/>
      </c>
    </row>
    <row r="150">
      <c r="A150" s="62">
        <v>146</v>
      </c>
      <c r="B150" s="66">
        <v>53</v>
      </c>
      <c r="C150" s="67">
        <v>1</v>
      </c>
      <c r="D150" s="67">
        <v>4</v>
      </c>
      <c r="E150" s="66">
        <v>123</v>
      </c>
      <c r="F150" s="66">
        <v>282</v>
      </c>
      <c r="G150" s="67">
        <v>0</v>
      </c>
      <c r="H150" s="67">
        <v>0</v>
      </c>
      <c r="I150" s="66">
        <v>95</v>
      </c>
      <c r="J150" s="67">
        <v>1</v>
      </c>
      <c r="K150" s="66">
        <v>2</v>
      </c>
      <c r="L150" s="67">
        <v>2</v>
      </c>
      <c r="M150" s="66">
        <v>2</v>
      </c>
      <c r="N150" s="67">
        <v>7</v>
      </c>
      <c r="O150" s="68">
        <v>2</v>
      </c>
      <c r="P150" s="93" t="str">
        <f>IFERROR(CHOOSE(MATCH(A150,'Dataset'!$B$5:$B$11,0),"S₁","S₂","S₃","S₄","S₅","S₆","S₇"),"")</f>
        <v/>
      </c>
    </row>
    <row r="151">
      <c r="A151" s="62">
        <v>147</v>
      </c>
      <c r="B151" s="66">
        <v>52</v>
      </c>
      <c r="C151" s="67">
        <v>1</v>
      </c>
      <c r="D151" s="67">
        <v>4</v>
      </c>
      <c r="E151" s="66">
        <v>112</v>
      </c>
      <c r="F151" s="66">
        <v>230</v>
      </c>
      <c r="G151" s="67">
        <v>0</v>
      </c>
      <c r="H151" s="67">
        <v>0</v>
      </c>
      <c r="I151" s="66">
        <v>160</v>
      </c>
      <c r="J151" s="67">
        <v>0</v>
      </c>
      <c r="K151" s="66">
        <v>0</v>
      </c>
      <c r="L151" s="67">
        <v>1</v>
      </c>
      <c r="M151" s="66">
        <v>1</v>
      </c>
      <c r="N151" s="67">
        <v>3</v>
      </c>
      <c r="O151" s="68">
        <v>2</v>
      </c>
      <c r="P151" s="93" t="str">
        <f>IFERROR(CHOOSE(MATCH(A151,'Dataset'!$B$5:$B$11,0),"S₁","S₂","S₃","S₄","S₅","S₆","S₇"),"")</f>
        <v/>
      </c>
    </row>
    <row r="152">
      <c r="A152" s="62">
        <v>148</v>
      </c>
      <c r="B152" s="66">
        <v>40</v>
      </c>
      <c r="C152" s="67">
        <v>1</v>
      </c>
      <c r="D152" s="67">
        <v>4</v>
      </c>
      <c r="E152" s="66">
        <v>110</v>
      </c>
      <c r="F152" s="66">
        <v>167</v>
      </c>
      <c r="G152" s="67">
        <v>0</v>
      </c>
      <c r="H152" s="67">
        <v>2</v>
      </c>
      <c r="I152" s="66">
        <v>114</v>
      </c>
      <c r="J152" s="67">
        <v>1</v>
      </c>
      <c r="K152" s="66">
        <v>2</v>
      </c>
      <c r="L152" s="67">
        <v>2</v>
      </c>
      <c r="M152" s="66">
        <v>0</v>
      </c>
      <c r="N152" s="67">
        <v>7</v>
      </c>
      <c r="O152" s="68">
        <v>2</v>
      </c>
      <c r="P152" s="93" t="str">
        <f>IFERROR(CHOOSE(MATCH(A152,'Dataset'!$B$5:$B$11,0),"S₁","S₂","S₃","S₄","S₅","S₆","S₇"),"")</f>
        <v/>
      </c>
    </row>
    <row r="153">
      <c r="A153" s="62">
        <v>149</v>
      </c>
      <c r="B153" s="66">
        <v>58</v>
      </c>
      <c r="C153" s="67">
        <v>1</v>
      </c>
      <c r="D153" s="67">
        <v>3</v>
      </c>
      <c r="E153" s="66">
        <v>132</v>
      </c>
      <c r="F153" s="66">
        <v>224</v>
      </c>
      <c r="G153" s="67">
        <v>0</v>
      </c>
      <c r="H153" s="67">
        <v>2</v>
      </c>
      <c r="I153" s="66">
        <v>173</v>
      </c>
      <c r="J153" s="67">
        <v>0</v>
      </c>
      <c r="K153" s="66">
        <v>3.2</v>
      </c>
      <c r="L153" s="67">
        <v>1</v>
      </c>
      <c r="M153" s="66">
        <v>2</v>
      </c>
      <c r="N153" s="67">
        <v>7</v>
      </c>
      <c r="O153" s="68">
        <v>2</v>
      </c>
      <c r="P153" s="93" t="str">
        <f>IFERROR(CHOOSE(MATCH(A153,'Dataset'!$B$5:$B$11,0),"S₁","S₂","S₃","S₄","S₅","S₆","S₇"),"")</f>
        <v/>
      </c>
    </row>
    <row r="154">
      <c r="A154" s="62">
        <v>150</v>
      </c>
      <c r="B154" s="66">
        <v>41</v>
      </c>
      <c r="C154" s="67">
        <v>0</v>
      </c>
      <c r="D154" s="67">
        <v>3</v>
      </c>
      <c r="E154" s="66">
        <v>112</v>
      </c>
      <c r="F154" s="66">
        <v>268</v>
      </c>
      <c r="G154" s="67">
        <v>0</v>
      </c>
      <c r="H154" s="67">
        <v>2</v>
      </c>
      <c r="I154" s="66">
        <v>172</v>
      </c>
      <c r="J154" s="67">
        <v>1</v>
      </c>
      <c r="K154" s="66">
        <v>0</v>
      </c>
      <c r="L154" s="67">
        <v>1</v>
      </c>
      <c r="M154" s="66">
        <v>0</v>
      </c>
      <c r="N154" s="67">
        <v>3</v>
      </c>
      <c r="O154" s="68">
        <v>1</v>
      </c>
      <c r="P154" s="93" t="str">
        <f>IFERROR(CHOOSE(MATCH(A154,'Dataset'!$B$5:$B$11,0),"S₁","S₂","S₃","S₄","S₅","S₆","S₇"),"")</f>
        <v/>
      </c>
    </row>
    <row r="155">
      <c r="A155" s="62">
        <v>151</v>
      </c>
      <c r="B155" s="66">
        <v>41</v>
      </c>
      <c r="C155" s="67">
        <v>1</v>
      </c>
      <c r="D155" s="67">
        <v>3</v>
      </c>
      <c r="E155" s="66">
        <v>112</v>
      </c>
      <c r="F155" s="66">
        <v>250</v>
      </c>
      <c r="G155" s="67">
        <v>0</v>
      </c>
      <c r="H155" s="67">
        <v>0</v>
      </c>
      <c r="I155" s="66">
        <v>179</v>
      </c>
      <c r="J155" s="67">
        <v>0</v>
      </c>
      <c r="K155" s="66">
        <v>0</v>
      </c>
      <c r="L155" s="67">
        <v>1</v>
      </c>
      <c r="M155" s="66">
        <v>0</v>
      </c>
      <c r="N155" s="67">
        <v>3</v>
      </c>
      <c r="O155" s="68">
        <v>1</v>
      </c>
      <c r="P155" s="93" t="str">
        <f>IFERROR(CHOOSE(MATCH(A155,'Dataset'!$B$5:$B$11,0),"S₁","S₂","S₃","S₄","S₅","S₆","S₇"),"")</f>
        <v/>
      </c>
    </row>
    <row r="156">
      <c r="A156" s="62">
        <v>152</v>
      </c>
      <c r="B156" s="66">
        <v>50</v>
      </c>
      <c r="C156" s="67">
        <v>0</v>
      </c>
      <c r="D156" s="67">
        <v>3</v>
      </c>
      <c r="E156" s="66">
        <v>120</v>
      </c>
      <c r="F156" s="66">
        <v>219</v>
      </c>
      <c r="G156" s="67">
        <v>0</v>
      </c>
      <c r="H156" s="67">
        <v>0</v>
      </c>
      <c r="I156" s="66">
        <v>158</v>
      </c>
      <c r="J156" s="67">
        <v>0</v>
      </c>
      <c r="K156" s="66">
        <v>1.6</v>
      </c>
      <c r="L156" s="67">
        <v>2</v>
      </c>
      <c r="M156" s="66">
        <v>0</v>
      </c>
      <c r="N156" s="67">
        <v>3</v>
      </c>
      <c r="O156" s="68">
        <v>1</v>
      </c>
      <c r="P156" s="93" t="str">
        <f>IFERROR(CHOOSE(MATCH(A156,'Dataset'!$B$5:$B$11,0),"S₁","S₂","S₃","S₄","S₅","S₆","S₇"),"")</f>
        <v/>
      </c>
    </row>
    <row r="157">
      <c r="A157" s="62">
        <v>153</v>
      </c>
      <c r="B157" s="66">
        <v>54</v>
      </c>
      <c r="C157" s="67">
        <v>0</v>
      </c>
      <c r="D157" s="67">
        <v>3</v>
      </c>
      <c r="E157" s="66">
        <v>108</v>
      </c>
      <c r="F157" s="66">
        <v>267</v>
      </c>
      <c r="G157" s="67">
        <v>0</v>
      </c>
      <c r="H157" s="67">
        <v>2</v>
      </c>
      <c r="I157" s="66">
        <v>167</v>
      </c>
      <c r="J157" s="67">
        <v>0</v>
      </c>
      <c r="K157" s="66">
        <v>0</v>
      </c>
      <c r="L157" s="67">
        <v>1</v>
      </c>
      <c r="M157" s="66">
        <v>0</v>
      </c>
      <c r="N157" s="67">
        <v>3</v>
      </c>
      <c r="O157" s="68">
        <v>1</v>
      </c>
      <c r="P157" s="93" t="str">
        <f>IFERROR(CHOOSE(MATCH(A157,'Dataset'!$B$5:$B$11,0),"S₁","S₂","S₃","S₄","S₅","S₆","S₇"),"")</f>
        <v/>
      </c>
    </row>
    <row r="158">
      <c r="A158" s="62">
        <v>154</v>
      </c>
      <c r="B158" s="66">
        <v>64</v>
      </c>
      <c r="C158" s="67">
        <v>0</v>
      </c>
      <c r="D158" s="67">
        <v>4</v>
      </c>
      <c r="E158" s="66">
        <v>130</v>
      </c>
      <c r="F158" s="66">
        <v>303</v>
      </c>
      <c r="G158" s="67">
        <v>0</v>
      </c>
      <c r="H158" s="67">
        <v>0</v>
      </c>
      <c r="I158" s="66">
        <v>122</v>
      </c>
      <c r="J158" s="67">
        <v>0</v>
      </c>
      <c r="K158" s="66">
        <v>2</v>
      </c>
      <c r="L158" s="67">
        <v>2</v>
      </c>
      <c r="M158" s="66">
        <v>2</v>
      </c>
      <c r="N158" s="67">
        <v>3</v>
      </c>
      <c r="O158" s="68">
        <v>1</v>
      </c>
      <c r="P158" s="93" t="str">
        <f>IFERROR(CHOOSE(MATCH(A158,'Dataset'!$B$5:$B$11,0),"S₁","S₂","S₃","S₄","S₅","S₆","S₇"),"")</f>
        <v/>
      </c>
    </row>
    <row r="159">
      <c r="A159" s="62">
        <v>155</v>
      </c>
      <c r="B159" s="66">
        <v>51</v>
      </c>
      <c r="C159" s="67">
        <v>0</v>
      </c>
      <c r="D159" s="67">
        <v>3</v>
      </c>
      <c r="E159" s="66">
        <v>130</v>
      </c>
      <c r="F159" s="66">
        <v>256</v>
      </c>
      <c r="G159" s="67">
        <v>0</v>
      </c>
      <c r="H159" s="67">
        <v>2</v>
      </c>
      <c r="I159" s="66">
        <v>149</v>
      </c>
      <c r="J159" s="67">
        <v>0</v>
      </c>
      <c r="K159" s="66">
        <v>0.5</v>
      </c>
      <c r="L159" s="67">
        <v>1</v>
      </c>
      <c r="M159" s="66">
        <v>0</v>
      </c>
      <c r="N159" s="67">
        <v>3</v>
      </c>
      <c r="O159" s="68">
        <v>1</v>
      </c>
      <c r="P159" s="93" t="str">
        <f>IFERROR(CHOOSE(MATCH(A159,'Dataset'!$B$5:$B$11,0),"S₁","S₂","S₃","S₄","S₅","S₆","S₇"),"")</f>
        <v/>
      </c>
    </row>
    <row r="160">
      <c r="A160" s="62">
        <v>156</v>
      </c>
      <c r="B160" s="66">
        <v>46</v>
      </c>
      <c r="C160" s="67">
        <v>0</v>
      </c>
      <c r="D160" s="67">
        <v>2</v>
      </c>
      <c r="E160" s="66">
        <v>105</v>
      </c>
      <c r="F160" s="66">
        <v>204</v>
      </c>
      <c r="G160" s="67">
        <v>0</v>
      </c>
      <c r="H160" s="67">
        <v>0</v>
      </c>
      <c r="I160" s="66">
        <v>172</v>
      </c>
      <c r="J160" s="67">
        <v>0</v>
      </c>
      <c r="K160" s="66">
        <v>0</v>
      </c>
      <c r="L160" s="67">
        <v>1</v>
      </c>
      <c r="M160" s="66">
        <v>0</v>
      </c>
      <c r="N160" s="67">
        <v>3</v>
      </c>
      <c r="O160" s="68">
        <v>1</v>
      </c>
      <c r="P160" s="93" t="str">
        <f>IFERROR(CHOOSE(MATCH(A160,'Dataset'!$B$5:$B$11,0),"S₁","S₂","S₃","S₄","S₅","S₆","S₇"),"")</f>
        <v/>
      </c>
    </row>
    <row r="161">
      <c r="A161" s="62">
        <v>157</v>
      </c>
      <c r="B161" s="66">
        <v>55</v>
      </c>
      <c r="C161" s="67">
        <v>1</v>
      </c>
      <c r="D161" s="67">
        <v>4</v>
      </c>
      <c r="E161" s="66">
        <v>140</v>
      </c>
      <c r="F161" s="66">
        <v>217</v>
      </c>
      <c r="G161" s="67">
        <v>0</v>
      </c>
      <c r="H161" s="67">
        <v>0</v>
      </c>
      <c r="I161" s="66">
        <v>111</v>
      </c>
      <c r="J161" s="67">
        <v>1</v>
      </c>
      <c r="K161" s="66">
        <v>5.6</v>
      </c>
      <c r="L161" s="67">
        <v>3</v>
      </c>
      <c r="M161" s="66">
        <v>0</v>
      </c>
      <c r="N161" s="67">
        <v>7</v>
      </c>
      <c r="O161" s="68">
        <v>2</v>
      </c>
      <c r="P161" s="93" t="str">
        <f>IFERROR(CHOOSE(MATCH(A161,'Dataset'!$B$5:$B$11,0),"S₁","S₂","S₃","S₄","S₅","S₆","S₇"),"")</f>
        <v/>
      </c>
    </row>
    <row r="162">
      <c r="A162" s="62">
        <v>158</v>
      </c>
      <c r="B162" s="66">
        <v>45</v>
      </c>
      <c r="C162" s="67">
        <v>1</v>
      </c>
      <c r="D162" s="67">
        <v>2</v>
      </c>
      <c r="E162" s="66">
        <v>128</v>
      </c>
      <c r="F162" s="66">
        <v>308</v>
      </c>
      <c r="G162" s="67">
        <v>0</v>
      </c>
      <c r="H162" s="67">
        <v>2</v>
      </c>
      <c r="I162" s="66">
        <v>170</v>
      </c>
      <c r="J162" s="67">
        <v>0</v>
      </c>
      <c r="K162" s="66">
        <v>0</v>
      </c>
      <c r="L162" s="67">
        <v>1</v>
      </c>
      <c r="M162" s="66">
        <v>0</v>
      </c>
      <c r="N162" s="67">
        <v>3</v>
      </c>
      <c r="O162" s="68">
        <v>1</v>
      </c>
      <c r="P162" s="93" t="str">
        <f>IFERROR(CHOOSE(MATCH(A162,'Dataset'!$B$5:$B$11,0),"S₁","S₂","S₃","S₄","S₅","S₆","S₇"),"")</f>
        <v/>
      </c>
    </row>
    <row r="163">
      <c r="A163" s="62">
        <v>159</v>
      </c>
      <c r="B163" s="66">
        <v>56</v>
      </c>
      <c r="C163" s="67">
        <v>1</v>
      </c>
      <c r="D163" s="67">
        <v>1</v>
      </c>
      <c r="E163" s="66">
        <v>120</v>
      </c>
      <c r="F163" s="66">
        <v>193</v>
      </c>
      <c r="G163" s="67">
        <v>0</v>
      </c>
      <c r="H163" s="67">
        <v>2</v>
      </c>
      <c r="I163" s="66">
        <v>162</v>
      </c>
      <c r="J163" s="67">
        <v>0</v>
      </c>
      <c r="K163" s="66">
        <v>1.9</v>
      </c>
      <c r="L163" s="67">
        <v>2</v>
      </c>
      <c r="M163" s="66">
        <v>0</v>
      </c>
      <c r="N163" s="67">
        <v>7</v>
      </c>
      <c r="O163" s="68">
        <v>1</v>
      </c>
      <c r="P163" s="93" t="str">
        <f>IFERROR(CHOOSE(MATCH(A163,'Dataset'!$B$5:$B$11,0),"S₁","S₂","S₃","S₄","S₅","S₆","S₇"),"")</f>
        <v/>
      </c>
    </row>
    <row r="164">
      <c r="A164" s="62">
        <v>160</v>
      </c>
      <c r="B164" s="66">
        <v>66</v>
      </c>
      <c r="C164" s="67">
        <v>0</v>
      </c>
      <c r="D164" s="67">
        <v>4</v>
      </c>
      <c r="E164" s="66">
        <v>178</v>
      </c>
      <c r="F164" s="66">
        <v>228</v>
      </c>
      <c r="G164" s="67">
        <v>1</v>
      </c>
      <c r="H164" s="67">
        <v>0</v>
      </c>
      <c r="I164" s="66">
        <v>165</v>
      </c>
      <c r="J164" s="67">
        <v>1</v>
      </c>
      <c r="K164" s="66">
        <v>1</v>
      </c>
      <c r="L164" s="67">
        <v>2</v>
      </c>
      <c r="M164" s="66">
        <v>2</v>
      </c>
      <c r="N164" s="67">
        <v>7</v>
      </c>
      <c r="O164" s="68">
        <v>2</v>
      </c>
      <c r="P164" s="93" t="str">
        <f>IFERROR(CHOOSE(MATCH(A164,'Dataset'!$B$5:$B$11,0),"S₁","S₂","S₃","S₄","S₅","S₆","S₇"),"")</f>
        <v/>
      </c>
    </row>
    <row r="165">
      <c r="A165" s="62">
        <v>161</v>
      </c>
      <c r="B165" s="66">
        <v>38</v>
      </c>
      <c r="C165" s="67">
        <v>1</v>
      </c>
      <c r="D165" s="67">
        <v>1</v>
      </c>
      <c r="E165" s="66">
        <v>120</v>
      </c>
      <c r="F165" s="66">
        <v>231</v>
      </c>
      <c r="G165" s="67">
        <v>0</v>
      </c>
      <c r="H165" s="67">
        <v>0</v>
      </c>
      <c r="I165" s="66">
        <v>182</v>
      </c>
      <c r="J165" s="67">
        <v>1</v>
      </c>
      <c r="K165" s="66">
        <v>3.8</v>
      </c>
      <c r="L165" s="67">
        <v>2</v>
      </c>
      <c r="M165" s="66">
        <v>0</v>
      </c>
      <c r="N165" s="67">
        <v>7</v>
      </c>
      <c r="O165" s="68">
        <v>2</v>
      </c>
      <c r="P165" s="93" t="str">
        <f>IFERROR(CHOOSE(MATCH(A165,'Dataset'!$B$5:$B$11,0),"S₁","S₂","S₃","S₄","S₅","S₆","S₇"),"")</f>
        <v/>
      </c>
    </row>
    <row r="166">
      <c r="A166" s="62">
        <v>162</v>
      </c>
      <c r="B166" s="66">
        <v>62</v>
      </c>
      <c r="C166" s="67">
        <v>0</v>
      </c>
      <c r="D166" s="67">
        <v>4</v>
      </c>
      <c r="E166" s="66">
        <v>150</v>
      </c>
      <c r="F166" s="66">
        <v>244</v>
      </c>
      <c r="G166" s="67">
        <v>0</v>
      </c>
      <c r="H166" s="67">
        <v>0</v>
      </c>
      <c r="I166" s="66">
        <v>154</v>
      </c>
      <c r="J166" s="67">
        <v>1</v>
      </c>
      <c r="K166" s="66">
        <v>1.4</v>
      </c>
      <c r="L166" s="67">
        <v>2</v>
      </c>
      <c r="M166" s="66">
        <v>0</v>
      </c>
      <c r="N166" s="67">
        <v>3</v>
      </c>
      <c r="O166" s="68">
        <v>2</v>
      </c>
      <c r="P166" s="93" t="str">
        <f>IFERROR(CHOOSE(MATCH(A166,'Dataset'!$B$5:$B$11,0),"S₁","S₂","S₃","S₄","S₅","S₆","S₇"),"")</f>
        <v/>
      </c>
    </row>
    <row r="167">
      <c r="A167" s="62">
        <v>163</v>
      </c>
      <c r="B167" s="66">
        <v>55</v>
      </c>
      <c r="C167" s="67">
        <v>1</v>
      </c>
      <c r="D167" s="67">
        <v>2</v>
      </c>
      <c r="E167" s="66">
        <v>130</v>
      </c>
      <c r="F167" s="66">
        <v>262</v>
      </c>
      <c r="G167" s="67">
        <v>0</v>
      </c>
      <c r="H167" s="67">
        <v>0</v>
      </c>
      <c r="I167" s="66">
        <v>155</v>
      </c>
      <c r="J167" s="67">
        <v>0</v>
      </c>
      <c r="K167" s="66">
        <v>0</v>
      </c>
      <c r="L167" s="67">
        <v>1</v>
      </c>
      <c r="M167" s="66">
        <v>0</v>
      </c>
      <c r="N167" s="67">
        <v>3</v>
      </c>
      <c r="O167" s="68">
        <v>1</v>
      </c>
      <c r="P167" s="93" t="str">
        <f>IFERROR(CHOOSE(MATCH(A167,'Dataset'!$B$5:$B$11,0),"S₁","S₂","S₃","S₄","S₅","S₆","S₇"),"")</f>
        <v/>
      </c>
    </row>
    <row r="168">
      <c r="A168" s="62">
        <v>164</v>
      </c>
      <c r="B168" s="66">
        <v>58</v>
      </c>
      <c r="C168" s="67">
        <v>1</v>
      </c>
      <c r="D168" s="67">
        <v>4</v>
      </c>
      <c r="E168" s="66">
        <v>128</v>
      </c>
      <c r="F168" s="66">
        <v>259</v>
      </c>
      <c r="G168" s="67">
        <v>0</v>
      </c>
      <c r="H168" s="67">
        <v>2</v>
      </c>
      <c r="I168" s="66">
        <v>130</v>
      </c>
      <c r="J168" s="67">
        <v>1</v>
      </c>
      <c r="K168" s="66">
        <v>3</v>
      </c>
      <c r="L168" s="67">
        <v>2</v>
      </c>
      <c r="M168" s="66">
        <v>2</v>
      </c>
      <c r="N168" s="67">
        <v>7</v>
      </c>
      <c r="O168" s="68">
        <v>2</v>
      </c>
      <c r="P168" s="93" t="str">
        <f>IFERROR(CHOOSE(MATCH(A168,'Dataset'!$B$5:$B$11,0),"S₁","S₂","S₃","S₄","S₅","S₆","S₇"),"")</f>
        <v/>
      </c>
    </row>
    <row r="169">
      <c r="A169" s="62">
        <v>165</v>
      </c>
      <c r="B169" s="66">
        <v>43</v>
      </c>
      <c r="C169" s="67">
        <v>1</v>
      </c>
      <c r="D169" s="67">
        <v>4</v>
      </c>
      <c r="E169" s="66">
        <v>110</v>
      </c>
      <c r="F169" s="66">
        <v>211</v>
      </c>
      <c r="G169" s="67">
        <v>0</v>
      </c>
      <c r="H169" s="67">
        <v>0</v>
      </c>
      <c r="I169" s="66">
        <v>161</v>
      </c>
      <c r="J169" s="67">
        <v>0</v>
      </c>
      <c r="K169" s="66">
        <v>0</v>
      </c>
      <c r="L169" s="67">
        <v>1</v>
      </c>
      <c r="M169" s="66">
        <v>0</v>
      </c>
      <c r="N169" s="67">
        <v>7</v>
      </c>
      <c r="O169" s="68">
        <v>1</v>
      </c>
      <c r="P169" s="93" t="str">
        <f>IFERROR(CHOOSE(MATCH(A169,'Dataset'!$B$5:$B$11,0),"S₁","S₂","S₃","S₄","S₅","S₆","S₇"),"")</f>
        <v/>
      </c>
    </row>
    <row r="170">
      <c r="A170" s="62">
        <v>166</v>
      </c>
      <c r="B170" s="66">
        <v>64</v>
      </c>
      <c r="C170" s="67">
        <v>0</v>
      </c>
      <c r="D170" s="67">
        <v>4</v>
      </c>
      <c r="E170" s="66">
        <v>180</v>
      </c>
      <c r="F170" s="66">
        <v>325</v>
      </c>
      <c r="G170" s="67">
        <v>0</v>
      </c>
      <c r="H170" s="67">
        <v>0</v>
      </c>
      <c r="I170" s="66">
        <v>154</v>
      </c>
      <c r="J170" s="67">
        <v>1</v>
      </c>
      <c r="K170" s="66">
        <v>0</v>
      </c>
      <c r="L170" s="67">
        <v>1</v>
      </c>
      <c r="M170" s="66">
        <v>0</v>
      </c>
      <c r="N170" s="67">
        <v>3</v>
      </c>
      <c r="O170" s="68">
        <v>1</v>
      </c>
      <c r="P170" s="93" t="str">
        <f>IFERROR(CHOOSE(MATCH(A170,'Dataset'!$B$5:$B$11,0),"S₁","S₂","S₃","S₄","S₅","S₆","S₇"),"")</f>
        <v/>
      </c>
    </row>
    <row r="171">
      <c r="A171" s="62">
        <v>167</v>
      </c>
      <c r="B171" s="66">
        <v>50</v>
      </c>
      <c r="C171" s="67">
        <v>0</v>
      </c>
      <c r="D171" s="67">
        <v>4</v>
      </c>
      <c r="E171" s="66">
        <v>110</v>
      </c>
      <c r="F171" s="66">
        <v>254</v>
      </c>
      <c r="G171" s="67">
        <v>0</v>
      </c>
      <c r="H171" s="67">
        <v>2</v>
      </c>
      <c r="I171" s="66">
        <v>159</v>
      </c>
      <c r="J171" s="67">
        <v>0</v>
      </c>
      <c r="K171" s="66">
        <v>0</v>
      </c>
      <c r="L171" s="67">
        <v>1</v>
      </c>
      <c r="M171" s="66">
        <v>0</v>
      </c>
      <c r="N171" s="67">
        <v>3</v>
      </c>
      <c r="O171" s="68">
        <v>1</v>
      </c>
      <c r="P171" s="93" t="str">
        <f>IFERROR(CHOOSE(MATCH(A171,'Dataset'!$B$5:$B$11,0),"S₁","S₂","S₃","S₄","S₅","S₆","S₇"),"")</f>
        <v/>
      </c>
    </row>
    <row r="172">
      <c r="A172" s="62">
        <v>168</v>
      </c>
      <c r="B172" s="66">
        <v>53</v>
      </c>
      <c r="C172" s="67">
        <v>1</v>
      </c>
      <c r="D172" s="67">
        <v>3</v>
      </c>
      <c r="E172" s="66">
        <v>130</v>
      </c>
      <c r="F172" s="66">
        <v>197</v>
      </c>
      <c r="G172" s="67">
        <v>1</v>
      </c>
      <c r="H172" s="67">
        <v>2</v>
      </c>
      <c r="I172" s="66">
        <v>152</v>
      </c>
      <c r="J172" s="67">
        <v>0</v>
      </c>
      <c r="K172" s="66">
        <v>1.2</v>
      </c>
      <c r="L172" s="67">
        <v>3</v>
      </c>
      <c r="M172" s="66">
        <v>0</v>
      </c>
      <c r="N172" s="67">
        <v>3</v>
      </c>
      <c r="O172" s="68">
        <v>1</v>
      </c>
      <c r="P172" s="93" t="str">
        <f>IFERROR(CHOOSE(MATCH(A172,'Dataset'!$B$5:$B$11,0),"S₁","S₂","S₃","S₄","S₅","S₆","S₇"),"")</f>
        <v/>
      </c>
    </row>
    <row r="173">
      <c r="A173" s="62">
        <v>169</v>
      </c>
      <c r="B173" s="66">
        <v>45</v>
      </c>
      <c r="C173" s="67">
        <v>0</v>
      </c>
      <c r="D173" s="67">
        <v>4</v>
      </c>
      <c r="E173" s="66">
        <v>138</v>
      </c>
      <c r="F173" s="66">
        <v>236</v>
      </c>
      <c r="G173" s="67">
        <v>0</v>
      </c>
      <c r="H173" s="67">
        <v>2</v>
      </c>
      <c r="I173" s="66">
        <v>152</v>
      </c>
      <c r="J173" s="67">
        <v>1</v>
      </c>
      <c r="K173" s="66">
        <v>0.2</v>
      </c>
      <c r="L173" s="67">
        <v>2</v>
      </c>
      <c r="M173" s="66">
        <v>0</v>
      </c>
      <c r="N173" s="67">
        <v>3</v>
      </c>
      <c r="O173" s="68">
        <v>1</v>
      </c>
      <c r="P173" s="93" t="str">
        <f>IFERROR(CHOOSE(MATCH(A173,'Dataset'!$B$5:$B$11,0),"S₁","S₂","S₃","S₄","S₅","S₆","S₇"),"")</f>
        <v/>
      </c>
    </row>
    <row r="174">
      <c r="A174" s="62">
        <v>170</v>
      </c>
      <c r="B174" s="66">
        <v>65</v>
      </c>
      <c r="C174" s="67">
        <v>1</v>
      </c>
      <c r="D174" s="67">
        <v>1</v>
      </c>
      <c r="E174" s="66">
        <v>138</v>
      </c>
      <c r="F174" s="66">
        <v>282</v>
      </c>
      <c r="G174" s="67">
        <v>1</v>
      </c>
      <c r="H174" s="67">
        <v>2</v>
      </c>
      <c r="I174" s="66">
        <v>174</v>
      </c>
      <c r="J174" s="67">
        <v>0</v>
      </c>
      <c r="K174" s="66">
        <v>1.4</v>
      </c>
      <c r="L174" s="67">
        <v>2</v>
      </c>
      <c r="M174" s="66">
        <v>1</v>
      </c>
      <c r="N174" s="67">
        <v>3</v>
      </c>
      <c r="O174" s="68">
        <v>2</v>
      </c>
      <c r="P174" s="93" t="str">
        <f>IFERROR(CHOOSE(MATCH(A174,'Dataset'!$B$5:$B$11,0),"S₁","S₂","S₃","S₄","S₅","S₆","S₇"),"")</f>
        <v/>
      </c>
    </row>
    <row r="175">
      <c r="A175" s="62">
        <v>171</v>
      </c>
      <c r="B175" s="66">
        <v>69</v>
      </c>
      <c r="C175" s="67">
        <v>1</v>
      </c>
      <c r="D175" s="67">
        <v>1</v>
      </c>
      <c r="E175" s="66">
        <v>160</v>
      </c>
      <c r="F175" s="66">
        <v>234</v>
      </c>
      <c r="G175" s="67">
        <v>1</v>
      </c>
      <c r="H175" s="67">
        <v>2</v>
      </c>
      <c r="I175" s="66">
        <v>131</v>
      </c>
      <c r="J175" s="67">
        <v>0</v>
      </c>
      <c r="K175" s="66">
        <v>0.1</v>
      </c>
      <c r="L175" s="67">
        <v>2</v>
      </c>
      <c r="M175" s="66">
        <v>1</v>
      </c>
      <c r="N175" s="67">
        <v>3</v>
      </c>
      <c r="O175" s="68">
        <v>1</v>
      </c>
      <c r="P175" s="93" t="str">
        <f>IFERROR(CHOOSE(MATCH(A175,'Dataset'!$B$5:$B$11,0),"S₁","S₂","S₃","S₄","S₅","S₆","S₇"),"")</f>
        <v/>
      </c>
    </row>
    <row r="176">
      <c r="A176" s="62">
        <v>172</v>
      </c>
      <c r="B176" s="66">
        <v>69</v>
      </c>
      <c r="C176" s="67">
        <v>1</v>
      </c>
      <c r="D176" s="67">
        <v>3</v>
      </c>
      <c r="E176" s="66">
        <v>140</v>
      </c>
      <c r="F176" s="66">
        <v>254</v>
      </c>
      <c r="G176" s="67">
        <v>0</v>
      </c>
      <c r="H176" s="67">
        <v>2</v>
      </c>
      <c r="I176" s="66">
        <v>146</v>
      </c>
      <c r="J176" s="67">
        <v>0</v>
      </c>
      <c r="K176" s="66">
        <v>2</v>
      </c>
      <c r="L176" s="67">
        <v>2</v>
      </c>
      <c r="M176" s="66">
        <v>3</v>
      </c>
      <c r="N176" s="67">
        <v>7</v>
      </c>
      <c r="O176" s="68">
        <v>2</v>
      </c>
      <c r="P176" s="93" t="str">
        <f>IFERROR(CHOOSE(MATCH(A176,'Dataset'!$B$5:$B$11,0),"S₁","S₂","S₃","S₄","S₅","S₆","S₇"),"")</f>
        <v/>
      </c>
    </row>
    <row r="177">
      <c r="A177" s="62">
        <v>173</v>
      </c>
      <c r="B177" s="66">
        <v>67</v>
      </c>
      <c r="C177" s="67">
        <v>1</v>
      </c>
      <c r="D177" s="67">
        <v>4</v>
      </c>
      <c r="E177" s="66">
        <v>100</v>
      </c>
      <c r="F177" s="66">
        <v>299</v>
      </c>
      <c r="G177" s="67">
        <v>0</v>
      </c>
      <c r="H177" s="67">
        <v>2</v>
      </c>
      <c r="I177" s="66">
        <v>125</v>
      </c>
      <c r="J177" s="67">
        <v>1</v>
      </c>
      <c r="K177" s="66">
        <v>0.9</v>
      </c>
      <c r="L177" s="67">
        <v>2</v>
      </c>
      <c r="M177" s="66">
        <v>2</v>
      </c>
      <c r="N177" s="67">
        <v>3</v>
      </c>
      <c r="O177" s="68">
        <v>2</v>
      </c>
      <c r="P177" s="93" t="str">
        <f>IFERROR(CHOOSE(MATCH(A177,'Dataset'!$B$5:$B$11,0),"S₁","S₂","S₃","S₄","S₅","S₆","S₇"),"")</f>
        <v/>
      </c>
    </row>
    <row r="178">
      <c r="A178" s="62">
        <v>174</v>
      </c>
      <c r="B178" s="66">
        <v>68</v>
      </c>
      <c r="C178" s="67">
        <v>0</v>
      </c>
      <c r="D178" s="67">
        <v>3</v>
      </c>
      <c r="E178" s="66">
        <v>120</v>
      </c>
      <c r="F178" s="66">
        <v>211</v>
      </c>
      <c r="G178" s="67">
        <v>0</v>
      </c>
      <c r="H178" s="67">
        <v>2</v>
      </c>
      <c r="I178" s="66">
        <v>115</v>
      </c>
      <c r="J178" s="67">
        <v>0</v>
      </c>
      <c r="K178" s="66">
        <v>1.5</v>
      </c>
      <c r="L178" s="67">
        <v>2</v>
      </c>
      <c r="M178" s="66">
        <v>0</v>
      </c>
      <c r="N178" s="67">
        <v>3</v>
      </c>
      <c r="O178" s="68">
        <v>1</v>
      </c>
      <c r="P178" s="93" t="str">
        <f>IFERROR(CHOOSE(MATCH(A178,'Dataset'!$B$5:$B$11,0),"S₁","S₂","S₃","S₄","S₅","S₆","S₇"),"")</f>
        <v/>
      </c>
    </row>
    <row r="179">
      <c r="A179" s="62">
        <v>175</v>
      </c>
      <c r="B179" s="66">
        <v>34</v>
      </c>
      <c r="C179" s="67">
        <v>1</v>
      </c>
      <c r="D179" s="67">
        <v>1</v>
      </c>
      <c r="E179" s="66">
        <v>118</v>
      </c>
      <c r="F179" s="66">
        <v>182</v>
      </c>
      <c r="G179" s="67">
        <v>0</v>
      </c>
      <c r="H179" s="67">
        <v>2</v>
      </c>
      <c r="I179" s="66">
        <v>174</v>
      </c>
      <c r="J179" s="67">
        <v>0</v>
      </c>
      <c r="K179" s="66">
        <v>0</v>
      </c>
      <c r="L179" s="67">
        <v>1</v>
      </c>
      <c r="M179" s="66">
        <v>0</v>
      </c>
      <c r="N179" s="67">
        <v>3</v>
      </c>
      <c r="O179" s="68">
        <v>1</v>
      </c>
      <c r="P179" s="93" t="str">
        <f>IFERROR(CHOOSE(MATCH(A179,'Dataset'!$B$5:$B$11,0),"S₁","S₂","S₃","S₄","S₅","S₆","S₇"),"")</f>
        <v/>
      </c>
    </row>
    <row r="180">
      <c r="A180" s="62">
        <v>176</v>
      </c>
      <c r="B180" s="66">
        <v>62</v>
      </c>
      <c r="C180" s="67">
        <v>0</v>
      </c>
      <c r="D180" s="67">
        <v>4</v>
      </c>
      <c r="E180" s="66">
        <v>138</v>
      </c>
      <c r="F180" s="66">
        <v>294</v>
      </c>
      <c r="G180" s="67">
        <v>1</v>
      </c>
      <c r="H180" s="67">
        <v>0</v>
      </c>
      <c r="I180" s="66">
        <v>106</v>
      </c>
      <c r="J180" s="67">
        <v>0</v>
      </c>
      <c r="K180" s="66">
        <v>1.9</v>
      </c>
      <c r="L180" s="67">
        <v>2</v>
      </c>
      <c r="M180" s="66">
        <v>3</v>
      </c>
      <c r="N180" s="67">
        <v>3</v>
      </c>
      <c r="O180" s="68">
        <v>2</v>
      </c>
      <c r="P180" s="93" t="str">
        <f>IFERROR(CHOOSE(MATCH(A180,'Dataset'!$B$5:$B$11,0),"S₁","S₂","S₃","S₄","S₅","S₆","S₇"),"")</f>
        <v/>
      </c>
    </row>
    <row r="181">
      <c r="A181" s="62">
        <v>177</v>
      </c>
      <c r="B181" s="66">
        <v>51</v>
      </c>
      <c r="C181" s="67">
        <v>1</v>
      </c>
      <c r="D181" s="67">
        <v>4</v>
      </c>
      <c r="E181" s="66">
        <v>140</v>
      </c>
      <c r="F181" s="66">
        <v>298</v>
      </c>
      <c r="G181" s="67">
        <v>0</v>
      </c>
      <c r="H181" s="67">
        <v>0</v>
      </c>
      <c r="I181" s="66">
        <v>122</v>
      </c>
      <c r="J181" s="67">
        <v>1</v>
      </c>
      <c r="K181" s="66">
        <v>4.2</v>
      </c>
      <c r="L181" s="67">
        <v>2</v>
      </c>
      <c r="M181" s="66">
        <v>3</v>
      </c>
      <c r="N181" s="67">
        <v>7</v>
      </c>
      <c r="O181" s="68">
        <v>2</v>
      </c>
      <c r="P181" s="93" t="str">
        <f>IFERROR(CHOOSE(MATCH(A181,'Dataset'!$B$5:$B$11,0),"S₁","S₂","S₃","S₄","S₅","S₆","S₇"),"")</f>
        <v/>
      </c>
    </row>
    <row r="182">
      <c r="A182" s="62">
        <v>178</v>
      </c>
      <c r="B182" s="66">
        <v>46</v>
      </c>
      <c r="C182" s="67">
        <v>1</v>
      </c>
      <c r="D182" s="67">
        <v>3</v>
      </c>
      <c r="E182" s="66">
        <v>150</v>
      </c>
      <c r="F182" s="66">
        <v>231</v>
      </c>
      <c r="G182" s="67">
        <v>0</v>
      </c>
      <c r="H182" s="67">
        <v>0</v>
      </c>
      <c r="I182" s="66">
        <v>147</v>
      </c>
      <c r="J182" s="67">
        <v>0</v>
      </c>
      <c r="K182" s="66">
        <v>3.6</v>
      </c>
      <c r="L182" s="67">
        <v>2</v>
      </c>
      <c r="M182" s="66">
        <v>0</v>
      </c>
      <c r="N182" s="67">
        <v>3</v>
      </c>
      <c r="O182" s="68">
        <v>2</v>
      </c>
      <c r="P182" s="93" t="str">
        <f>IFERROR(CHOOSE(MATCH(A182,'Dataset'!$B$5:$B$11,0),"S₁","S₂","S₃","S₄","S₅","S₆","S₇"),"")</f>
        <v/>
      </c>
    </row>
    <row r="183">
      <c r="A183" s="62">
        <v>179</v>
      </c>
      <c r="B183" s="66">
        <v>67</v>
      </c>
      <c r="C183" s="67">
        <v>1</v>
      </c>
      <c r="D183" s="67">
        <v>4</v>
      </c>
      <c r="E183" s="66">
        <v>125</v>
      </c>
      <c r="F183" s="66">
        <v>254</v>
      </c>
      <c r="G183" s="67">
        <v>1</v>
      </c>
      <c r="H183" s="67">
        <v>0</v>
      </c>
      <c r="I183" s="66">
        <v>163</v>
      </c>
      <c r="J183" s="67">
        <v>0</v>
      </c>
      <c r="K183" s="66">
        <v>0.2</v>
      </c>
      <c r="L183" s="67">
        <v>2</v>
      </c>
      <c r="M183" s="66">
        <v>2</v>
      </c>
      <c r="N183" s="67">
        <v>7</v>
      </c>
      <c r="O183" s="68">
        <v>2</v>
      </c>
      <c r="P183" s="93" t="str">
        <f>IFERROR(CHOOSE(MATCH(A183,'Dataset'!$B$5:$B$11,0),"S₁","S₂","S₃","S₄","S₅","S₆","S₇"),"")</f>
        <v/>
      </c>
    </row>
    <row r="184">
      <c r="A184" s="62">
        <v>180</v>
      </c>
      <c r="B184" s="66">
        <v>50</v>
      </c>
      <c r="C184" s="67">
        <v>1</v>
      </c>
      <c r="D184" s="67">
        <v>3</v>
      </c>
      <c r="E184" s="66">
        <v>129</v>
      </c>
      <c r="F184" s="66">
        <v>196</v>
      </c>
      <c r="G184" s="67">
        <v>0</v>
      </c>
      <c r="H184" s="67">
        <v>0</v>
      </c>
      <c r="I184" s="66">
        <v>163</v>
      </c>
      <c r="J184" s="67">
        <v>0</v>
      </c>
      <c r="K184" s="66">
        <v>0</v>
      </c>
      <c r="L184" s="67">
        <v>1</v>
      </c>
      <c r="M184" s="66">
        <v>0</v>
      </c>
      <c r="N184" s="67">
        <v>3</v>
      </c>
      <c r="O184" s="68">
        <v>1</v>
      </c>
      <c r="P184" s="93" t="str">
        <f>IFERROR(CHOOSE(MATCH(A184,'Dataset'!$B$5:$B$11,0),"S₁","S₂","S₃","S₄","S₅","S₆","S₇"),"")</f>
        <v/>
      </c>
    </row>
    <row r="185">
      <c r="A185" s="62">
        <v>181</v>
      </c>
      <c r="B185" s="66">
        <v>42</v>
      </c>
      <c r="C185" s="67">
        <v>1</v>
      </c>
      <c r="D185" s="67">
        <v>3</v>
      </c>
      <c r="E185" s="66">
        <v>120</v>
      </c>
      <c r="F185" s="66">
        <v>240</v>
      </c>
      <c r="G185" s="67">
        <v>1</v>
      </c>
      <c r="H185" s="67">
        <v>0</v>
      </c>
      <c r="I185" s="66">
        <v>194</v>
      </c>
      <c r="J185" s="67">
        <v>0</v>
      </c>
      <c r="K185" s="66">
        <v>0.8</v>
      </c>
      <c r="L185" s="67">
        <v>3</v>
      </c>
      <c r="M185" s="66">
        <v>0</v>
      </c>
      <c r="N185" s="67">
        <v>7</v>
      </c>
      <c r="O185" s="68">
        <v>1</v>
      </c>
      <c r="P185" s="93" t="str">
        <f>IFERROR(CHOOSE(MATCH(A185,'Dataset'!$B$5:$B$11,0),"S₁","S₂","S₃","S₄","S₅","S₆","S₇"),"")</f>
        <v/>
      </c>
    </row>
    <row r="186">
      <c r="A186" s="62">
        <v>182</v>
      </c>
      <c r="B186" s="66">
        <v>56</v>
      </c>
      <c r="C186" s="67">
        <v>0</v>
      </c>
      <c r="D186" s="67">
        <v>4</v>
      </c>
      <c r="E186" s="66">
        <v>134</v>
      </c>
      <c r="F186" s="66">
        <v>409</v>
      </c>
      <c r="G186" s="67">
        <v>0</v>
      </c>
      <c r="H186" s="67">
        <v>2</v>
      </c>
      <c r="I186" s="66">
        <v>150</v>
      </c>
      <c r="J186" s="67">
        <v>1</v>
      </c>
      <c r="K186" s="66">
        <v>1.9</v>
      </c>
      <c r="L186" s="67">
        <v>2</v>
      </c>
      <c r="M186" s="66">
        <v>2</v>
      </c>
      <c r="N186" s="67">
        <v>7</v>
      </c>
      <c r="O186" s="68">
        <v>2</v>
      </c>
      <c r="P186" s="93" t="str">
        <f>IFERROR(CHOOSE(MATCH(A186,'Dataset'!$B$5:$B$11,0),"S₁","S₂","S₃","S₄","S₅","S₆","S₇"),"")</f>
        <v/>
      </c>
    </row>
    <row r="187">
      <c r="A187" s="62">
        <v>183</v>
      </c>
      <c r="B187" s="66">
        <v>41</v>
      </c>
      <c r="C187" s="67">
        <v>1</v>
      </c>
      <c r="D187" s="67">
        <v>4</v>
      </c>
      <c r="E187" s="66">
        <v>110</v>
      </c>
      <c r="F187" s="66">
        <v>172</v>
      </c>
      <c r="G187" s="67">
        <v>0</v>
      </c>
      <c r="H187" s="67">
        <v>2</v>
      </c>
      <c r="I187" s="66">
        <v>158</v>
      </c>
      <c r="J187" s="67">
        <v>0</v>
      </c>
      <c r="K187" s="66">
        <v>0</v>
      </c>
      <c r="L187" s="67">
        <v>1</v>
      </c>
      <c r="M187" s="66">
        <v>0</v>
      </c>
      <c r="N187" s="67">
        <v>7</v>
      </c>
      <c r="O187" s="68">
        <v>2</v>
      </c>
      <c r="P187" s="93" t="str">
        <f>IFERROR(CHOOSE(MATCH(A187,'Dataset'!$B$5:$B$11,0),"S₁","S₂","S₃","S₄","S₅","S₆","S₇"),"")</f>
        <v/>
      </c>
    </row>
    <row r="188">
      <c r="A188" s="62">
        <v>184</v>
      </c>
      <c r="B188" s="66">
        <v>42</v>
      </c>
      <c r="C188" s="67">
        <v>0</v>
      </c>
      <c r="D188" s="67">
        <v>4</v>
      </c>
      <c r="E188" s="66">
        <v>102</v>
      </c>
      <c r="F188" s="66">
        <v>265</v>
      </c>
      <c r="G188" s="67">
        <v>0</v>
      </c>
      <c r="H188" s="67">
        <v>2</v>
      </c>
      <c r="I188" s="66">
        <v>122</v>
      </c>
      <c r="J188" s="67">
        <v>0</v>
      </c>
      <c r="K188" s="66">
        <v>0.6</v>
      </c>
      <c r="L188" s="67">
        <v>2</v>
      </c>
      <c r="M188" s="66">
        <v>0</v>
      </c>
      <c r="N188" s="67">
        <v>3</v>
      </c>
      <c r="O188" s="68">
        <v>1</v>
      </c>
      <c r="P188" s="93" t="str">
        <f>IFERROR(CHOOSE(MATCH(A188,'Dataset'!$B$5:$B$11,0),"S₁","S₂","S₃","S₄","S₅","S₆","S₇"),"")</f>
        <v/>
      </c>
    </row>
    <row r="189">
      <c r="A189" s="62">
        <v>185</v>
      </c>
      <c r="B189" s="66">
        <v>53</v>
      </c>
      <c r="C189" s="67">
        <v>1</v>
      </c>
      <c r="D189" s="67">
        <v>3</v>
      </c>
      <c r="E189" s="66">
        <v>130</v>
      </c>
      <c r="F189" s="66">
        <v>246</v>
      </c>
      <c r="G189" s="67">
        <v>1</v>
      </c>
      <c r="H189" s="67">
        <v>2</v>
      </c>
      <c r="I189" s="66">
        <v>173</v>
      </c>
      <c r="J189" s="67">
        <v>0</v>
      </c>
      <c r="K189" s="66">
        <v>0</v>
      </c>
      <c r="L189" s="67">
        <v>1</v>
      </c>
      <c r="M189" s="66">
        <v>3</v>
      </c>
      <c r="N189" s="67">
        <v>3</v>
      </c>
      <c r="O189" s="68">
        <v>1</v>
      </c>
      <c r="P189" s="93" t="str">
        <f>IFERROR(CHOOSE(MATCH(A189,'Dataset'!$B$5:$B$11,0),"S₁","S₂","S₃","S₄","S₅","S₆","S₇"),"")</f>
        <v/>
      </c>
    </row>
    <row r="190">
      <c r="A190" s="62">
        <v>186</v>
      </c>
      <c r="B190" s="66">
        <v>43</v>
      </c>
      <c r="C190" s="67">
        <v>1</v>
      </c>
      <c r="D190" s="67">
        <v>3</v>
      </c>
      <c r="E190" s="66">
        <v>130</v>
      </c>
      <c r="F190" s="66">
        <v>315</v>
      </c>
      <c r="G190" s="67">
        <v>0</v>
      </c>
      <c r="H190" s="67">
        <v>0</v>
      </c>
      <c r="I190" s="66">
        <v>162</v>
      </c>
      <c r="J190" s="67">
        <v>0</v>
      </c>
      <c r="K190" s="66">
        <v>1.9</v>
      </c>
      <c r="L190" s="67">
        <v>1</v>
      </c>
      <c r="M190" s="66">
        <v>1</v>
      </c>
      <c r="N190" s="67">
        <v>3</v>
      </c>
      <c r="O190" s="68">
        <v>1</v>
      </c>
      <c r="P190" s="93" t="str">
        <f>IFERROR(CHOOSE(MATCH(A190,'Dataset'!$B$5:$B$11,0),"S₁","S₂","S₃","S₄","S₅","S₆","S₇"),"")</f>
        <v/>
      </c>
    </row>
    <row r="191">
      <c r="A191" s="62">
        <v>187</v>
      </c>
      <c r="B191" s="66">
        <v>56</v>
      </c>
      <c r="C191" s="67">
        <v>1</v>
      </c>
      <c r="D191" s="67">
        <v>4</v>
      </c>
      <c r="E191" s="66">
        <v>132</v>
      </c>
      <c r="F191" s="66">
        <v>184</v>
      </c>
      <c r="G191" s="67">
        <v>0</v>
      </c>
      <c r="H191" s="67">
        <v>2</v>
      </c>
      <c r="I191" s="66">
        <v>105</v>
      </c>
      <c r="J191" s="67">
        <v>1</v>
      </c>
      <c r="K191" s="66">
        <v>2.1</v>
      </c>
      <c r="L191" s="67">
        <v>2</v>
      </c>
      <c r="M191" s="66">
        <v>1</v>
      </c>
      <c r="N191" s="67">
        <v>6</v>
      </c>
      <c r="O191" s="68">
        <v>2</v>
      </c>
      <c r="P191" s="93" t="str">
        <f>IFERROR(CHOOSE(MATCH(A191,'Dataset'!$B$5:$B$11,0),"S₁","S₂","S₃","S₄","S₅","S₆","S₇"),"")</f>
        <v/>
      </c>
    </row>
    <row r="192">
      <c r="A192" s="62">
        <v>188</v>
      </c>
      <c r="B192" s="66">
        <v>52</v>
      </c>
      <c r="C192" s="67">
        <v>1</v>
      </c>
      <c r="D192" s="67">
        <v>4</v>
      </c>
      <c r="E192" s="66">
        <v>108</v>
      </c>
      <c r="F192" s="66">
        <v>233</v>
      </c>
      <c r="G192" s="67">
        <v>1</v>
      </c>
      <c r="H192" s="67">
        <v>0</v>
      </c>
      <c r="I192" s="66">
        <v>147</v>
      </c>
      <c r="J192" s="67">
        <v>0</v>
      </c>
      <c r="K192" s="66">
        <v>0.1</v>
      </c>
      <c r="L192" s="67">
        <v>1</v>
      </c>
      <c r="M192" s="66">
        <v>3</v>
      </c>
      <c r="N192" s="67">
        <v>7</v>
      </c>
      <c r="O192" s="68">
        <v>1</v>
      </c>
      <c r="P192" s="93" t="str">
        <f>IFERROR(CHOOSE(MATCH(A192,'Dataset'!$B$5:$B$11,0),"S₁","S₂","S₃","S₄","S₅","S₆","S₇"),"")</f>
        <v/>
      </c>
    </row>
    <row r="193">
      <c r="A193" s="62">
        <v>189</v>
      </c>
      <c r="B193" s="66">
        <v>62</v>
      </c>
      <c r="C193" s="67">
        <v>0</v>
      </c>
      <c r="D193" s="67">
        <v>4</v>
      </c>
      <c r="E193" s="66">
        <v>140</v>
      </c>
      <c r="F193" s="66">
        <v>394</v>
      </c>
      <c r="G193" s="67">
        <v>0</v>
      </c>
      <c r="H193" s="67">
        <v>2</v>
      </c>
      <c r="I193" s="66">
        <v>157</v>
      </c>
      <c r="J193" s="67">
        <v>0</v>
      </c>
      <c r="K193" s="66">
        <v>1.2</v>
      </c>
      <c r="L193" s="67">
        <v>2</v>
      </c>
      <c r="M193" s="66">
        <v>0</v>
      </c>
      <c r="N193" s="67">
        <v>3</v>
      </c>
      <c r="O193" s="68">
        <v>1</v>
      </c>
      <c r="P193" s="93" t="str">
        <f>IFERROR(CHOOSE(MATCH(A193,'Dataset'!$B$5:$B$11,0),"S₁","S₂","S₃","S₄","S₅","S₆","S₇"),"")</f>
        <v/>
      </c>
    </row>
    <row r="194">
      <c r="A194" s="62">
        <v>190</v>
      </c>
      <c r="B194" s="66">
        <v>70</v>
      </c>
      <c r="C194" s="67">
        <v>1</v>
      </c>
      <c r="D194" s="67">
        <v>3</v>
      </c>
      <c r="E194" s="66">
        <v>160</v>
      </c>
      <c r="F194" s="66">
        <v>269</v>
      </c>
      <c r="G194" s="67">
        <v>0</v>
      </c>
      <c r="H194" s="67">
        <v>0</v>
      </c>
      <c r="I194" s="66">
        <v>112</v>
      </c>
      <c r="J194" s="67">
        <v>1</v>
      </c>
      <c r="K194" s="66">
        <v>2.9</v>
      </c>
      <c r="L194" s="67">
        <v>2</v>
      </c>
      <c r="M194" s="66">
        <v>1</v>
      </c>
      <c r="N194" s="67">
        <v>7</v>
      </c>
      <c r="O194" s="68">
        <v>2</v>
      </c>
      <c r="P194" s="93" t="str">
        <f>IFERROR(CHOOSE(MATCH(A194,'Dataset'!$B$5:$B$11,0),"S₁","S₂","S₃","S₄","S₅","S₆","S₇"),"")</f>
        <v/>
      </c>
    </row>
    <row r="195">
      <c r="A195" s="62">
        <v>191</v>
      </c>
      <c r="B195" s="66">
        <v>54</v>
      </c>
      <c r="C195" s="67">
        <v>1</v>
      </c>
      <c r="D195" s="67">
        <v>4</v>
      </c>
      <c r="E195" s="66">
        <v>140</v>
      </c>
      <c r="F195" s="66">
        <v>239</v>
      </c>
      <c r="G195" s="67">
        <v>0</v>
      </c>
      <c r="H195" s="67">
        <v>0</v>
      </c>
      <c r="I195" s="66">
        <v>160</v>
      </c>
      <c r="J195" s="67">
        <v>0</v>
      </c>
      <c r="K195" s="66">
        <v>1.2</v>
      </c>
      <c r="L195" s="67">
        <v>1</v>
      </c>
      <c r="M195" s="66">
        <v>0</v>
      </c>
      <c r="N195" s="67">
        <v>3</v>
      </c>
      <c r="O195" s="68">
        <v>1</v>
      </c>
      <c r="P195" s="93" t="str">
        <f>IFERROR(CHOOSE(MATCH(A195,'Dataset'!$B$5:$B$11,0),"S₁","S₂","S₃","S₄","S₅","S₆","S₇"),"")</f>
        <v/>
      </c>
    </row>
    <row r="196">
      <c r="A196" s="62">
        <v>192</v>
      </c>
      <c r="B196" s="66">
        <v>70</v>
      </c>
      <c r="C196" s="67">
        <v>1</v>
      </c>
      <c r="D196" s="67">
        <v>4</v>
      </c>
      <c r="E196" s="66">
        <v>145</v>
      </c>
      <c r="F196" s="66">
        <v>174</v>
      </c>
      <c r="G196" s="67">
        <v>0</v>
      </c>
      <c r="H196" s="67">
        <v>0</v>
      </c>
      <c r="I196" s="66">
        <v>125</v>
      </c>
      <c r="J196" s="67">
        <v>1</v>
      </c>
      <c r="K196" s="66">
        <v>2.6</v>
      </c>
      <c r="L196" s="67">
        <v>3</v>
      </c>
      <c r="M196" s="66">
        <v>0</v>
      </c>
      <c r="N196" s="67">
        <v>7</v>
      </c>
      <c r="O196" s="68">
        <v>2</v>
      </c>
      <c r="P196" s="93" t="str">
        <f>IFERROR(CHOOSE(MATCH(A196,'Dataset'!$B$5:$B$11,0),"S₁","S₂","S₃","S₄","S₅","S₆","S₇"),"")</f>
        <v/>
      </c>
    </row>
    <row r="197">
      <c r="A197" s="62">
        <v>193</v>
      </c>
      <c r="B197" s="66">
        <v>54</v>
      </c>
      <c r="C197" s="67">
        <v>1</v>
      </c>
      <c r="D197" s="67">
        <v>2</v>
      </c>
      <c r="E197" s="66">
        <v>108</v>
      </c>
      <c r="F197" s="66">
        <v>309</v>
      </c>
      <c r="G197" s="67">
        <v>0</v>
      </c>
      <c r="H197" s="67">
        <v>0</v>
      </c>
      <c r="I197" s="66">
        <v>156</v>
      </c>
      <c r="J197" s="67">
        <v>0</v>
      </c>
      <c r="K197" s="66">
        <v>0</v>
      </c>
      <c r="L197" s="67">
        <v>1</v>
      </c>
      <c r="M197" s="66">
        <v>0</v>
      </c>
      <c r="N197" s="67">
        <v>7</v>
      </c>
      <c r="O197" s="68">
        <v>1</v>
      </c>
      <c r="P197" s="93" t="str">
        <f>IFERROR(CHOOSE(MATCH(A197,'Dataset'!$B$5:$B$11,0),"S₁","S₂","S₃","S₄","S₅","S₆","S₇"),"")</f>
        <v/>
      </c>
    </row>
    <row r="198">
      <c r="A198" s="62">
        <v>194</v>
      </c>
      <c r="B198" s="66">
        <v>35</v>
      </c>
      <c r="C198" s="67">
        <v>1</v>
      </c>
      <c r="D198" s="67">
        <v>4</v>
      </c>
      <c r="E198" s="66">
        <v>126</v>
      </c>
      <c r="F198" s="66">
        <v>282</v>
      </c>
      <c r="G198" s="67">
        <v>0</v>
      </c>
      <c r="H198" s="67">
        <v>2</v>
      </c>
      <c r="I198" s="66">
        <v>156</v>
      </c>
      <c r="J198" s="67">
        <v>1</v>
      </c>
      <c r="K198" s="66">
        <v>0</v>
      </c>
      <c r="L198" s="67">
        <v>1</v>
      </c>
      <c r="M198" s="66">
        <v>0</v>
      </c>
      <c r="N198" s="67">
        <v>7</v>
      </c>
      <c r="O198" s="68">
        <v>2</v>
      </c>
      <c r="P198" s="93" t="str">
        <f>IFERROR(CHOOSE(MATCH(A198,'Dataset'!$B$5:$B$11,0),"S₁","S₂","S₃","S₄","S₅","S₆","S₇"),"")</f>
        <v/>
      </c>
    </row>
    <row r="199">
      <c r="A199" s="62">
        <v>195</v>
      </c>
      <c r="B199" s="66">
        <v>48</v>
      </c>
      <c r="C199" s="67">
        <v>1</v>
      </c>
      <c r="D199" s="67">
        <v>3</v>
      </c>
      <c r="E199" s="66">
        <v>124</v>
      </c>
      <c r="F199" s="66">
        <v>255</v>
      </c>
      <c r="G199" s="67">
        <v>1</v>
      </c>
      <c r="H199" s="67">
        <v>0</v>
      </c>
      <c r="I199" s="66">
        <v>175</v>
      </c>
      <c r="J199" s="67">
        <v>0</v>
      </c>
      <c r="K199" s="66">
        <v>0</v>
      </c>
      <c r="L199" s="67">
        <v>1</v>
      </c>
      <c r="M199" s="66">
        <v>2</v>
      </c>
      <c r="N199" s="67">
        <v>3</v>
      </c>
      <c r="O199" s="68">
        <v>1</v>
      </c>
      <c r="P199" s="93" t="str">
        <f>IFERROR(CHOOSE(MATCH(A199,'Dataset'!$B$5:$B$11,0),"S₁","S₂","S₃","S₄","S₅","S₆","S₇"),"")</f>
        <v/>
      </c>
    </row>
    <row r="200">
      <c r="A200" s="62">
        <v>196</v>
      </c>
      <c r="B200" s="66">
        <v>55</v>
      </c>
      <c r="C200" s="67">
        <v>0</v>
      </c>
      <c r="D200" s="67">
        <v>2</v>
      </c>
      <c r="E200" s="66">
        <v>135</v>
      </c>
      <c r="F200" s="66">
        <v>250</v>
      </c>
      <c r="G200" s="67">
        <v>0</v>
      </c>
      <c r="H200" s="67">
        <v>2</v>
      </c>
      <c r="I200" s="66">
        <v>161</v>
      </c>
      <c r="J200" s="67">
        <v>0</v>
      </c>
      <c r="K200" s="66">
        <v>1.4</v>
      </c>
      <c r="L200" s="67">
        <v>2</v>
      </c>
      <c r="M200" s="66">
        <v>0</v>
      </c>
      <c r="N200" s="67">
        <v>3</v>
      </c>
      <c r="O200" s="68">
        <v>1</v>
      </c>
      <c r="P200" s="93" t="str">
        <f>IFERROR(CHOOSE(MATCH(A200,'Dataset'!$B$5:$B$11,0),"S₁","S₂","S₃","S₄","S₅","S₆","S₇"),"")</f>
        <v/>
      </c>
    </row>
    <row r="201">
      <c r="A201" s="62">
        <v>197</v>
      </c>
      <c r="B201" s="66">
        <v>58</v>
      </c>
      <c r="C201" s="67">
        <v>0</v>
      </c>
      <c r="D201" s="67">
        <v>4</v>
      </c>
      <c r="E201" s="66">
        <v>100</v>
      </c>
      <c r="F201" s="66">
        <v>248</v>
      </c>
      <c r="G201" s="67">
        <v>0</v>
      </c>
      <c r="H201" s="67">
        <v>2</v>
      </c>
      <c r="I201" s="66">
        <v>122</v>
      </c>
      <c r="J201" s="67">
        <v>0</v>
      </c>
      <c r="K201" s="66">
        <v>1</v>
      </c>
      <c r="L201" s="67">
        <v>2</v>
      </c>
      <c r="M201" s="66">
        <v>0</v>
      </c>
      <c r="N201" s="67">
        <v>3</v>
      </c>
      <c r="O201" s="68">
        <v>1</v>
      </c>
      <c r="P201" s="93" t="str">
        <f>IFERROR(CHOOSE(MATCH(A201,'Dataset'!$B$5:$B$11,0),"S₁","S₂","S₃","S₄","S₅","S₆","S₇"),"")</f>
        <v/>
      </c>
    </row>
    <row r="202">
      <c r="A202" s="62">
        <v>198</v>
      </c>
      <c r="B202" s="66">
        <v>54</v>
      </c>
      <c r="C202" s="67">
        <v>0</v>
      </c>
      <c r="D202" s="67">
        <v>3</v>
      </c>
      <c r="E202" s="66">
        <v>110</v>
      </c>
      <c r="F202" s="66">
        <v>214</v>
      </c>
      <c r="G202" s="67">
        <v>0</v>
      </c>
      <c r="H202" s="67">
        <v>0</v>
      </c>
      <c r="I202" s="66">
        <v>158</v>
      </c>
      <c r="J202" s="67">
        <v>0</v>
      </c>
      <c r="K202" s="66">
        <v>1.6</v>
      </c>
      <c r="L202" s="67">
        <v>2</v>
      </c>
      <c r="M202" s="66">
        <v>0</v>
      </c>
      <c r="N202" s="67">
        <v>3</v>
      </c>
      <c r="O202" s="68">
        <v>1</v>
      </c>
      <c r="P202" s="93" t="str">
        <f>IFERROR(CHOOSE(MATCH(A202,'Dataset'!$B$5:$B$11,0),"S₁","S₂","S₃","S₄","S₅","S₆","S₇"),"")</f>
        <v/>
      </c>
    </row>
    <row r="203">
      <c r="A203" s="62">
        <v>199</v>
      </c>
      <c r="B203" s="66">
        <v>69</v>
      </c>
      <c r="C203" s="67">
        <v>0</v>
      </c>
      <c r="D203" s="67">
        <v>1</v>
      </c>
      <c r="E203" s="66">
        <v>140</v>
      </c>
      <c r="F203" s="66">
        <v>239</v>
      </c>
      <c r="G203" s="67">
        <v>0</v>
      </c>
      <c r="H203" s="67">
        <v>0</v>
      </c>
      <c r="I203" s="66">
        <v>151</v>
      </c>
      <c r="J203" s="67">
        <v>0</v>
      </c>
      <c r="K203" s="66">
        <v>1.8</v>
      </c>
      <c r="L203" s="67">
        <v>1</v>
      </c>
      <c r="M203" s="66">
        <v>2</v>
      </c>
      <c r="N203" s="67">
        <v>3</v>
      </c>
      <c r="O203" s="68">
        <v>1</v>
      </c>
      <c r="P203" s="93" t="str">
        <f>IFERROR(CHOOSE(MATCH(A203,'Dataset'!$B$5:$B$11,0),"S₁","S₂","S₃","S₄","S₅","S₆","S₇"),"")</f>
        <v/>
      </c>
    </row>
    <row r="204">
      <c r="A204" s="62">
        <v>200</v>
      </c>
      <c r="B204" s="66">
        <v>77</v>
      </c>
      <c r="C204" s="67">
        <v>1</v>
      </c>
      <c r="D204" s="67">
        <v>4</v>
      </c>
      <c r="E204" s="66">
        <v>125</v>
      </c>
      <c r="F204" s="66">
        <v>304</v>
      </c>
      <c r="G204" s="67">
        <v>0</v>
      </c>
      <c r="H204" s="67">
        <v>2</v>
      </c>
      <c r="I204" s="66">
        <v>162</v>
      </c>
      <c r="J204" s="67">
        <v>1</v>
      </c>
      <c r="K204" s="66">
        <v>0</v>
      </c>
      <c r="L204" s="67">
        <v>1</v>
      </c>
      <c r="M204" s="66">
        <v>3</v>
      </c>
      <c r="N204" s="67">
        <v>3</v>
      </c>
      <c r="O204" s="68">
        <v>2</v>
      </c>
      <c r="P204" s="93" t="str">
        <f>IFERROR(CHOOSE(MATCH(A204,'Dataset'!$B$5:$B$11,0),"S₁","S₂","S₃","S₄","S₅","S₆","S₇"),"")</f>
        <v/>
      </c>
    </row>
    <row r="205">
      <c r="A205" s="62">
        <v>201</v>
      </c>
      <c r="B205" s="66">
        <v>68</v>
      </c>
      <c r="C205" s="67">
        <v>1</v>
      </c>
      <c r="D205" s="67">
        <v>3</v>
      </c>
      <c r="E205" s="66">
        <v>118</v>
      </c>
      <c r="F205" s="66">
        <v>277</v>
      </c>
      <c r="G205" s="67">
        <v>0</v>
      </c>
      <c r="H205" s="67">
        <v>0</v>
      </c>
      <c r="I205" s="66">
        <v>151</v>
      </c>
      <c r="J205" s="67">
        <v>0</v>
      </c>
      <c r="K205" s="66">
        <v>1</v>
      </c>
      <c r="L205" s="67">
        <v>1</v>
      </c>
      <c r="M205" s="66">
        <v>1</v>
      </c>
      <c r="N205" s="67">
        <v>7</v>
      </c>
      <c r="O205" s="68">
        <v>1</v>
      </c>
      <c r="P205" s="93" t="str">
        <f>IFERROR(CHOOSE(MATCH(A205,'Dataset'!$B$5:$B$11,0),"S₁","S₂","S₃","S₄","S₅","S₆","S₇"),"")</f>
        <v/>
      </c>
    </row>
    <row r="206">
      <c r="A206" s="62">
        <v>202</v>
      </c>
      <c r="B206" s="66">
        <v>58</v>
      </c>
      <c r="C206" s="67">
        <v>1</v>
      </c>
      <c r="D206" s="67">
        <v>4</v>
      </c>
      <c r="E206" s="66">
        <v>125</v>
      </c>
      <c r="F206" s="66">
        <v>300</v>
      </c>
      <c r="G206" s="67">
        <v>0</v>
      </c>
      <c r="H206" s="67">
        <v>2</v>
      </c>
      <c r="I206" s="66">
        <v>171</v>
      </c>
      <c r="J206" s="67">
        <v>0</v>
      </c>
      <c r="K206" s="66">
        <v>0</v>
      </c>
      <c r="L206" s="67">
        <v>1</v>
      </c>
      <c r="M206" s="66">
        <v>2</v>
      </c>
      <c r="N206" s="67">
        <v>7</v>
      </c>
      <c r="O206" s="68">
        <v>2</v>
      </c>
      <c r="P206" s="93" t="str">
        <f>IFERROR(CHOOSE(MATCH(A206,'Dataset'!$B$5:$B$11,0),"S₁","S₂","S₃","S₄","S₅","S₆","S₇"),"")</f>
        <v/>
      </c>
    </row>
    <row r="207">
      <c r="A207" s="62">
        <v>203</v>
      </c>
      <c r="B207" s="66">
        <v>60</v>
      </c>
      <c r="C207" s="67">
        <v>1</v>
      </c>
      <c r="D207" s="67">
        <v>4</v>
      </c>
      <c r="E207" s="66">
        <v>125</v>
      </c>
      <c r="F207" s="66">
        <v>258</v>
      </c>
      <c r="G207" s="67">
        <v>0</v>
      </c>
      <c r="H207" s="67">
        <v>2</v>
      </c>
      <c r="I207" s="66">
        <v>141</v>
      </c>
      <c r="J207" s="67">
        <v>1</v>
      </c>
      <c r="K207" s="66">
        <v>2.8</v>
      </c>
      <c r="L207" s="67">
        <v>2</v>
      </c>
      <c r="M207" s="66">
        <v>1</v>
      </c>
      <c r="N207" s="67">
        <v>7</v>
      </c>
      <c r="O207" s="68">
        <v>2</v>
      </c>
      <c r="P207" s="93" t="str">
        <f>IFERROR(CHOOSE(MATCH(A207,'Dataset'!$B$5:$B$11,0),"S₁","S₂","S₃","S₄","S₅","S₆","S₇"),"")</f>
        <v/>
      </c>
    </row>
    <row r="208">
      <c r="A208" s="62">
        <v>204</v>
      </c>
      <c r="B208" s="66">
        <v>51</v>
      </c>
      <c r="C208" s="67">
        <v>1</v>
      </c>
      <c r="D208" s="67">
        <v>4</v>
      </c>
      <c r="E208" s="66">
        <v>140</v>
      </c>
      <c r="F208" s="66">
        <v>299</v>
      </c>
      <c r="G208" s="67">
        <v>0</v>
      </c>
      <c r="H208" s="67">
        <v>0</v>
      </c>
      <c r="I208" s="66">
        <v>173</v>
      </c>
      <c r="J208" s="67">
        <v>1</v>
      </c>
      <c r="K208" s="66">
        <v>1.6</v>
      </c>
      <c r="L208" s="67">
        <v>1</v>
      </c>
      <c r="M208" s="66">
        <v>0</v>
      </c>
      <c r="N208" s="67">
        <v>7</v>
      </c>
      <c r="O208" s="68">
        <v>2</v>
      </c>
      <c r="P208" s="93" t="str">
        <f>IFERROR(CHOOSE(MATCH(A208,'Dataset'!$B$5:$B$11,0),"S₁","S₂","S₃","S₄","S₅","S₆","S₇"),"")</f>
        <v/>
      </c>
    </row>
    <row r="209">
      <c r="A209" s="62">
        <v>205</v>
      </c>
      <c r="B209" s="66">
        <v>55</v>
      </c>
      <c r="C209" s="67">
        <v>1</v>
      </c>
      <c r="D209" s="67">
        <v>4</v>
      </c>
      <c r="E209" s="66">
        <v>160</v>
      </c>
      <c r="F209" s="66">
        <v>289</v>
      </c>
      <c r="G209" s="67">
        <v>0</v>
      </c>
      <c r="H209" s="67">
        <v>2</v>
      </c>
      <c r="I209" s="66">
        <v>145</v>
      </c>
      <c r="J209" s="67">
        <v>1</v>
      </c>
      <c r="K209" s="66">
        <v>0.8</v>
      </c>
      <c r="L209" s="67">
        <v>2</v>
      </c>
      <c r="M209" s="66">
        <v>1</v>
      </c>
      <c r="N209" s="67">
        <v>7</v>
      </c>
      <c r="O209" s="68">
        <v>2</v>
      </c>
      <c r="P209" s="93" t="str">
        <f>IFERROR(CHOOSE(MATCH(A209,'Dataset'!$B$5:$B$11,0),"S₁","S₂","S₃","S₄","S₅","S₆","S₇"),"")</f>
        <v/>
      </c>
    </row>
    <row r="210">
      <c r="A210" s="62">
        <v>206</v>
      </c>
      <c r="B210" s="66">
        <v>52</v>
      </c>
      <c r="C210" s="67">
        <v>1</v>
      </c>
      <c r="D210" s="67">
        <v>1</v>
      </c>
      <c r="E210" s="66">
        <v>152</v>
      </c>
      <c r="F210" s="66">
        <v>298</v>
      </c>
      <c r="G210" s="67">
        <v>1</v>
      </c>
      <c r="H210" s="67">
        <v>0</v>
      </c>
      <c r="I210" s="66">
        <v>178</v>
      </c>
      <c r="J210" s="67">
        <v>0</v>
      </c>
      <c r="K210" s="66">
        <v>1.2</v>
      </c>
      <c r="L210" s="67">
        <v>2</v>
      </c>
      <c r="M210" s="66">
        <v>0</v>
      </c>
      <c r="N210" s="67">
        <v>7</v>
      </c>
      <c r="O210" s="68">
        <v>1</v>
      </c>
      <c r="P210" s="93" t="str">
        <f>IFERROR(CHOOSE(MATCH(A210,'Dataset'!$B$5:$B$11,0),"S₁","S₂","S₃","S₄","S₅","S₆","S₇"),"")</f>
        <v/>
      </c>
    </row>
    <row r="211">
      <c r="A211" s="62">
        <v>207</v>
      </c>
      <c r="B211" s="66">
        <v>60</v>
      </c>
      <c r="C211" s="67">
        <v>0</v>
      </c>
      <c r="D211" s="67">
        <v>3</v>
      </c>
      <c r="E211" s="66">
        <v>102</v>
      </c>
      <c r="F211" s="66">
        <v>318</v>
      </c>
      <c r="G211" s="67">
        <v>0</v>
      </c>
      <c r="H211" s="67">
        <v>0</v>
      </c>
      <c r="I211" s="66">
        <v>160</v>
      </c>
      <c r="J211" s="67">
        <v>0</v>
      </c>
      <c r="K211" s="66">
        <v>0</v>
      </c>
      <c r="L211" s="67">
        <v>1</v>
      </c>
      <c r="M211" s="66">
        <v>1</v>
      </c>
      <c r="N211" s="67">
        <v>3</v>
      </c>
      <c r="O211" s="68">
        <v>1</v>
      </c>
      <c r="P211" s="93" t="str">
        <f>IFERROR(CHOOSE(MATCH(A211,'Dataset'!$B$5:$B$11,0),"S₁","S₂","S₃","S₄","S₅","S₆","S₇"),"")</f>
        <v/>
      </c>
    </row>
    <row r="212">
      <c r="A212" s="62">
        <v>208</v>
      </c>
      <c r="B212" s="66">
        <v>58</v>
      </c>
      <c r="C212" s="67">
        <v>1</v>
      </c>
      <c r="D212" s="67">
        <v>3</v>
      </c>
      <c r="E212" s="66">
        <v>105</v>
      </c>
      <c r="F212" s="66">
        <v>240</v>
      </c>
      <c r="G212" s="67">
        <v>0</v>
      </c>
      <c r="H212" s="67">
        <v>2</v>
      </c>
      <c r="I212" s="66">
        <v>154</v>
      </c>
      <c r="J212" s="67">
        <v>1</v>
      </c>
      <c r="K212" s="66">
        <v>0.6</v>
      </c>
      <c r="L212" s="67">
        <v>2</v>
      </c>
      <c r="M212" s="66">
        <v>0</v>
      </c>
      <c r="N212" s="67">
        <v>7</v>
      </c>
      <c r="O212" s="68">
        <v>1</v>
      </c>
      <c r="P212" s="93" t="str">
        <f>IFERROR(CHOOSE(MATCH(A212,'Dataset'!$B$5:$B$11,0),"S₁","S₂","S₃","S₄","S₅","S₆","S₇"),"")</f>
        <v/>
      </c>
    </row>
    <row r="213">
      <c r="A213" s="62">
        <v>209</v>
      </c>
      <c r="B213" s="66">
        <v>64</v>
      </c>
      <c r="C213" s="67">
        <v>1</v>
      </c>
      <c r="D213" s="67">
        <v>3</v>
      </c>
      <c r="E213" s="66">
        <v>125</v>
      </c>
      <c r="F213" s="66">
        <v>309</v>
      </c>
      <c r="G213" s="67">
        <v>0</v>
      </c>
      <c r="H213" s="67">
        <v>0</v>
      </c>
      <c r="I213" s="66">
        <v>131</v>
      </c>
      <c r="J213" s="67">
        <v>1</v>
      </c>
      <c r="K213" s="66">
        <v>1.8</v>
      </c>
      <c r="L213" s="67">
        <v>2</v>
      </c>
      <c r="M213" s="66">
        <v>0</v>
      </c>
      <c r="N213" s="67">
        <v>7</v>
      </c>
      <c r="O213" s="68">
        <v>2</v>
      </c>
      <c r="P213" s="93" t="str">
        <f>IFERROR(CHOOSE(MATCH(A213,'Dataset'!$B$5:$B$11,0),"S₁","S₂","S₃","S₄","S₅","S₆","S₇"),"")</f>
        <v/>
      </c>
    </row>
    <row r="214">
      <c r="A214" s="62">
        <v>210</v>
      </c>
      <c r="B214" s="66">
        <v>37</v>
      </c>
      <c r="C214" s="67">
        <v>1</v>
      </c>
      <c r="D214" s="67">
        <v>3</v>
      </c>
      <c r="E214" s="66">
        <v>130</v>
      </c>
      <c r="F214" s="66">
        <v>250</v>
      </c>
      <c r="G214" s="67">
        <v>0</v>
      </c>
      <c r="H214" s="67">
        <v>0</v>
      </c>
      <c r="I214" s="66">
        <v>187</v>
      </c>
      <c r="J214" s="67">
        <v>0</v>
      </c>
      <c r="K214" s="66">
        <v>3.5</v>
      </c>
      <c r="L214" s="67">
        <v>3</v>
      </c>
      <c r="M214" s="66">
        <v>0</v>
      </c>
      <c r="N214" s="67">
        <v>3</v>
      </c>
      <c r="O214" s="68">
        <v>1</v>
      </c>
      <c r="P214" s="93" t="str">
        <f>IFERROR(CHOOSE(MATCH(A214,'Dataset'!$B$5:$B$11,0),"S₁","S₂","S₃","S₄","S₅","S₆","S₇"),"")</f>
        <v/>
      </c>
    </row>
    <row r="215">
      <c r="A215" s="62">
        <v>211</v>
      </c>
      <c r="B215" s="66">
        <v>59</v>
      </c>
      <c r="C215" s="67">
        <v>1</v>
      </c>
      <c r="D215" s="67">
        <v>1</v>
      </c>
      <c r="E215" s="66">
        <v>170</v>
      </c>
      <c r="F215" s="66">
        <v>288</v>
      </c>
      <c r="G215" s="67">
        <v>0</v>
      </c>
      <c r="H215" s="67">
        <v>2</v>
      </c>
      <c r="I215" s="66">
        <v>159</v>
      </c>
      <c r="J215" s="67">
        <v>0</v>
      </c>
      <c r="K215" s="66">
        <v>0.2</v>
      </c>
      <c r="L215" s="67">
        <v>2</v>
      </c>
      <c r="M215" s="66">
        <v>0</v>
      </c>
      <c r="N215" s="67">
        <v>7</v>
      </c>
      <c r="O215" s="68">
        <v>2</v>
      </c>
      <c r="P215" s="93" t="str">
        <f>IFERROR(CHOOSE(MATCH(A215,'Dataset'!$B$5:$B$11,0),"S₁","S₂","S₃","S₄","S₅","S₆","S₇"),"")</f>
        <v/>
      </c>
    </row>
    <row r="216">
      <c r="A216" s="62">
        <v>212</v>
      </c>
      <c r="B216" s="66">
        <v>51</v>
      </c>
      <c r="C216" s="67">
        <v>1</v>
      </c>
      <c r="D216" s="67">
        <v>3</v>
      </c>
      <c r="E216" s="66">
        <v>125</v>
      </c>
      <c r="F216" s="66">
        <v>245</v>
      </c>
      <c r="G216" s="67">
        <v>1</v>
      </c>
      <c r="H216" s="67">
        <v>2</v>
      </c>
      <c r="I216" s="66">
        <v>166</v>
      </c>
      <c r="J216" s="67">
        <v>0</v>
      </c>
      <c r="K216" s="66">
        <v>2.4</v>
      </c>
      <c r="L216" s="67">
        <v>2</v>
      </c>
      <c r="M216" s="66">
        <v>0</v>
      </c>
      <c r="N216" s="67">
        <v>3</v>
      </c>
      <c r="O216" s="68">
        <v>1</v>
      </c>
      <c r="P216" s="93" t="str">
        <f>IFERROR(CHOOSE(MATCH(A216,'Dataset'!$B$5:$B$11,0),"S₁","S₂","S₃","S₄","S₅","S₆","S₇"),"")</f>
        <v/>
      </c>
    </row>
    <row r="217">
      <c r="A217" s="62">
        <v>213</v>
      </c>
      <c r="B217" s="66">
        <v>43</v>
      </c>
      <c r="C217" s="67">
        <v>0</v>
      </c>
      <c r="D217" s="67">
        <v>3</v>
      </c>
      <c r="E217" s="66">
        <v>122</v>
      </c>
      <c r="F217" s="66">
        <v>213</v>
      </c>
      <c r="G217" s="67">
        <v>0</v>
      </c>
      <c r="H217" s="67">
        <v>0</v>
      </c>
      <c r="I217" s="66">
        <v>165</v>
      </c>
      <c r="J217" s="67">
        <v>0</v>
      </c>
      <c r="K217" s="66">
        <v>0.2</v>
      </c>
      <c r="L217" s="67">
        <v>2</v>
      </c>
      <c r="M217" s="66">
        <v>0</v>
      </c>
      <c r="N217" s="67">
        <v>3</v>
      </c>
      <c r="O217" s="68">
        <v>1</v>
      </c>
      <c r="P217" s="93" t="str">
        <f>IFERROR(CHOOSE(MATCH(A217,'Dataset'!$B$5:$B$11,0),"S₁","S₂","S₃","S₄","S₅","S₆","S₇"),"")</f>
        <v/>
      </c>
    </row>
    <row r="218">
      <c r="A218" s="62">
        <v>214</v>
      </c>
      <c r="B218" s="66">
        <v>58</v>
      </c>
      <c r="C218" s="67">
        <v>1</v>
      </c>
      <c r="D218" s="67">
        <v>4</v>
      </c>
      <c r="E218" s="66">
        <v>128</v>
      </c>
      <c r="F218" s="66">
        <v>216</v>
      </c>
      <c r="G218" s="67">
        <v>0</v>
      </c>
      <c r="H218" s="67">
        <v>2</v>
      </c>
      <c r="I218" s="66">
        <v>131</v>
      </c>
      <c r="J218" s="67">
        <v>1</v>
      </c>
      <c r="K218" s="66">
        <v>2.2</v>
      </c>
      <c r="L218" s="67">
        <v>2</v>
      </c>
      <c r="M218" s="66">
        <v>3</v>
      </c>
      <c r="N218" s="67">
        <v>7</v>
      </c>
      <c r="O218" s="68">
        <v>2</v>
      </c>
      <c r="P218" s="93" t="str">
        <f>IFERROR(CHOOSE(MATCH(A218,'Dataset'!$B$5:$B$11,0),"S₁","S₂","S₃","S₄","S₅","S₆","S₇"),"")</f>
        <v/>
      </c>
    </row>
    <row r="219">
      <c r="A219" s="62">
        <v>215</v>
      </c>
      <c r="B219" s="66">
        <v>29</v>
      </c>
      <c r="C219" s="67">
        <v>1</v>
      </c>
      <c r="D219" s="67">
        <v>2</v>
      </c>
      <c r="E219" s="66">
        <v>130</v>
      </c>
      <c r="F219" s="66">
        <v>204</v>
      </c>
      <c r="G219" s="67">
        <v>0</v>
      </c>
      <c r="H219" s="67">
        <v>2</v>
      </c>
      <c r="I219" s="66">
        <v>202</v>
      </c>
      <c r="J219" s="67">
        <v>0</v>
      </c>
      <c r="K219" s="66">
        <v>0</v>
      </c>
      <c r="L219" s="67">
        <v>1</v>
      </c>
      <c r="M219" s="66">
        <v>0</v>
      </c>
      <c r="N219" s="67">
        <v>3</v>
      </c>
      <c r="O219" s="68">
        <v>1</v>
      </c>
      <c r="P219" s="93" t="str">
        <f>IFERROR(CHOOSE(MATCH(A219,'Dataset'!$B$5:$B$11,0),"S₁","S₂","S₃","S₄","S₅","S₆","S₇"),"")</f>
        <v/>
      </c>
    </row>
    <row r="220">
      <c r="A220" s="62">
        <v>216</v>
      </c>
      <c r="B220" s="66">
        <v>41</v>
      </c>
      <c r="C220" s="67">
        <v>0</v>
      </c>
      <c r="D220" s="67">
        <v>2</v>
      </c>
      <c r="E220" s="66">
        <v>130</v>
      </c>
      <c r="F220" s="66">
        <v>204</v>
      </c>
      <c r="G220" s="67">
        <v>0</v>
      </c>
      <c r="H220" s="67">
        <v>2</v>
      </c>
      <c r="I220" s="66">
        <v>172</v>
      </c>
      <c r="J220" s="67">
        <v>0</v>
      </c>
      <c r="K220" s="66">
        <v>1.4</v>
      </c>
      <c r="L220" s="67">
        <v>1</v>
      </c>
      <c r="M220" s="66">
        <v>0</v>
      </c>
      <c r="N220" s="67">
        <v>3</v>
      </c>
      <c r="O220" s="68">
        <v>1</v>
      </c>
      <c r="P220" s="93" t="str">
        <f>IFERROR(CHOOSE(MATCH(A220,'Dataset'!$B$5:$B$11,0),"S₁","S₂","S₃","S₄","S₅","S₆","S₇"),"")</f>
        <v/>
      </c>
    </row>
    <row r="221">
      <c r="A221" s="62">
        <v>217</v>
      </c>
      <c r="B221" s="66">
        <v>63</v>
      </c>
      <c r="C221" s="67">
        <v>0</v>
      </c>
      <c r="D221" s="67">
        <v>3</v>
      </c>
      <c r="E221" s="66">
        <v>135</v>
      </c>
      <c r="F221" s="66">
        <v>252</v>
      </c>
      <c r="G221" s="67">
        <v>0</v>
      </c>
      <c r="H221" s="67">
        <v>2</v>
      </c>
      <c r="I221" s="66">
        <v>172</v>
      </c>
      <c r="J221" s="67">
        <v>0</v>
      </c>
      <c r="K221" s="66">
        <v>0</v>
      </c>
      <c r="L221" s="67">
        <v>1</v>
      </c>
      <c r="M221" s="66">
        <v>0</v>
      </c>
      <c r="N221" s="67">
        <v>3</v>
      </c>
      <c r="O221" s="68">
        <v>1</v>
      </c>
      <c r="P221" s="93" t="str">
        <f>IFERROR(CHOOSE(MATCH(A221,'Dataset'!$B$5:$B$11,0),"S₁","S₂","S₃","S₄","S₅","S₆","S₇"),"")</f>
        <v/>
      </c>
    </row>
    <row r="222">
      <c r="A222" s="62">
        <v>218</v>
      </c>
      <c r="B222" s="66">
        <v>51</v>
      </c>
      <c r="C222" s="67">
        <v>1</v>
      </c>
      <c r="D222" s="67">
        <v>3</v>
      </c>
      <c r="E222" s="66">
        <v>94</v>
      </c>
      <c r="F222" s="66">
        <v>227</v>
      </c>
      <c r="G222" s="67">
        <v>0</v>
      </c>
      <c r="H222" s="67">
        <v>0</v>
      </c>
      <c r="I222" s="66">
        <v>154</v>
      </c>
      <c r="J222" s="67">
        <v>1</v>
      </c>
      <c r="K222" s="66">
        <v>0</v>
      </c>
      <c r="L222" s="67">
        <v>1</v>
      </c>
      <c r="M222" s="66">
        <v>1</v>
      </c>
      <c r="N222" s="67">
        <v>7</v>
      </c>
      <c r="O222" s="68">
        <v>1</v>
      </c>
      <c r="P222" s="93" t="str">
        <f>IFERROR(CHOOSE(MATCH(A222,'Dataset'!$B$5:$B$11,0),"S₁","S₂","S₃","S₄","S₅","S₆","S₇"),"")</f>
        <v/>
      </c>
    </row>
    <row r="223">
      <c r="A223" s="62">
        <v>219</v>
      </c>
      <c r="B223" s="66">
        <v>54</v>
      </c>
      <c r="C223" s="67">
        <v>1</v>
      </c>
      <c r="D223" s="67">
        <v>3</v>
      </c>
      <c r="E223" s="66">
        <v>120</v>
      </c>
      <c r="F223" s="66">
        <v>258</v>
      </c>
      <c r="G223" s="67">
        <v>0</v>
      </c>
      <c r="H223" s="67">
        <v>2</v>
      </c>
      <c r="I223" s="66">
        <v>147</v>
      </c>
      <c r="J223" s="67">
        <v>0</v>
      </c>
      <c r="K223" s="66">
        <v>0.4</v>
      </c>
      <c r="L223" s="67">
        <v>2</v>
      </c>
      <c r="M223" s="66">
        <v>0</v>
      </c>
      <c r="N223" s="67">
        <v>7</v>
      </c>
      <c r="O223" s="68">
        <v>1</v>
      </c>
      <c r="P223" s="93" t="str">
        <f>IFERROR(CHOOSE(MATCH(A223,'Dataset'!$B$5:$B$11,0),"S₁","S₂","S₃","S₄","S₅","S₆","S₇"),"")</f>
        <v/>
      </c>
    </row>
    <row r="224">
      <c r="A224" s="62">
        <v>220</v>
      </c>
      <c r="B224" s="66">
        <v>44</v>
      </c>
      <c r="C224" s="67">
        <v>1</v>
      </c>
      <c r="D224" s="67">
        <v>2</v>
      </c>
      <c r="E224" s="66">
        <v>120</v>
      </c>
      <c r="F224" s="66">
        <v>220</v>
      </c>
      <c r="G224" s="67">
        <v>0</v>
      </c>
      <c r="H224" s="67">
        <v>0</v>
      </c>
      <c r="I224" s="66">
        <v>170</v>
      </c>
      <c r="J224" s="67">
        <v>0</v>
      </c>
      <c r="K224" s="66">
        <v>0</v>
      </c>
      <c r="L224" s="67">
        <v>1</v>
      </c>
      <c r="M224" s="66">
        <v>0</v>
      </c>
      <c r="N224" s="67">
        <v>3</v>
      </c>
      <c r="O224" s="68">
        <v>1</v>
      </c>
      <c r="P224" s="93" t="str">
        <f>IFERROR(CHOOSE(MATCH(A224,'Dataset'!$B$5:$B$11,0),"S₁","S₂","S₃","S₄","S₅","S₆","S₇"),"")</f>
        <v/>
      </c>
    </row>
    <row r="225">
      <c r="A225" s="62">
        <v>221</v>
      </c>
      <c r="B225" s="66">
        <v>54</v>
      </c>
      <c r="C225" s="67">
        <v>1</v>
      </c>
      <c r="D225" s="67">
        <v>4</v>
      </c>
      <c r="E225" s="66">
        <v>110</v>
      </c>
      <c r="F225" s="66">
        <v>239</v>
      </c>
      <c r="G225" s="67">
        <v>0</v>
      </c>
      <c r="H225" s="67">
        <v>0</v>
      </c>
      <c r="I225" s="66">
        <v>126</v>
      </c>
      <c r="J225" s="67">
        <v>1</v>
      </c>
      <c r="K225" s="66">
        <v>2.8</v>
      </c>
      <c r="L225" s="67">
        <v>2</v>
      </c>
      <c r="M225" s="66">
        <v>1</v>
      </c>
      <c r="N225" s="67">
        <v>7</v>
      </c>
      <c r="O225" s="68">
        <v>2</v>
      </c>
      <c r="P225" s="93" t="str">
        <f>IFERROR(CHOOSE(MATCH(A225,'Dataset'!$B$5:$B$11,0),"S₁","S₂","S₃","S₄","S₅","S₆","S₇"),"")</f>
        <v/>
      </c>
    </row>
    <row r="226">
      <c r="A226" s="62">
        <v>222</v>
      </c>
      <c r="B226" s="66">
        <v>65</v>
      </c>
      <c r="C226" s="67">
        <v>1</v>
      </c>
      <c r="D226" s="67">
        <v>4</v>
      </c>
      <c r="E226" s="66">
        <v>135</v>
      </c>
      <c r="F226" s="66">
        <v>254</v>
      </c>
      <c r="G226" s="67">
        <v>0</v>
      </c>
      <c r="H226" s="67">
        <v>2</v>
      </c>
      <c r="I226" s="66">
        <v>127</v>
      </c>
      <c r="J226" s="67">
        <v>0</v>
      </c>
      <c r="K226" s="66">
        <v>2.8</v>
      </c>
      <c r="L226" s="67">
        <v>2</v>
      </c>
      <c r="M226" s="66">
        <v>1</v>
      </c>
      <c r="N226" s="67">
        <v>7</v>
      </c>
      <c r="O226" s="68">
        <v>2</v>
      </c>
      <c r="P226" s="93" t="str">
        <f>IFERROR(CHOOSE(MATCH(A226,'Dataset'!$B$5:$B$11,0),"S₁","S₂","S₃","S₄","S₅","S₆","S₇"),"")</f>
        <v/>
      </c>
    </row>
    <row r="227">
      <c r="A227" s="62">
        <v>223</v>
      </c>
      <c r="B227" s="66">
        <v>57</v>
      </c>
      <c r="C227" s="67">
        <v>1</v>
      </c>
      <c r="D227" s="67">
        <v>3</v>
      </c>
      <c r="E227" s="66">
        <v>150</v>
      </c>
      <c r="F227" s="66">
        <v>168</v>
      </c>
      <c r="G227" s="67">
        <v>0</v>
      </c>
      <c r="H227" s="67">
        <v>0</v>
      </c>
      <c r="I227" s="66">
        <v>174</v>
      </c>
      <c r="J227" s="67">
        <v>0</v>
      </c>
      <c r="K227" s="66">
        <v>1.6</v>
      </c>
      <c r="L227" s="67">
        <v>1</v>
      </c>
      <c r="M227" s="66">
        <v>0</v>
      </c>
      <c r="N227" s="67">
        <v>3</v>
      </c>
      <c r="O227" s="68">
        <v>1</v>
      </c>
      <c r="P227" s="93" t="str">
        <f>IFERROR(CHOOSE(MATCH(A227,'Dataset'!$B$5:$B$11,0),"S₁","S₂","S₃","S₄","S₅","S₆","S₇"),"")</f>
        <v/>
      </c>
    </row>
    <row r="228">
      <c r="A228" s="62">
        <v>224</v>
      </c>
      <c r="B228" s="66">
        <v>63</v>
      </c>
      <c r="C228" s="67">
        <v>1</v>
      </c>
      <c r="D228" s="67">
        <v>4</v>
      </c>
      <c r="E228" s="66">
        <v>130</v>
      </c>
      <c r="F228" s="66">
        <v>330</v>
      </c>
      <c r="G228" s="67">
        <v>1</v>
      </c>
      <c r="H228" s="67">
        <v>2</v>
      </c>
      <c r="I228" s="66">
        <v>132</v>
      </c>
      <c r="J228" s="67">
        <v>1</v>
      </c>
      <c r="K228" s="66">
        <v>1.8</v>
      </c>
      <c r="L228" s="67">
        <v>1</v>
      </c>
      <c r="M228" s="66">
        <v>3</v>
      </c>
      <c r="N228" s="67">
        <v>7</v>
      </c>
      <c r="O228" s="68">
        <v>2</v>
      </c>
      <c r="P228" s="93" t="str">
        <f>IFERROR(CHOOSE(MATCH(A228,'Dataset'!$B$5:$B$11,0),"S₁","S₂","S₃","S₄","S₅","S₆","S₇"),"")</f>
        <v>S₅</v>
      </c>
    </row>
    <row r="229">
      <c r="A229" s="62">
        <v>225</v>
      </c>
      <c r="B229" s="66">
        <v>35</v>
      </c>
      <c r="C229" s="67">
        <v>0</v>
      </c>
      <c r="D229" s="67">
        <v>4</v>
      </c>
      <c r="E229" s="66">
        <v>138</v>
      </c>
      <c r="F229" s="66">
        <v>183</v>
      </c>
      <c r="G229" s="67">
        <v>0</v>
      </c>
      <c r="H229" s="67">
        <v>0</v>
      </c>
      <c r="I229" s="66">
        <v>182</v>
      </c>
      <c r="J229" s="67">
        <v>0</v>
      </c>
      <c r="K229" s="66">
        <v>1.4</v>
      </c>
      <c r="L229" s="67">
        <v>1</v>
      </c>
      <c r="M229" s="66">
        <v>0</v>
      </c>
      <c r="N229" s="67">
        <v>3</v>
      </c>
      <c r="O229" s="68">
        <v>1</v>
      </c>
      <c r="P229" s="93" t="str">
        <f>IFERROR(CHOOSE(MATCH(A229,'Dataset'!$B$5:$B$11,0),"S₁","S₂","S₃","S₄","S₅","S₆","S₇"),"")</f>
        <v/>
      </c>
    </row>
    <row r="230">
      <c r="A230" s="62">
        <v>226</v>
      </c>
      <c r="B230" s="66">
        <v>41</v>
      </c>
      <c r="C230" s="67">
        <v>1</v>
      </c>
      <c r="D230" s="67">
        <v>2</v>
      </c>
      <c r="E230" s="66">
        <v>135</v>
      </c>
      <c r="F230" s="66">
        <v>203</v>
      </c>
      <c r="G230" s="67">
        <v>0</v>
      </c>
      <c r="H230" s="67">
        <v>0</v>
      </c>
      <c r="I230" s="66">
        <v>132</v>
      </c>
      <c r="J230" s="67">
        <v>0</v>
      </c>
      <c r="K230" s="66">
        <v>0</v>
      </c>
      <c r="L230" s="67">
        <v>2</v>
      </c>
      <c r="M230" s="66">
        <v>0</v>
      </c>
      <c r="N230" s="67">
        <v>6</v>
      </c>
      <c r="O230" s="68">
        <v>1</v>
      </c>
      <c r="P230" s="93" t="str">
        <f>IFERROR(CHOOSE(MATCH(A230,'Dataset'!$B$5:$B$11,0),"S₁","S₂","S₃","S₄","S₅","S₆","S₇"),"")</f>
        <v>S₆</v>
      </c>
    </row>
    <row r="231">
      <c r="A231" s="62">
        <v>227</v>
      </c>
      <c r="B231" s="66">
        <v>62</v>
      </c>
      <c r="C231" s="67">
        <v>0</v>
      </c>
      <c r="D231" s="67">
        <v>3</v>
      </c>
      <c r="E231" s="66">
        <v>130</v>
      </c>
      <c r="F231" s="66">
        <v>263</v>
      </c>
      <c r="G231" s="67">
        <v>0</v>
      </c>
      <c r="H231" s="67">
        <v>0</v>
      </c>
      <c r="I231" s="66">
        <v>97</v>
      </c>
      <c r="J231" s="67">
        <v>0</v>
      </c>
      <c r="K231" s="66">
        <v>1.2</v>
      </c>
      <c r="L231" s="67">
        <v>2</v>
      </c>
      <c r="M231" s="66">
        <v>1</v>
      </c>
      <c r="N231" s="67">
        <v>7</v>
      </c>
      <c r="O231" s="68">
        <v>2</v>
      </c>
      <c r="P231" s="93" t="str">
        <f>IFERROR(CHOOSE(MATCH(A231,'Dataset'!$B$5:$B$11,0),"S₁","S₂","S₃","S₄","S₅","S₆","S₇"),"")</f>
        <v/>
      </c>
    </row>
    <row r="232">
      <c r="A232" s="62">
        <v>228</v>
      </c>
      <c r="B232" s="66">
        <v>43</v>
      </c>
      <c r="C232" s="67">
        <v>0</v>
      </c>
      <c r="D232" s="67">
        <v>4</v>
      </c>
      <c r="E232" s="66">
        <v>132</v>
      </c>
      <c r="F232" s="66">
        <v>341</v>
      </c>
      <c r="G232" s="67">
        <v>1</v>
      </c>
      <c r="H232" s="67">
        <v>2</v>
      </c>
      <c r="I232" s="66">
        <v>136</v>
      </c>
      <c r="J232" s="67">
        <v>1</v>
      </c>
      <c r="K232" s="66">
        <v>3</v>
      </c>
      <c r="L232" s="67">
        <v>2</v>
      </c>
      <c r="M232" s="66">
        <v>0</v>
      </c>
      <c r="N232" s="67">
        <v>7</v>
      </c>
      <c r="O232" s="68">
        <v>2</v>
      </c>
      <c r="P232" s="93" t="str">
        <f>IFERROR(CHOOSE(MATCH(A232,'Dataset'!$B$5:$B$11,0),"S₁","S₂","S₃","S₄","S₅","S₆","S₇"),"")</f>
        <v/>
      </c>
    </row>
    <row r="233">
      <c r="A233" s="62">
        <v>229</v>
      </c>
      <c r="B233" s="66">
        <v>58</v>
      </c>
      <c r="C233" s="67">
        <v>0</v>
      </c>
      <c r="D233" s="67">
        <v>1</v>
      </c>
      <c r="E233" s="66">
        <v>150</v>
      </c>
      <c r="F233" s="66">
        <v>283</v>
      </c>
      <c r="G233" s="67">
        <v>1</v>
      </c>
      <c r="H233" s="67">
        <v>2</v>
      </c>
      <c r="I233" s="66">
        <v>162</v>
      </c>
      <c r="J233" s="67">
        <v>0</v>
      </c>
      <c r="K233" s="66">
        <v>1</v>
      </c>
      <c r="L233" s="67">
        <v>1</v>
      </c>
      <c r="M233" s="66">
        <v>0</v>
      </c>
      <c r="N233" s="67">
        <v>3</v>
      </c>
      <c r="O233" s="68">
        <v>1</v>
      </c>
      <c r="P233" s="93" t="str">
        <f>IFERROR(CHOOSE(MATCH(A233,'Dataset'!$B$5:$B$11,0),"S₁","S₂","S₃","S₄","S₅","S₆","S₇"),"")</f>
        <v/>
      </c>
    </row>
    <row r="234">
      <c r="A234" s="62">
        <v>230</v>
      </c>
      <c r="B234" s="66">
        <v>52</v>
      </c>
      <c r="C234" s="67">
        <v>1</v>
      </c>
      <c r="D234" s="67">
        <v>1</v>
      </c>
      <c r="E234" s="66">
        <v>118</v>
      </c>
      <c r="F234" s="66">
        <v>186</v>
      </c>
      <c r="G234" s="67">
        <v>0</v>
      </c>
      <c r="H234" s="67">
        <v>2</v>
      </c>
      <c r="I234" s="66">
        <v>190</v>
      </c>
      <c r="J234" s="67">
        <v>0</v>
      </c>
      <c r="K234" s="66">
        <v>0</v>
      </c>
      <c r="L234" s="67">
        <v>2</v>
      </c>
      <c r="M234" s="66">
        <v>0</v>
      </c>
      <c r="N234" s="67">
        <v>6</v>
      </c>
      <c r="O234" s="68">
        <v>1</v>
      </c>
      <c r="P234" s="93" t="str">
        <f>IFERROR(CHOOSE(MATCH(A234,'Dataset'!$B$5:$B$11,0),"S₁","S₂","S₃","S₄","S₅","S₆","S₇"),"")</f>
        <v/>
      </c>
    </row>
    <row r="235">
      <c r="A235" s="62">
        <v>231</v>
      </c>
      <c r="B235" s="66">
        <v>61</v>
      </c>
      <c r="C235" s="67">
        <v>0</v>
      </c>
      <c r="D235" s="67">
        <v>4</v>
      </c>
      <c r="E235" s="66">
        <v>145</v>
      </c>
      <c r="F235" s="66">
        <v>307</v>
      </c>
      <c r="G235" s="67">
        <v>0</v>
      </c>
      <c r="H235" s="67">
        <v>2</v>
      </c>
      <c r="I235" s="66">
        <v>146</v>
      </c>
      <c r="J235" s="67">
        <v>1</v>
      </c>
      <c r="K235" s="66">
        <v>1</v>
      </c>
      <c r="L235" s="67">
        <v>2</v>
      </c>
      <c r="M235" s="66">
        <v>0</v>
      </c>
      <c r="N235" s="67">
        <v>7</v>
      </c>
      <c r="O235" s="68">
        <v>2</v>
      </c>
      <c r="P235" s="93" t="str">
        <f>IFERROR(CHOOSE(MATCH(A235,'Dataset'!$B$5:$B$11,0),"S₁","S₂","S₃","S₄","S₅","S₆","S₇"),"")</f>
        <v/>
      </c>
    </row>
    <row r="236">
      <c r="A236" s="62">
        <v>232</v>
      </c>
      <c r="B236" s="66">
        <v>39</v>
      </c>
      <c r="C236" s="67">
        <v>1</v>
      </c>
      <c r="D236" s="67">
        <v>4</v>
      </c>
      <c r="E236" s="66">
        <v>118</v>
      </c>
      <c r="F236" s="66">
        <v>219</v>
      </c>
      <c r="G236" s="67">
        <v>0</v>
      </c>
      <c r="H236" s="67">
        <v>0</v>
      </c>
      <c r="I236" s="66">
        <v>140</v>
      </c>
      <c r="J236" s="67">
        <v>0</v>
      </c>
      <c r="K236" s="66">
        <v>1.2</v>
      </c>
      <c r="L236" s="67">
        <v>2</v>
      </c>
      <c r="M236" s="66">
        <v>0</v>
      </c>
      <c r="N236" s="67">
        <v>7</v>
      </c>
      <c r="O236" s="68">
        <v>2</v>
      </c>
      <c r="P236" s="93" t="str">
        <f>IFERROR(CHOOSE(MATCH(A236,'Dataset'!$B$5:$B$11,0),"S₁","S₂","S₃","S₄","S₅","S₆","S₇"),"")</f>
        <v/>
      </c>
    </row>
    <row r="237">
      <c r="A237" s="62">
        <v>233</v>
      </c>
      <c r="B237" s="66">
        <v>45</v>
      </c>
      <c r="C237" s="67">
        <v>1</v>
      </c>
      <c r="D237" s="67">
        <v>4</v>
      </c>
      <c r="E237" s="66">
        <v>115</v>
      </c>
      <c r="F237" s="66">
        <v>260</v>
      </c>
      <c r="G237" s="67">
        <v>0</v>
      </c>
      <c r="H237" s="67">
        <v>2</v>
      </c>
      <c r="I237" s="66">
        <v>185</v>
      </c>
      <c r="J237" s="67">
        <v>0</v>
      </c>
      <c r="K237" s="66">
        <v>0</v>
      </c>
      <c r="L237" s="67">
        <v>1</v>
      </c>
      <c r="M237" s="66">
        <v>0</v>
      </c>
      <c r="N237" s="67">
        <v>3</v>
      </c>
      <c r="O237" s="68">
        <v>1</v>
      </c>
      <c r="P237" s="93" t="str">
        <f>IFERROR(CHOOSE(MATCH(A237,'Dataset'!$B$5:$B$11,0),"S₁","S₂","S₃","S₄","S₅","S₆","S₇"),"")</f>
        <v/>
      </c>
    </row>
    <row r="238">
      <c r="A238" s="62">
        <v>234</v>
      </c>
      <c r="B238" s="66">
        <v>52</v>
      </c>
      <c r="C238" s="67">
        <v>1</v>
      </c>
      <c r="D238" s="67">
        <v>4</v>
      </c>
      <c r="E238" s="66">
        <v>128</v>
      </c>
      <c r="F238" s="66">
        <v>255</v>
      </c>
      <c r="G238" s="67">
        <v>0</v>
      </c>
      <c r="H238" s="67">
        <v>0</v>
      </c>
      <c r="I238" s="66">
        <v>161</v>
      </c>
      <c r="J238" s="67">
        <v>1</v>
      </c>
      <c r="K238" s="66">
        <v>0</v>
      </c>
      <c r="L238" s="67">
        <v>1</v>
      </c>
      <c r="M238" s="66">
        <v>1</v>
      </c>
      <c r="N238" s="67">
        <v>7</v>
      </c>
      <c r="O238" s="68">
        <v>2</v>
      </c>
      <c r="P238" s="93" t="str">
        <f>IFERROR(CHOOSE(MATCH(A238,'Dataset'!$B$5:$B$11,0),"S₁","S₂","S₃","S₄","S₅","S₆","S₇"),"")</f>
        <v/>
      </c>
    </row>
    <row r="239">
      <c r="A239" s="62">
        <v>235</v>
      </c>
      <c r="B239" s="66">
        <v>62</v>
      </c>
      <c r="C239" s="67">
        <v>1</v>
      </c>
      <c r="D239" s="67">
        <v>3</v>
      </c>
      <c r="E239" s="66">
        <v>130</v>
      </c>
      <c r="F239" s="66">
        <v>231</v>
      </c>
      <c r="G239" s="67">
        <v>0</v>
      </c>
      <c r="H239" s="67">
        <v>0</v>
      </c>
      <c r="I239" s="66">
        <v>146</v>
      </c>
      <c r="J239" s="67">
        <v>0</v>
      </c>
      <c r="K239" s="66">
        <v>1.8</v>
      </c>
      <c r="L239" s="67">
        <v>2</v>
      </c>
      <c r="M239" s="66">
        <v>3</v>
      </c>
      <c r="N239" s="67">
        <v>7</v>
      </c>
      <c r="O239" s="68">
        <v>1</v>
      </c>
      <c r="P239" s="93" t="str">
        <f>IFERROR(CHOOSE(MATCH(A239,'Dataset'!$B$5:$B$11,0),"S₁","S₂","S₃","S₄","S₅","S₆","S₇"),"")</f>
        <v/>
      </c>
    </row>
    <row r="240">
      <c r="A240" s="62">
        <v>236</v>
      </c>
      <c r="B240" s="66">
        <v>62</v>
      </c>
      <c r="C240" s="67">
        <v>0</v>
      </c>
      <c r="D240" s="67">
        <v>4</v>
      </c>
      <c r="E240" s="66">
        <v>160</v>
      </c>
      <c r="F240" s="66">
        <v>164</v>
      </c>
      <c r="G240" s="67">
        <v>0</v>
      </c>
      <c r="H240" s="67">
        <v>2</v>
      </c>
      <c r="I240" s="66">
        <v>145</v>
      </c>
      <c r="J240" s="67">
        <v>0</v>
      </c>
      <c r="K240" s="66">
        <v>6.2</v>
      </c>
      <c r="L240" s="67">
        <v>3</v>
      </c>
      <c r="M240" s="66">
        <v>3</v>
      </c>
      <c r="N240" s="67">
        <v>7</v>
      </c>
      <c r="O240" s="68">
        <v>2</v>
      </c>
      <c r="P240" s="93" t="str">
        <f>IFERROR(CHOOSE(MATCH(A240,'Dataset'!$B$5:$B$11,0),"S₁","S₂","S₃","S₄","S₅","S₆","S₇"),"")</f>
        <v/>
      </c>
    </row>
    <row r="241">
      <c r="A241" s="62">
        <v>237</v>
      </c>
      <c r="B241" s="66">
        <v>53</v>
      </c>
      <c r="C241" s="67">
        <v>0</v>
      </c>
      <c r="D241" s="67">
        <v>4</v>
      </c>
      <c r="E241" s="66">
        <v>138</v>
      </c>
      <c r="F241" s="66">
        <v>234</v>
      </c>
      <c r="G241" s="67">
        <v>0</v>
      </c>
      <c r="H241" s="67">
        <v>2</v>
      </c>
      <c r="I241" s="66">
        <v>160</v>
      </c>
      <c r="J241" s="67">
        <v>0</v>
      </c>
      <c r="K241" s="66">
        <v>0</v>
      </c>
      <c r="L241" s="67">
        <v>1</v>
      </c>
      <c r="M241" s="66">
        <v>0</v>
      </c>
      <c r="N241" s="67">
        <v>3</v>
      </c>
      <c r="O241" s="68">
        <v>1</v>
      </c>
      <c r="P241" s="93" t="str">
        <f>IFERROR(CHOOSE(MATCH(A241,'Dataset'!$B$5:$B$11,0),"S₁","S₂","S₃","S₄","S₅","S₆","S₇"),"")</f>
        <v/>
      </c>
    </row>
    <row r="242">
      <c r="A242" s="62">
        <v>238</v>
      </c>
      <c r="B242" s="66">
        <v>43</v>
      </c>
      <c r="C242" s="67">
        <v>1</v>
      </c>
      <c r="D242" s="67">
        <v>4</v>
      </c>
      <c r="E242" s="66">
        <v>120</v>
      </c>
      <c r="F242" s="66">
        <v>177</v>
      </c>
      <c r="G242" s="67">
        <v>0</v>
      </c>
      <c r="H242" s="67">
        <v>2</v>
      </c>
      <c r="I242" s="66">
        <v>120</v>
      </c>
      <c r="J242" s="67">
        <v>1</v>
      </c>
      <c r="K242" s="66">
        <v>2.5</v>
      </c>
      <c r="L242" s="67">
        <v>2</v>
      </c>
      <c r="M242" s="66">
        <v>0</v>
      </c>
      <c r="N242" s="67">
        <v>7</v>
      </c>
      <c r="O242" s="68">
        <v>2</v>
      </c>
      <c r="P242" s="93" t="str">
        <f>IFERROR(CHOOSE(MATCH(A242,'Dataset'!$B$5:$B$11,0),"S₁","S₂","S₃","S₄","S₅","S₆","S₇"),"")</f>
        <v/>
      </c>
    </row>
    <row r="243">
      <c r="A243" s="62">
        <v>239</v>
      </c>
      <c r="B243" s="66">
        <v>47</v>
      </c>
      <c r="C243" s="67">
        <v>1</v>
      </c>
      <c r="D243" s="67">
        <v>3</v>
      </c>
      <c r="E243" s="66">
        <v>138</v>
      </c>
      <c r="F243" s="66">
        <v>257</v>
      </c>
      <c r="G243" s="67">
        <v>0</v>
      </c>
      <c r="H243" s="67">
        <v>2</v>
      </c>
      <c r="I243" s="66">
        <v>156</v>
      </c>
      <c r="J243" s="67">
        <v>0</v>
      </c>
      <c r="K243" s="66">
        <v>0</v>
      </c>
      <c r="L243" s="67">
        <v>1</v>
      </c>
      <c r="M243" s="66">
        <v>0</v>
      </c>
      <c r="N243" s="67">
        <v>3</v>
      </c>
      <c r="O243" s="68">
        <v>1</v>
      </c>
      <c r="P243" s="93" t="str">
        <f>IFERROR(CHOOSE(MATCH(A243,'Dataset'!$B$5:$B$11,0),"S₁","S₂","S₃","S₄","S₅","S₆","S₇"),"")</f>
        <v>S₇</v>
      </c>
    </row>
    <row r="244">
      <c r="A244" s="62">
        <v>240</v>
      </c>
      <c r="B244" s="66">
        <v>52</v>
      </c>
      <c r="C244" s="67">
        <v>1</v>
      </c>
      <c r="D244" s="67">
        <v>2</v>
      </c>
      <c r="E244" s="66">
        <v>120</v>
      </c>
      <c r="F244" s="66">
        <v>325</v>
      </c>
      <c r="G244" s="67">
        <v>0</v>
      </c>
      <c r="H244" s="67">
        <v>0</v>
      </c>
      <c r="I244" s="66">
        <v>172</v>
      </c>
      <c r="J244" s="67">
        <v>0</v>
      </c>
      <c r="K244" s="66">
        <v>0.2</v>
      </c>
      <c r="L244" s="67">
        <v>1</v>
      </c>
      <c r="M244" s="66">
        <v>0</v>
      </c>
      <c r="N244" s="67">
        <v>3</v>
      </c>
      <c r="O244" s="68">
        <v>1</v>
      </c>
      <c r="P244" s="93" t="str">
        <f>IFERROR(CHOOSE(MATCH(A244,'Dataset'!$B$5:$B$11,0),"S₁","S₂","S₃","S₄","S₅","S₆","S₇"),"")</f>
        <v/>
      </c>
    </row>
    <row r="245">
      <c r="A245" s="62">
        <v>241</v>
      </c>
      <c r="B245" s="66">
        <v>68</v>
      </c>
      <c r="C245" s="67">
        <v>1</v>
      </c>
      <c r="D245" s="67">
        <v>3</v>
      </c>
      <c r="E245" s="66">
        <v>180</v>
      </c>
      <c r="F245" s="66">
        <v>274</v>
      </c>
      <c r="G245" s="67">
        <v>1</v>
      </c>
      <c r="H245" s="67">
        <v>2</v>
      </c>
      <c r="I245" s="66">
        <v>150</v>
      </c>
      <c r="J245" s="67">
        <v>1</v>
      </c>
      <c r="K245" s="66">
        <v>1.6</v>
      </c>
      <c r="L245" s="67">
        <v>2</v>
      </c>
      <c r="M245" s="66">
        <v>0</v>
      </c>
      <c r="N245" s="67">
        <v>7</v>
      </c>
      <c r="O245" s="68">
        <v>2</v>
      </c>
      <c r="P245" s="93" t="str">
        <f>IFERROR(CHOOSE(MATCH(A245,'Dataset'!$B$5:$B$11,0),"S₁","S₂","S₃","S₄","S₅","S₆","S₇"),"")</f>
        <v/>
      </c>
    </row>
    <row r="246">
      <c r="A246" s="62">
        <v>242</v>
      </c>
      <c r="B246" s="66">
        <v>39</v>
      </c>
      <c r="C246" s="67">
        <v>1</v>
      </c>
      <c r="D246" s="67">
        <v>3</v>
      </c>
      <c r="E246" s="66">
        <v>140</v>
      </c>
      <c r="F246" s="66">
        <v>321</v>
      </c>
      <c r="G246" s="67">
        <v>0</v>
      </c>
      <c r="H246" s="67">
        <v>2</v>
      </c>
      <c r="I246" s="66">
        <v>182</v>
      </c>
      <c r="J246" s="67">
        <v>0</v>
      </c>
      <c r="K246" s="66">
        <v>0</v>
      </c>
      <c r="L246" s="67">
        <v>1</v>
      </c>
      <c r="M246" s="66">
        <v>0</v>
      </c>
      <c r="N246" s="67">
        <v>3</v>
      </c>
      <c r="O246" s="68">
        <v>1</v>
      </c>
      <c r="P246" s="93" t="str">
        <f>IFERROR(CHOOSE(MATCH(A246,'Dataset'!$B$5:$B$11,0),"S₁","S₂","S₃","S₄","S₅","S₆","S₇"),"")</f>
        <v/>
      </c>
    </row>
    <row r="247">
      <c r="A247" s="62">
        <v>243</v>
      </c>
      <c r="B247" s="66">
        <v>53</v>
      </c>
      <c r="C247" s="67">
        <v>0</v>
      </c>
      <c r="D247" s="67">
        <v>4</v>
      </c>
      <c r="E247" s="66">
        <v>130</v>
      </c>
      <c r="F247" s="66">
        <v>264</v>
      </c>
      <c r="G247" s="67">
        <v>0</v>
      </c>
      <c r="H247" s="67">
        <v>2</v>
      </c>
      <c r="I247" s="66">
        <v>143</v>
      </c>
      <c r="J247" s="67">
        <v>0</v>
      </c>
      <c r="K247" s="66">
        <v>0.4</v>
      </c>
      <c r="L247" s="67">
        <v>2</v>
      </c>
      <c r="M247" s="66">
        <v>0</v>
      </c>
      <c r="N247" s="67">
        <v>3</v>
      </c>
      <c r="O247" s="68">
        <v>1</v>
      </c>
      <c r="P247" s="93" t="str">
        <f>IFERROR(CHOOSE(MATCH(A247,'Dataset'!$B$5:$B$11,0),"S₁","S₂","S₃","S₄","S₅","S₆","S₇"),"")</f>
        <v/>
      </c>
    </row>
    <row r="248">
      <c r="A248" s="62">
        <v>244</v>
      </c>
      <c r="B248" s="66">
        <v>62</v>
      </c>
      <c r="C248" s="67">
        <v>0</v>
      </c>
      <c r="D248" s="67">
        <v>4</v>
      </c>
      <c r="E248" s="66">
        <v>140</v>
      </c>
      <c r="F248" s="66">
        <v>268</v>
      </c>
      <c r="G248" s="67">
        <v>0</v>
      </c>
      <c r="H248" s="67">
        <v>2</v>
      </c>
      <c r="I248" s="66">
        <v>160</v>
      </c>
      <c r="J248" s="67">
        <v>0</v>
      </c>
      <c r="K248" s="66">
        <v>3.6</v>
      </c>
      <c r="L248" s="67">
        <v>3</v>
      </c>
      <c r="M248" s="66">
        <v>2</v>
      </c>
      <c r="N248" s="67">
        <v>3</v>
      </c>
      <c r="O248" s="68">
        <v>2</v>
      </c>
      <c r="P248" s="93" t="str">
        <f>IFERROR(CHOOSE(MATCH(A248,'Dataset'!$B$5:$B$11,0),"S₁","S₂","S₃","S₄","S₅","S₆","S₇"),"")</f>
        <v/>
      </c>
    </row>
    <row r="249">
      <c r="A249" s="62">
        <v>245</v>
      </c>
      <c r="B249" s="66">
        <v>51</v>
      </c>
      <c r="C249" s="67">
        <v>0</v>
      </c>
      <c r="D249" s="67">
        <v>3</v>
      </c>
      <c r="E249" s="66">
        <v>140</v>
      </c>
      <c r="F249" s="66">
        <v>308</v>
      </c>
      <c r="G249" s="67">
        <v>0</v>
      </c>
      <c r="H249" s="67">
        <v>2</v>
      </c>
      <c r="I249" s="66">
        <v>142</v>
      </c>
      <c r="J249" s="67">
        <v>0</v>
      </c>
      <c r="K249" s="66">
        <v>1.5</v>
      </c>
      <c r="L249" s="67">
        <v>1</v>
      </c>
      <c r="M249" s="66">
        <v>1</v>
      </c>
      <c r="N249" s="67">
        <v>3</v>
      </c>
      <c r="O249" s="68">
        <v>1</v>
      </c>
      <c r="P249" s="93" t="str">
        <f>IFERROR(CHOOSE(MATCH(A249,'Dataset'!$B$5:$B$11,0),"S₁","S₂","S₃","S₄","S₅","S₆","S₇"),"")</f>
        <v/>
      </c>
    </row>
    <row r="250">
      <c r="A250" s="62">
        <v>246</v>
      </c>
      <c r="B250" s="66">
        <v>60</v>
      </c>
      <c r="C250" s="67">
        <v>1</v>
      </c>
      <c r="D250" s="67">
        <v>4</v>
      </c>
      <c r="E250" s="66">
        <v>130</v>
      </c>
      <c r="F250" s="66">
        <v>253</v>
      </c>
      <c r="G250" s="67">
        <v>0</v>
      </c>
      <c r="H250" s="67">
        <v>0</v>
      </c>
      <c r="I250" s="66">
        <v>144</v>
      </c>
      <c r="J250" s="67">
        <v>1</v>
      </c>
      <c r="K250" s="66">
        <v>1.4</v>
      </c>
      <c r="L250" s="67">
        <v>1</v>
      </c>
      <c r="M250" s="66">
        <v>1</v>
      </c>
      <c r="N250" s="67">
        <v>7</v>
      </c>
      <c r="O250" s="68">
        <v>2</v>
      </c>
      <c r="P250" s="93" t="str">
        <f>IFERROR(CHOOSE(MATCH(A250,'Dataset'!$B$5:$B$11,0),"S₁","S₂","S₃","S₄","S₅","S₆","S₇"),"")</f>
        <v/>
      </c>
    </row>
    <row r="251">
      <c r="A251" s="62">
        <v>247</v>
      </c>
      <c r="B251" s="66">
        <v>65</v>
      </c>
      <c r="C251" s="67">
        <v>1</v>
      </c>
      <c r="D251" s="67">
        <v>4</v>
      </c>
      <c r="E251" s="66">
        <v>110</v>
      </c>
      <c r="F251" s="66">
        <v>248</v>
      </c>
      <c r="G251" s="67">
        <v>0</v>
      </c>
      <c r="H251" s="67">
        <v>2</v>
      </c>
      <c r="I251" s="66">
        <v>158</v>
      </c>
      <c r="J251" s="67">
        <v>0</v>
      </c>
      <c r="K251" s="66">
        <v>0.6</v>
      </c>
      <c r="L251" s="67">
        <v>1</v>
      </c>
      <c r="M251" s="66">
        <v>2</v>
      </c>
      <c r="N251" s="67">
        <v>6</v>
      </c>
      <c r="O251" s="68">
        <v>2</v>
      </c>
      <c r="P251" s="93" t="str">
        <f>IFERROR(CHOOSE(MATCH(A251,'Dataset'!$B$5:$B$11,0),"S₁","S₂","S₃","S₄","S₅","S₆","S₇"),"")</f>
        <v/>
      </c>
    </row>
    <row r="252">
      <c r="A252" s="62">
        <v>248</v>
      </c>
      <c r="B252" s="66">
        <v>65</v>
      </c>
      <c r="C252" s="67">
        <v>0</v>
      </c>
      <c r="D252" s="67">
        <v>3</v>
      </c>
      <c r="E252" s="66">
        <v>155</v>
      </c>
      <c r="F252" s="66">
        <v>269</v>
      </c>
      <c r="G252" s="67">
        <v>0</v>
      </c>
      <c r="H252" s="67">
        <v>0</v>
      </c>
      <c r="I252" s="66">
        <v>148</v>
      </c>
      <c r="J252" s="67">
        <v>0</v>
      </c>
      <c r="K252" s="66">
        <v>0.8</v>
      </c>
      <c r="L252" s="67">
        <v>1</v>
      </c>
      <c r="M252" s="66">
        <v>0</v>
      </c>
      <c r="N252" s="67">
        <v>3</v>
      </c>
      <c r="O252" s="68">
        <v>1</v>
      </c>
      <c r="P252" s="93" t="str">
        <f>IFERROR(CHOOSE(MATCH(A252,'Dataset'!$B$5:$B$11,0),"S₁","S₂","S₃","S₄","S₅","S₆","S₇"),"")</f>
        <v/>
      </c>
    </row>
    <row r="253">
      <c r="A253" s="62">
        <v>249</v>
      </c>
      <c r="B253" s="66">
        <v>60</v>
      </c>
      <c r="C253" s="67">
        <v>1</v>
      </c>
      <c r="D253" s="67">
        <v>3</v>
      </c>
      <c r="E253" s="66">
        <v>140</v>
      </c>
      <c r="F253" s="66">
        <v>185</v>
      </c>
      <c r="G253" s="67">
        <v>0</v>
      </c>
      <c r="H253" s="67">
        <v>2</v>
      </c>
      <c r="I253" s="66">
        <v>155</v>
      </c>
      <c r="J253" s="67">
        <v>0</v>
      </c>
      <c r="K253" s="66">
        <v>3</v>
      </c>
      <c r="L253" s="67">
        <v>2</v>
      </c>
      <c r="M253" s="66">
        <v>0</v>
      </c>
      <c r="N253" s="67">
        <v>3</v>
      </c>
      <c r="O253" s="68">
        <v>2</v>
      </c>
      <c r="P253" s="93" t="str">
        <f>IFERROR(CHOOSE(MATCH(A253,'Dataset'!$B$5:$B$11,0),"S₁","S₂","S₃","S₄","S₅","S₆","S₇"),"")</f>
        <v/>
      </c>
    </row>
    <row r="254">
      <c r="A254" s="62">
        <v>250</v>
      </c>
      <c r="B254" s="66">
        <v>60</v>
      </c>
      <c r="C254" s="67">
        <v>1</v>
      </c>
      <c r="D254" s="67">
        <v>4</v>
      </c>
      <c r="E254" s="66">
        <v>145</v>
      </c>
      <c r="F254" s="66">
        <v>282</v>
      </c>
      <c r="G254" s="67">
        <v>0</v>
      </c>
      <c r="H254" s="67">
        <v>2</v>
      </c>
      <c r="I254" s="66">
        <v>142</v>
      </c>
      <c r="J254" s="67">
        <v>1</v>
      </c>
      <c r="K254" s="66">
        <v>2.8</v>
      </c>
      <c r="L254" s="67">
        <v>2</v>
      </c>
      <c r="M254" s="66">
        <v>2</v>
      </c>
      <c r="N254" s="67">
        <v>7</v>
      </c>
      <c r="O254" s="68">
        <v>2</v>
      </c>
      <c r="P254" s="93" t="str">
        <f>IFERROR(CHOOSE(MATCH(A254,'Dataset'!$B$5:$B$11,0),"S₁","S₂","S₃","S₄","S₅","S₆","S₇"),"")</f>
        <v/>
      </c>
    </row>
    <row r="255">
      <c r="A255" s="62">
        <v>251</v>
      </c>
      <c r="B255" s="66">
        <v>54</v>
      </c>
      <c r="C255" s="67">
        <v>1</v>
      </c>
      <c r="D255" s="67">
        <v>4</v>
      </c>
      <c r="E255" s="66">
        <v>120</v>
      </c>
      <c r="F255" s="66">
        <v>188</v>
      </c>
      <c r="G255" s="67">
        <v>0</v>
      </c>
      <c r="H255" s="67">
        <v>0</v>
      </c>
      <c r="I255" s="66">
        <v>113</v>
      </c>
      <c r="J255" s="67">
        <v>0</v>
      </c>
      <c r="K255" s="66">
        <v>1.4</v>
      </c>
      <c r="L255" s="67">
        <v>2</v>
      </c>
      <c r="M255" s="66">
        <v>1</v>
      </c>
      <c r="N255" s="67">
        <v>7</v>
      </c>
      <c r="O255" s="68">
        <v>2</v>
      </c>
      <c r="P255" s="93" t="str">
        <f>IFERROR(CHOOSE(MATCH(A255,'Dataset'!$B$5:$B$11,0),"S₁","S₂","S₃","S₄","S₅","S₆","S₇"),"")</f>
        <v/>
      </c>
    </row>
    <row r="256">
      <c r="A256" s="62">
        <v>252</v>
      </c>
      <c r="B256" s="66">
        <v>44</v>
      </c>
      <c r="C256" s="67">
        <v>1</v>
      </c>
      <c r="D256" s="67">
        <v>2</v>
      </c>
      <c r="E256" s="66">
        <v>130</v>
      </c>
      <c r="F256" s="66">
        <v>219</v>
      </c>
      <c r="G256" s="67">
        <v>0</v>
      </c>
      <c r="H256" s="67">
        <v>2</v>
      </c>
      <c r="I256" s="66">
        <v>188</v>
      </c>
      <c r="J256" s="67">
        <v>0</v>
      </c>
      <c r="K256" s="66">
        <v>0</v>
      </c>
      <c r="L256" s="67">
        <v>1</v>
      </c>
      <c r="M256" s="66">
        <v>0</v>
      </c>
      <c r="N256" s="67">
        <v>3</v>
      </c>
      <c r="O256" s="68">
        <v>1</v>
      </c>
      <c r="P256" s="93" t="str">
        <f>IFERROR(CHOOSE(MATCH(A256,'Dataset'!$B$5:$B$11,0),"S₁","S₂","S₃","S₄","S₅","S₆","S₇"),"")</f>
        <v/>
      </c>
    </row>
    <row r="257">
      <c r="A257" s="62">
        <v>253</v>
      </c>
      <c r="B257" s="66">
        <v>44</v>
      </c>
      <c r="C257" s="67">
        <v>1</v>
      </c>
      <c r="D257" s="67">
        <v>4</v>
      </c>
      <c r="E257" s="66">
        <v>112</v>
      </c>
      <c r="F257" s="66">
        <v>290</v>
      </c>
      <c r="G257" s="67">
        <v>0</v>
      </c>
      <c r="H257" s="67">
        <v>2</v>
      </c>
      <c r="I257" s="66">
        <v>153</v>
      </c>
      <c r="J257" s="67">
        <v>0</v>
      </c>
      <c r="K257" s="66">
        <v>0</v>
      </c>
      <c r="L257" s="67">
        <v>1</v>
      </c>
      <c r="M257" s="66">
        <v>1</v>
      </c>
      <c r="N257" s="67">
        <v>3</v>
      </c>
      <c r="O257" s="68">
        <v>2</v>
      </c>
      <c r="P257" s="93" t="str">
        <f>IFERROR(CHOOSE(MATCH(A257,'Dataset'!$B$5:$B$11,0),"S₁","S₂","S₃","S₄","S₅","S₆","S₇"),"")</f>
        <v/>
      </c>
    </row>
    <row r="258">
      <c r="A258" s="62">
        <v>254</v>
      </c>
      <c r="B258" s="66">
        <v>51</v>
      </c>
      <c r="C258" s="67">
        <v>1</v>
      </c>
      <c r="D258" s="67">
        <v>3</v>
      </c>
      <c r="E258" s="66">
        <v>110</v>
      </c>
      <c r="F258" s="66">
        <v>175</v>
      </c>
      <c r="G258" s="67">
        <v>0</v>
      </c>
      <c r="H258" s="67">
        <v>0</v>
      </c>
      <c r="I258" s="66">
        <v>123</v>
      </c>
      <c r="J258" s="67">
        <v>0</v>
      </c>
      <c r="K258" s="66">
        <v>0.6</v>
      </c>
      <c r="L258" s="67">
        <v>1</v>
      </c>
      <c r="M258" s="66">
        <v>0</v>
      </c>
      <c r="N258" s="67">
        <v>3</v>
      </c>
      <c r="O258" s="68">
        <v>1</v>
      </c>
      <c r="P258" s="93" t="str">
        <f>IFERROR(CHOOSE(MATCH(A258,'Dataset'!$B$5:$B$11,0),"S₁","S₂","S₃","S₄","S₅","S₆","S₇"),"")</f>
        <v/>
      </c>
    </row>
    <row r="259">
      <c r="A259" s="62">
        <v>255</v>
      </c>
      <c r="B259" s="66">
        <v>59</v>
      </c>
      <c r="C259" s="67">
        <v>1</v>
      </c>
      <c r="D259" s="67">
        <v>3</v>
      </c>
      <c r="E259" s="66">
        <v>150</v>
      </c>
      <c r="F259" s="66">
        <v>212</v>
      </c>
      <c r="G259" s="67">
        <v>1</v>
      </c>
      <c r="H259" s="67">
        <v>0</v>
      </c>
      <c r="I259" s="66">
        <v>157</v>
      </c>
      <c r="J259" s="67">
        <v>0</v>
      </c>
      <c r="K259" s="66">
        <v>1.6</v>
      </c>
      <c r="L259" s="67">
        <v>1</v>
      </c>
      <c r="M259" s="66">
        <v>0</v>
      </c>
      <c r="N259" s="67">
        <v>3</v>
      </c>
      <c r="O259" s="68">
        <v>1</v>
      </c>
      <c r="P259" s="93" t="str">
        <f>IFERROR(CHOOSE(MATCH(A259,'Dataset'!$B$5:$B$11,0),"S₁","S₂","S₃","S₄","S₅","S₆","S₇"),"")</f>
        <v/>
      </c>
    </row>
    <row r="260">
      <c r="A260" s="62">
        <v>256</v>
      </c>
      <c r="B260" s="66">
        <v>71</v>
      </c>
      <c r="C260" s="67">
        <v>0</v>
      </c>
      <c r="D260" s="67">
        <v>2</v>
      </c>
      <c r="E260" s="66">
        <v>160</v>
      </c>
      <c r="F260" s="66">
        <v>302</v>
      </c>
      <c r="G260" s="67">
        <v>0</v>
      </c>
      <c r="H260" s="67">
        <v>0</v>
      </c>
      <c r="I260" s="66">
        <v>162</v>
      </c>
      <c r="J260" s="67">
        <v>0</v>
      </c>
      <c r="K260" s="66">
        <v>0.4</v>
      </c>
      <c r="L260" s="67">
        <v>1</v>
      </c>
      <c r="M260" s="66">
        <v>2</v>
      </c>
      <c r="N260" s="67">
        <v>3</v>
      </c>
      <c r="O260" s="68">
        <v>1</v>
      </c>
      <c r="P260" s="93" t="str">
        <f>IFERROR(CHOOSE(MATCH(A260,'Dataset'!$B$5:$B$11,0),"S₁","S₂","S₃","S₄","S₅","S₆","S₇"),"")</f>
        <v/>
      </c>
    </row>
    <row r="261">
      <c r="A261" s="62">
        <v>257</v>
      </c>
      <c r="B261" s="66">
        <v>61</v>
      </c>
      <c r="C261" s="67">
        <v>1</v>
      </c>
      <c r="D261" s="67">
        <v>3</v>
      </c>
      <c r="E261" s="66">
        <v>150</v>
      </c>
      <c r="F261" s="66">
        <v>243</v>
      </c>
      <c r="G261" s="67">
        <v>1</v>
      </c>
      <c r="H261" s="67">
        <v>0</v>
      </c>
      <c r="I261" s="66">
        <v>137</v>
      </c>
      <c r="J261" s="67">
        <v>1</v>
      </c>
      <c r="K261" s="66">
        <v>1</v>
      </c>
      <c r="L261" s="67">
        <v>2</v>
      </c>
      <c r="M261" s="66">
        <v>0</v>
      </c>
      <c r="N261" s="67">
        <v>3</v>
      </c>
      <c r="O261" s="68">
        <v>1</v>
      </c>
      <c r="P261" s="93" t="str">
        <f>IFERROR(CHOOSE(MATCH(A261,'Dataset'!$B$5:$B$11,0),"S₁","S₂","S₃","S₄","S₅","S₆","S₇"),"")</f>
        <v/>
      </c>
    </row>
    <row r="262">
      <c r="A262" s="62">
        <v>258</v>
      </c>
      <c r="B262" s="66">
        <v>55</v>
      </c>
      <c r="C262" s="67">
        <v>1</v>
      </c>
      <c r="D262" s="67">
        <v>4</v>
      </c>
      <c r="E262" s="66">
        <v>132</v>
      </c>
      <c r="F262" s="66">
        <v>353</v>
      </c>
      <c r="G262" s="67">
        <v>0</v>
      </c>
      <c r="H262" s="67">
        <v>0</v>
      </c>
      <c r="I262" s="66">
        <v>132</v>
      </c>
      <c r="J262" s="67">
        <v>1</v>
      </c>
      <c r="K262" s="66">
        <v>1.2</v>
      </c>
      <c r="L262" s="67">
        <v>2</v>
      </c>
      <c r="M262" s="66">
        <v>1</v>
      </c>
      <c r="N262" s="67">
        <v>7</v>
      </c>
      <c r="O262" s="68">
        <v>2</v>
      </c>
      <c r="P262" s="93" t="str">
        <f>IFERROR(CHOOSE(MATCH(A262,'Dataset'!$B$5:$B$11,0),"S₁","S₂","S₃","S₄","S₅","S₆","S₇"),"")</f>
        <v/>
      </c>
    </row>
    <row r="263">
      <c r="A263" s="62">
        <v>259</v>
      </c>
      <c r="B263" s="66">
        <v>64</v>
      </c>
      <c r="C263" s="67">
        <v>1</v>
      </c>
      <c r="D263" s="67">
        <v>3</v>
      </c>
      <c r="E263" s="66">
        <v>140</v>
      </c>
      <c r="F263" s="66">
        <v>335</v>
      </c>
      <c r="G263" s="67">
        <v>0</v>
      </c>
      <c r="H263" s="67">
        <v>0</v>
      </c>
      <c r="I263" s="66">
        <v>158</v>
      </c>
      <c r="J263" s="67">
        <v>0</v>
      </c>
      <c r="K263" s="66">
        <v>0</v>
      </c>
      <c r="L263" s="67">
        <v>1</v>
      </c>
      <c r="M263" s="66">
        <v>0</v>
      </c>
      <c r="N263" s="67">
        <v>3</v>
      </c>
      <c r="O263" s="68">
        <v>2</v>
      </c>
      <c r="P263" s="93" t="str">
        <f>IFERROR(CHOOSE(MATCH(A263,'Dataset'!$B$5:$B$11,0),"S₁","S₂","S₃","S₄","S₅","S₆","S₇"),"")</f>
        <v/>
      </c>
    </row>
    <row r="264">
      <c r="A264" s="62">
        <v>260</v>
      </c>
      <c r="B264" s="66">
        <v>43</v>
      </c>
      <c r="C264" s="67">
        <v>1</v>
      </c>
      <c r="D264" s="67">
        <v>4</v>
      </c>
      <c r="E264" s="66">
        <v>150</v>
      </c>
      <c r="F264" s="66">
        <v>247</v>
      </c>
      <c r="G264" s="67">
        <v>0</v>
      </c>
      <c r="H264" s="67">
        <v>0</v>
      </c>
      <c r="I264" s="66">
        <v>171</v>
      </c>
      <c r="J264" s="67">
        <v>0</v>
      </c>
      <c r="K264" s="66">
        <v>1.5</v>
      </c>
      <c r="L264" s="67">
        <v>1</v>
      </c>
      <c r="M264" s="66">
        <v>0</v>
      </c>
      <c r="N264" s="67">
        <v>3</v>
      </c>
      <c r="O264" s="68">
        <v>1</v>
      </c>
      <c r="P264" s="93" t="str">
        <f>IFERROR(CHOOSE(MATCH(A264,'Dataset'!$B$5:$B$11,0),"S₁","S₂","S₃","S₄","S₅","S₆","S₇"),"")</f>
        <v/>
      </c>
    </row>
    <row r="265">
      <c r="A265" s="62">
        <v>261</v>
      </c>
      <c r="B265" s="66">
        <v>58</v>
      </c>
      <c r="C265" s="67">
        <v>0</v>
      </c>
      <c r="D265" s="67">
        <v>3</v>
      </c>
      <c r="E265" s="66">
        <v>120</v>
      </c>
      <c r="F265" s="66">
        <v>340</v>
      </c>
      <c r="G265" s="67">
        <v>0</v>
      </c>
      <c r="H265" s="67">
        <v>0</v>
      </c>
      <c r="I265" s="66">
        <v>172</v>
      </c>
      <c r="J265" s="67">
        <v>0</v>
      </c>
      <c r="K265" s="66">
        <v>0</v>
      </c>
      <c r="L265" s="67">
        <v>1</v>
      </c>
      <c r="M265" s="66">
        <v>0</v>
      </c>
      <c r="N265" s="67">
        <v>3</v>
      </c>
      <c r="O265" s="68">
        <v>1</v>
      </c>
      <c r="P265" s="93" t="str">
        <f>IFERROR(CHOOSE(MATCH(A265,'Dataset'!$B$5:$B$11,0),"S₁","S₂","S₃","S₄","S₅","S₆","S₇"),"")</f>
        <v/>
      </c>
    </row>
    <row r="266">
      <c r="A266" s="62">
        <v>262</v>
      </c>
      <c r="B266" s="66">
        <v>60</v>
      </c>
      <c r="C266" s="67">
        <v>1</v>
      </c>
      <c r="D266" s="67">
        <v>4</v>
      </c>
      <c r="E266" s="66">
        <v>130</v>
      </c>
      <c r="F266" s="66">
        <v>206</v>
      </c>
      <c r="G266" s="67">
        <v>0</v>
      </c>
      <c r="H266" s="67">
        <v>2</v>
      </c>
      <c r="I266" s="66">
        <v>132</v>
      </c>
      <c r="J266" s="67">
        <v>1</v>
      </c>
      <c r="K266" s="66">
        <v>2.4</v>
      </c>
      <c r="L266" s="67">
        <v>2</v>
      </c>
      <c r="M266" s="66">
        <v>2</v>
      </c>
      <c r="N266" s="67">
        <v>7</v>
      </c>
      <c r="O266" s="68">
        <v>2</v>
      </c>
      <c r="P266" s="93" t="str">
        <f>IFERROR(CHOOSE(MATCH(A266,'Dataset'!$B$5:$B$11,0),"S₁","S₂","S₃","S₄","S₅","S₆","S₇"),"")</f>
        <v/>
      </c>
    </row>
    <row r="267">
      <c r="A267" s="62">
        <v>263</v>
      </c>
      <c r="B267" s="66">
        <v>58</v>
      </c>
      <c r="C267" s="67">
        <v>1</v>
      </c>
      <c r="D267" s="67">
        <v>2</v>
      </c>
      <c r="E267" s="66">
        <v>120</v>
      </c>
      <c r="F267" s="66">
        <v>284</v>
      </c>
      <c r="G267" s="67">
        <v>0</v>
      </c>
      <c r="H267" s="67">
        <v>2</v>
      </c>
      <c r="I267" s="66">
        <v>160</v>
      </c>
      <c r="J267" s="67">
        <v>0</v>
      </c>
      <c r="K267" s="66">
        <v>1.8</v>
      </c>
      <c r="L267" s="67">
        <v>2</v>
      </c>
      <c r="M267" s="66">
        <v>0</v>
      </c>
      <c r="N267" s="67">
        <v>3</v>
      </c>
      <c r="O267" s="68">
        <v>2</v>
      </c>
      <c r="P267" s="93" t="str">
        <f>IFERROR(CHOOSE(MATCH(A267,'Dataset'!$B$5:$B$11,0),"S₁","S₂","S₃","S₄","S₅","S₆","S₇"),"")</f>
        <v/>
      </c>
    </row>
    <row r="268">
      <c r="A268" s="62">
        <v>264</v>
      </c>
      <c r="B268" s="66">
        <v>49</v>
      </c>
      <c r="C268" s="67">
        <v>1</v>
      </c>
      <c r="D268" s="67">
        <v>2</v>
      </c>
      <c r="E268" s="66">
        <v>130</v>
      </c>
      <c r="F268" s="66">
        <v>266</v>
      </c>
      <c r="G268" s="67">
        <v>0</v>
      </c>
      <c r="H268" s="67">
        <v>0</v>
      </c>
      <c r="I268" s="66">
        <v>171</v>
      </c>
      <c r="J268" s="67">
        <v>0</v>
      </c>
      <c r="K268" s="66">
        <v>0.6</v>
      </c>
      <c r="L268" s="67">
        <v>1</v>
      </c>
      <c r="M268" s="66">
        <v>0</v>
      </c>
      <c r="N268" s="67">
        <v>3</v>
      </c>
      <c r="O268" s="68">
        <v>1</v>
      </c>
      <c r="P268" s="93" t="str">
        <f>IFERROR(CHOOSE(MATCH(A268,'Dataset'!$B$5:$B$11,0),"S₁","S₂","S₃","S₄","S₅","S₆","S₇"),"")</f>
        <v/>
      </c>
    </row>
    <row r="269">
      <c r="A269" s="62">
        <v>265</v>
      </c>
      <c r="B269" s="66">
        <v>48</v>
      </c>
      <c r="C269" s="67">
        <v>1</v>
      </c>
      <c r="D269" s="67">
        <v>2</v>
      </c>
      <c r="E269" s="66">
        <v>110</v>
      </c>
      <c r="F269" s="66">
        <v>229</v>
      </c>
      <c r="G269" s="67">
        <v>0</v>
      </c>
      <c r="H269" s="67">
        <v>0</v>
      </c>
      <c r="I269" s="66">
        <v>168</v>
      </c>
      <c r="J269" s="67">
        <v>0</v>
      </c>
      <c r="K269" s="66">
        <v>1</v>
      </c>
      <c r="L269" s="67">
        <v>3</v>
      </c>
      <c r="M269" s="66">
        <v>0</v>
      </c>
      <c r="N269" s="67">
        <v>7</v>
      </c>
      <c r="O269" s="68">
        <v>2</v>
      </c>
      <c r="P269" s="93" t="str">
        <f>IFERROR(CHOOSE(MATCH(A269,'Dataset'!$B$5:$B$11,0),"S₁","S₂","S₃","S₄","S₅","S₆","S₇"),"")</f>
        <v/>
      </c>
    </row>
    <row r="270">
      <c r="A270" s="62">
        <v>266</v>
      </c>
      <c r="B270" s="66">
        <v>52</v>
      </c>
      <c r="C270" s="67">
        <v>1</v>
      </c>
      <c r="D270" s="67">
        <v>3</v>
      </c>
      <c r="E270" s="66">
        <v>172</v>
      </c>
      <c r="F270" s="66">
        <v>199</v>
      </c>
      <c r="G270" s="67">
        <v>1</v>
      </c>
      <c r="H270" s="67">
        <v>0</v>
      </c>
      <c r="I270" s="66">
        <v>162</v>
      </c>
      <c r="J270" s="67">
        <v>0</v>
      </c>
      <c r="K270" s="66">
        <v>0.5</v>
      </c>
      <c r="L270" s="67">
        <v>1</v>
      </c>
      <c r="M270" s="66">
        <v>0</v>
      </c>
      <c r="N270" s="67">
        <v>7</v>
      </c>
      <c r="O270" s="68">
        <v>1</v>
      </c>
      <c r="P270" s="93" t="str">
        <f>IFERROR(CHOOSE(MATCH(A270,'Dataset'!$B$5:$B$11,0),"S₁","S₂","S₃","S₄","S₅","S₆","S₇"),"")</f>
        <v/>
      </c>
    </row>
    <row r="271">
      <c r="A271" s="62">
        <v>267</v>
      </c>
      <c r="B271" s="66">
        <v>44</v>
      </c>
      <c r="C271" s="67">
        <v>1</v>
      </c>
      <c r="D271" s="67">
        <v>2</v>
      </c>
      <c r="E271" s="66">
        <v>120</v>
      </c>
      <c r="F271" s="66">
        <v>263</v>
      </c>
      <c r="G271" s="67">
        <v>0</v>
      </c>
      <c r="H271" s="67">
        <v>0</v>
      </c>
      <c r="I271" s="66">
        <v>173</v>
      </c>
      <c r="J271" s="67">
        <v>0</v>
      </c>
      <c r="K271" s="66">
        <v>0</v>
      </c>
      <c r="L271" s="67">
        <v>1</v>
      </c>
      <c r="M271" s="66">
        <v>0</v>
      </c>
      <c r="N271" s="67">
        <v>7</v>
      </c>
      <c r="O271" s="68">
        <v>1</v>
      </c>
      <c r="P271" s="93" t="str">
        <f>IFERROR(CHOOSE(MATCH(A271,'Dataset'!$B$5:$B$11,0),"S₁","S₂","S₃","S₄","S₅","S₆","S₇"),"")</f>
        <v/>
      </c>
    </row>
    <row r="272">
      <c r="A272" s="62">
        <v>268</v>
      </c>
      <c r="B272" s="66">
        <v>56</v>
      </c>
      <c r="C272" s="67">
        <v>0</v>
      </c>
      <c r="D272" s="67">
        <v>2</v>
      </c>
      <c r="E272" s="66">
        <v>140</v>
      </c>
      <c r="F272" s="66">
        <v>294</v>
      </c>
      <c r="G272" s="67">
        <v>0</v>
      </c>
      <c r="H272" s="67">
        <v>2</v>
      </c>
      <c r="I272" s="66">
        <v>153</v>
      </c>
      <c r="J272" s="67">
        <v>0</v>
      </c>
      <c r="K272" s="66">
        <v>1.3</v>
      </c>
      <c r="L272" s="67">
        <v>2</v>
      </c>
      <c r="M272" s="66">
        <v>0</v>
      </c>
      <c r="N272" s="67">
        <v>3</v>
      </c>
      <c r="O272" s="68">
        <v>1</v>
      </c>
      <c r="P272" s="93" t="str">
        <f>IFERROR(CHOOSE(MATCH(A272,'Dataset'!$B$5:$B$11,0),"S₁","S₂","S₃","S₄","S₅","S₆","S₇"),"")</f>
        <v/>
      </c>
    </row>
    <row r="273">
      <c r="A273" s="62">
        <v>269</v>
      </c>
      <c r="B273" s="66">
        <v>57</v>
      </c>
      <c r="C273" s="67">
        <v>1</v>
      </c>
      <c r="D273" s="67">
        <v>4</v>
      </c>
      <c r="E273" s="66">
        <v>140</v>
      </c>
      <c r="F273" s="66">
        <v>192</v>
      </c>
      <c r="G273" s="67">
        <v>0</v>
      </c>
      <c r="H273" s="67">
        <v>0</v>
      </c>
      <c r="I273" s="66">
        <v>148</v>
      </c>
      <c r="J273" s="67">
        <v>0</v>
      </c>
      <c r="K273" s="66">
        <v>0.4</v>
      </c>
      <c r="L273" s="67">
        <v>2</v>
      </c>
      <c r="M273" s="66">
        <v>0</v>
      </c>
      <c r="N273" s="67">
        <v>6</v>
      </c>
      <c r="O273" s="68">
        <v>1</v>
      </c>
      <c r="P273" s="93" t="str">
        <f>IFERROR(CHOOSE(MATCH(A273,'Dataset'!$B$5:$B$11,0),"S₁","S₂","S₃","S₄","S₅","S₆","S₇"),"")</f>
        <v/>
      </c>
    </row>
    <row r="274">
      <c r="A274" s="62">
        <v>270</v>
      </c>
      <c r="B274" s="66">
        <v>67</v>
      </c>
      <c r="C274" s="67">
        <v>1</v>
      </c>
      <c r="D274" s="67">
        <v>4</v>
      </c>
      <c r="E274" s="66">
        <v>160</v>
      </c>
      <c r="F274" s="66">
        <v>286</v>
      </c>
      <c r="G274" s="67">
        <v>0</v>
      </c>
      <c r="H274" s="67">
        <v>2</v>
      </c>
      <c r="I274" s="66">
        <v>108</v>
      </c>
      <c r="J274" s="67">
        <v>1</v>
      </c>
      <c r="K274" s="66">
        <v>1.5</v>
      </c>
      <c r="L274" s="67">
        <v>2</v>
      </c>
      <c r="M274" s="66">
        <v>3</v>
      </c>
      <c r="N274" s="67">
        <v>3</v>
      </c>
      <c r="O274" s="68">
        <v>2</v>
      </c>
      <c r="P274" s="93" t="str">
        <f>IFERROR(CHOOSE(MATCH(A274,'Dataset'!$B$5:$B$11,0),"S₁","S₂","S₃","S₄","S₅","S₆","S₇"),"")</f>
        <v/>
      </c>
    </row>
    <row r="275">
      <c r="A275" s="69" t="inlineStr">
        <is>
          <t xml:space="preserve">Type</t>
        </is>
      </c>
      <c r="B275" s="69">
        <v>1</v>
      </c>
      <c r="C275" s="69">
        <v>0</v>
      </c>
      <c r="D275" s="69">
        <v>0</v>
      </c>
      <c r="E275" s="69">
        <v>1</v>
      </c>
      <c r="F275" s="69">
        <v>1</v>
      </c>
      <c r="G275" s="69">
        <v>0</v>
      </c>
      <c r="H275" s="69">
        <v>0</v>
      </c>
      <c r="I275" s="69">
        <v>1</v>
      </c>
      <c r="J275" s="69">
        <v>0</v>
      </c>
      <c r="K275" s="69">
        <v>1</v>
      </c>
      <c r="L275" s="69">
        <v>0</v>
      </c>
      <c r="M275" s="69">
        <v>1</v>
      </c>
      <c r="N275" s="69">
        <v>0</v>
      </c>
      <c r="O275" s="69" t="inlineStr">
        <is>
          <t xml:space="preserve">1 = I</t>
        </is>
      </c>
      <c r="P275" s="69" t="inlineStr">
        <is>
          <t xml:space="preserve"/>
        </is>
      </c>
    </row>
    <row r="276"/>
    <row r="277">
      <c r="A277" s="82" t="inlineStr">
        <is>
          <t xml:space="preserve">Class 1</t>
        </is>
      </c>
      <c r="B277" s="84">
        <f>COUNTIF(O5:O274,1)</f>
        <v>150</v>
      </c>
    </row>
    <row r="278">
      <c r="A278" s="82" t="inlineStr">
        <is>
          <t xml:space="preserve">Class 2</t>
        </is>
      </c>
      <c r="B278" s="84">
        <f>COUNTIF(O5:O274,2)</f>
        <v>120</v>
      </c>
    </row>
    <row r="279">
      <c r="A279" s="82" t="inlineStr">
        <is>
          <t xml:space="preserve">Objects</t>
        </is>
      </c>
      <c r="B279" s="84">
        <f>COUNT(O5:O274)</f>
        <v>270</v>
      </c>
    </row>
    <row r="280"/>
    <row r="281">
      <c r="A281" s="100" t="inlineStr">
        <is>
          <t xml:space="preserve">Source: the lab file Heart-Disease (270,13,2).csv — first line "270,13,2" (objects, features, classes), 270 object lines, last line = type flags (the Statlog Heart data).</t>
        </is>
      </c>
    </row>
    <row r="282">
      <c r="A282" s="100" t="inlineStr">
        <is>
          <t xml:space="preserve">Type flags as in the file: x₁, x₄, x₅, x₈, x₁₀, x₁₂ quantitative (6); x₂, x₃, x₆, x₇, x₉, x₁₁, x₁₃ nominal (7) — the same as in Heart-Disease (10, 13, 2), whose 10 objects are rows 1–10 here.</t>
        </is>
      </c>
    </row>
    <row r="283">
      <c r="A283" s="100" t="inlineStr">
        <is>
          <t xml:space="preserve">The article (§3) counts 7 quantitative and 6 nominal features (probably x₁₁, the ordered slope, as quantitative); this workbook keeps the file’s flags.</t>
        </is>
      </c>
    </row>
  </sheetData>
  <mergeCells count="2">
    <mergeCell ref="A1:P1"/>
    <mergeCell ref="A3:P3"/>
  </mergeCells>
  <conditionalFormatting sqref="A5:P274">
    <cfRule type="expression" dxfId="0" priority="1">
      <formula>$P5&lt;&gt;""</formula>
    </cfRule>
  </conditionalFormatting>
  <printOptions horizontalCentered="1"/>
  <pageMargins left="0.4" right="0.4" top="0.7" bottom="0.6" header="0.3" footer="0.3"/>
  <pageSetup paperSize="9" orientation="landscape" fitToWidth="1" fitToHeight="0"/>
  <headerFooter>
    <oddHeader>&amp;L&amp;"Calibri,Bold"&amp;9ERDR Algorithm — Heart-Disease (7, 13, 2) selected from Heart-Disease (270, 13, 2)&amp;R&amp;"Calibri,Regular"&amp;9&amp;A</oddHeader>
    <oddFooter>&amp;C&amp;"Calibri,Regular"&amp;9Page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2F5597"/>
    <pageSetUpPr fitToPage="1"/>
  </sheetPr>
  <dimension ref="A1:P40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8.77734375" customWidth="1"/>
    <col min="2" max="2" width="11.77734375" customWidth="1"/>
    <col min="3" max="15" width="9.77734375" customWidth="1"/>
    <col min="16" max="16" width="9.77734375" customWidth="1"/>
  </cols>
  <sheetData>
    <row r="1" ht="22" customHeight="1">
      <c r="A1" s="57" t="inlineStr">
        <is>
          <t xml:space="preserve">Dataset · Heart-Disease (7, 13, 2) — the 7 objects selected from Heart-Disease (270, 13, 2) for the ERDR experiment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</row>
    <row r="2"/>
    <row r="3">
      <c r="A3" s="58" t="inlineStr">
        <is>
          <t xml:space="preserve">Selected objects S₁ … S₇ (source rows in ascending order) · values are read from “Source Dataset (270)” — type another source row to try another object</t>
        </is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</row>
    <row r="4">
      <c r="A4" s="60" t="inlineStr">
        <is>
          <t xml:space="preserve">№</t>
        </is>
      </c>
      <c r="B4" s="60" t="inlineStr">
        <is>
          <t xml:space="preserve">Source row</t>
        </is>
      </c>
      <c r="C4" s="60" t="inlineStr">
        <is>
          <t xml:space="preserve">x₁</t>
        </is>
      </c>
      <c r="D4" s="60" t="inlineStr">
        <is>
          <t xml:space="preserve">x₂</t>
        </is>
      </c>
      <c r="E4" s="60" t="inlineStr">
        <is>
          <t xml:space="preserve">x₃</t>
        </is>
      </c>
      <c r="F4" s="60" t="inlineStr">
        <is>
          <t xml:space="preserve">x₄</t>
        </is>
      </c>
      <c r="G4" s="60" t="inlineStr">
        <is>
          <t xml:space="preserve">x₅</t>
        </is>
      </c>
      <c r="H4" s="60" t="inlineStr">
        <is>
          <t xml:space="preserve">x₆</t>
        </is>
      </c>
      <c r="I4" s="60" t="inlineStr">
        <is>
          <t xml:space="preserve">x₇</t>
        </is>
      </c>
      <c r="J4" s="60" t="inlineStr">
        <is>
          <t xml:space="preserve">x₈</t>
        </is>
      </c>
      <c r="K4" s="60" t="inlineStr">
        <is>
          <t xml:space="preserve">x₉</t>
        </is>
      </c>
      <c r="L4" s="60" t="inlineStr">
        <is>
          <t xml:space="preserve">x₁₀</t>
        </is>
      </c>
      <c r="M4" s="60" t="inlineStr">
        <is>
          <t xml:space="preserve">x₁₁</t>
        </is>
      </c>
      <c r="N4" s="60" t="inlineStr">
        <is>
          <t xml:space="preserve">x₁₂</t>
        </is>
      </c>
      <c r="O4" s="60" t="inlineStr">
        <is>
          <t xml:space="preserve">x₁₃</t>
        </is>
      </c>
      <c r="P4" s="60" t="inlineStr">
        <is>
          <t xml:space="preserve">Class</t>
        </is>
      </c>
    </row>
    <row r="5">
      <c r="A5" s="62" t="inlineStr">
        <is>
          <t xml:space="preserve">S₁</t>
        </is>
      </c>
      <c r="B5" s="88">
        <v>1</v>
      </c>
      <c r="C5" s="66">
        <f>INDEX('Source Dataset (270)'!B$5:B$274,$B5)</f>
        <v>70</v>
      </c>
      <c r="D5" s="67">
        <f>INDEX('Source Dataset (270)'!C$5:C$274,$B5)</f>
        <v>1</v>
      </c>
      <c r="E5" s="67">
        <f>INDEX('Source Dataset (270)'!D$5:D$274,$B5)</f>
        <v>4</v>
      </c>
      <c r="F5" s="66">
        <f>INDEX('Source Dataset (270)'!E$5:E$274,$B5)</f>
        <v>130</v>
      </c>
      <c r="G5" s="66">
        <f>INDEX('Source Dataset (270)'!F$5:F$274,$B5)</f>
        <v>322</v>
      </c>
      <c r="H5" s="67">
        <f>INDEX('Source Dataset (270)'!G$5:G$274,$B5)</f>
        <v>0</v>
      </c>
      <c r="I5" s="67">
        <f>INDEX('Source Dataset (270)'!H$5:H$274,$B5)</f>
        <v>2</v>
      </c>
      <c r="J5" s="66">
        <f>INDEX('Source Dataset (270)'!I$5:I$274,$B5)</f>
        <v>109</v>
      </c>
      <c r="K5" s="67">
        <f>INDEX('Source Dataset (270)'!J$5:J$274,$B5)</f>
        <v>0</v>
      </c>
      <c r="L5" s="66">
        <f>INDEX('Source Dataset (270)'!K$5:K$274,$B5)</f>
        <v>2.4</v>
      </c>
      <c r="M5" s="67">
        <f>INDEX('Source Dataset (270)'!L$5:L$274,$B5)</f>
        <v>2</v>
      </c>
      <c r="N5" s="66">
        <f>INDEX('Source Dataset (270)'!M$5:M$274,$B5)</f>
        <v>3</v>
      </c>
      <c r="O5" s="67">
        <f>INDEX('Source Dataset (270)'!N$5:N$274,$B5)</f>
        <v>3</v>
      </c>
      <c r="P5" s="68">
        <f>INDEX('Source Dataset (270)'!$O$5:$O$274,$B5)</f>
        <v>2</v>
      </c>
    </row>
    <row r="6">
      <c r="A6" s="62" t="inlineStr">
        <is>
          <t xml:space="preserve">S₂</t>
        </is>
      </c>
      <c r="B6" s="88">
        <v>10</v>
      </c>
      <c r="C6" s="66">
        <f>INDEX('Source Dataset (270)'!B$5:B$274,$B6)</f>
        <v>63</v>
      </c>
      <c r="D6" s="67">
        <f>INDEX('Source Dataset (270)'!C$5:C$274,$B6)</f>
        <v>0</v>
      </c>
      <c r="E6" s="67">
        <f>INDEX('Source Dataset (270)'!D$5:D$274,$B6)</f>
        <v>4</v>
      </c>
      <c r="F6" s="66">
        <f>INDEX('Source Dataset (270)'!E$5:E$274,$B6)</f>
        <v>150</v>
      </c>
      <c r="G6" s="66">
        <f>INDEX('Source Dataset (270)'!F$5:F$274,$B6)</f>
        <v>407</v>
      </c>
      <c r="H6" s="67">
        <f>INDEX('Source Dataset (270)'!G$5:G$274,$B6)</f>
        <v>0</v>
      </c>
      <c r="I6" s="67">
        <f>INDEX('Source Dataset (270)'!H$5:H$274,$B6)</f>
        <v>2</v>
      </c>
      <c r="J6" s="66">
        <f>INDEX('Source Dataset (270)'!I$5:I$274,$B6)</f>
        <v>154</v>
      </c>
      <c r="K6" s="67">
        <f>INDEX('Source Dataset (270)'!J$5:J$274,$B6)</f>
        <v>0</v>
      </c>
      <c r="L6" s="66">
        <f>INDEX('Source Dataset (270)'!K$5:K$274,$B6)</f>
        <v>4</v>
      </c>
      <c r="M6" s="67">
        <f>INDEX('Source Dataset (270)'!L$5:L$274,$B6)</f>
        <v>2</v>
      </c>
      <c r="N6" s="66">
        <f>INDEX('Source Dataset (270)'!M$5:M$274,$B6)</f>
        <v>3</v>
      </c>
      <c r="O6" s="67">
        <f>INDEX('Source Dataset (270)'!N$5:N$274,$B6)</f>
        <v>7</v>
      </c>
      <c r="P6" s="68">
        <f>INDEX('Source Dataset (270)'!$O$5:$O$274,$B6)</f>
        <v>2</v>
      </c>
    </row>
    <row r="7">
      <c r="A7" s="62" t="inlineStr">
        <is>
          <t xml:space="preserve">S₃</t>
        </is>
      </c>
      <c r="B7" s="88">
        <v>73</v>
      </c>
      <c r="C7" s="66">
        <f>INDEX('Source Dataset (270)'!B$5:B$274,$B7)</f>
        <v>70</v>
      </c>
      <c r="D7" s="67">
        <f>INDEX('Source Dataset (270)'!C$5:C$274,$B7)</f>
        <v>1</v>
      </c>
      <c r="E7" s="67">
        <f>INDEX('Source Dataset (270)'!D$5:D$274,$B7)</f>
        <v>2</v>
      </c>
      <c r="F7" s="66">
        <f>INDEX('Source Dataset (270)'!E$5:E$274,$B7)</f>
        <v>156</v>
      </c>
      <c r="G7" s="66">
        <f>INDEX('Source Dataset (270)'!F$5:F$274,$B7)</f>
        <v>245</v>
      </c>
      <c r="H7" s="67">
        <f>INDEX('Source Dataset (270)'!G$5:G$274,$B7)</f>
        <v>0</v>
      </c>
      <c r="I7" s="67">
        <f>INDEX('Source Dataset (270)'!H$5:H$274,$B7)</f>
        <v>2</v>
      </c>
      <c r="J7" s="66">
        <f>INDEX('Source Dataset (270)'!I$5:I$274,$B7)</f>
        <v>143</v>
      </c>
      <c r="K7" s="67">
        <f>INDEX('Source Dataset (270)'!J$5:J$274,$B7)</f>
        <v>0</v>
      </c>
      <c r="L7" s="66">
        <f>INDEX('Source Dataset (270)'!K$5:K$274,$B7)</f>
        <v>0</v>
      </c>
      <c r="M7" s="67">
        <f>INDEX('Source Dataset (270)'!L$5:L$274,$B7)</f>
        <v>1</v>
      </c>
      <c r="N7" s="66">
        <f>INDEX('Source Dataset (270)'!M$5:M$274,$B7)</f>
        <v>0</v>
      </c>
      <c r="O7" s="67">
        <f>INDEX('Source Dataset (270)'!N$5:N$274,$B7)</f>
        <v>3</v>
      </c>
      <c r="P7" s="68">
        <f>INDEX('Source Dataset (270)'!$O$5:$O$274,$B7)</f>
        <v>1</v>
      </c>
    </row>
    <row r="8">
      <c r="A8" s="62" t="inlineStr">
        <is>
          <t xml:space="preserve">S₄</t>
        </is>
      </c>
      <c r="B8" s="88">
        <v>143</v>
      </c>
      <c r="C8" s="66">
        <f>INDEX('Source Dataset (270)'!B$5:B$274,$B8)</f>
        <v>50</v>
      </c>
      <c r="D8" s="67">
        <f>INDEX('Source Dataset (270)'!C$5:C$274,$B8)</f>
        <v>1</v>
      </c>
      <c r="E8" s="67">
        <f>INDEX('Source Dataset (270)'!D$5:D$274,$B8)</f>
        <v>3</v>
      </c>
      <c r="F8" s="66">
        <f>INDEX('Source Dataset (270)'!E$5:E$274,$B8)</f>
        <v>140</v>
      </c>
      <c r="G8" s="66">
        <f>INDEX('Source Dataset (270)'!F$5:F$274,$B8)</f>
        <v>233</v>
      </c>
      <c r="H8" s="67">
        <f>INDEX('Source Dataset (270)'!G$5:G$274,$B8)</f>
        <v>0</v>
      </c>
      <c r="I8" s="67">
        <f>INDEX('Source Dataset (270)'!H$5:H$274,$B8)</f>
        <v>0</v>
      </c>
      <c r="J8" s="66">
        <f>INDEX('Source Dataset (270)'!I$5:I$274,$B8)</f>
        <v>163</v>
      </c>
      <c r="K8" s="67">
        <f>INDEX('Source Dataset (270)'!J$5:J$274,$B8)</f>
        <v>0</v>
      </c>
      <c r="L8" s="66">
        <f>INDEX('Source Dataset (270)'!K$5:K$274,$B8)</f>
        <v>0.6</v>
      </c>
      <c r="M8" s="67">
        <f>INDEX('Source Dataset (270)'!L$5:L$274,$B8)</f>
        <v>2</v>
      </c>
      <c r="N8" s="66">
        <f>INDEX('Source Dataset (270)'!M$5:M$274,$B8)</f>
        <v>1</v>
      </c>
      <c r="O8" s="67">
        <f>INDEX('Source Dataset (270)'!N$5:N$274,$B8)</f>
        <v>7</v>
      </c>
      <c r="P8" s="68">
        <f>INDEX('Source Dataset (270)'!$O$5:$O$274,$B8)</f>
        <v>2</v>
      </c>
    </row>
    <row r="9">
      <c r="A9" s="62" t="inlineStr">
        <is>
          <t xml:space="preserve">S₅</t>
        </is>
      </c>
      <c r="B9" s="88">
        <v>224</v>
      </c>
      <c r="C9" s="66">
        <f>INDEX('Source Dataset (270)'!B$5:B$274,$B9)</f>
        <v>63</v>
      </c>
      <c r="D9" s="67">
        <f>INDEX('Source Dataset (270)'!C$5:C$274,$B9)</f>
        <v>1</v>
      </c>
      <c r="E9" s="67">
        <f>INDEX('Source Dataset (270)'!D$5:D$274,$B9)</f>
        <v>4</v>
      </c>
      <c r="F9" s="66">
        <f>INDEX('Source Dataset (270)'!E$5:E$274,$B9)</f>
        <v>130</v>
      </c>
      <c r="G9" s="66">
        <f>INDEX('Source Dataset (270)'!F$5:F$274,$B9)</f>
        <v>330</v>
      </c>
      <c r="H9" s="67">
        <f>INDEX('Source Dataset (270)'!G$5:G$274,$B9)</f>
        <v>1</v>
      </c>
      <c r="I9" s="67">
        <f>INDEX('Source Dataset (270)'!H$5:H$274,$B9)</f>
        <v>2</v>
      </c>
      <c r="J9" s="66">
        <f>INDEX('Source Dataset (270)'!I$5:I$274,$B9)</f>
        <v>132</v>
      </c>
      <c r="K9" s="67">
        <f>INDEX('Source Dataset (270)'!J$5:J$274,$B9)</f>
        <v>1</v>
      </c>
      <c r="L9" s="66">
        <f>INDEX('Source Dataset (270)'!K$5:K$274,$B9)</f>
        <v>1.8</v>
      </c>
      <c r="M9" s="67">
        <f>INDEX('Source Dataset (270)'!L$5:L$274,$B9)</f>
        <v>1</v>
      </c>
      <c r="N9" s="66">
        <f>INDEX('Source Dataset (270)'!M$5:M$274,$B9)</f>
        <v>3</v>
      </c>
      <c r="O9" s="67">
        <f>INDEX('Source Dataset (270)'!N$5:N$274,$B9)</f>
        <v>7</v>
      </c>
      <c r="P9" s="68">
        <f>INDEX('Source Dataset (270)'!$O$5:$O$274,$B9)</f>
        <v>2</v>
      </c>
    </row>
    <row r="10">
      <c r="A10" s="62" t="inlineStr">
        <is>
          <t xml:space="preserve">S₆</t>
        </is>
      </c>
      <c r="B10" s="88">
        <v>226</v>
      </c>
      <c r="C10" s="66">
        <f>INDEX('Source Dataset (270)'!B$5:B$274,$B10)</f>
        <v>41</v>
      </c>
      <c r="D10" s="67">
        <f>INDEX('Source Dataset (270)'!C$5:C$274,$B10)</f>
        <v>1</v>
      </c>
      <c r="E10" s="67">
        <f>INDEX('Source Dataset (270)'!D$5:D$274,$B10)</f>
        <v>2</v>
      </c>
      <c r="F10" s="66">
        <f>INDEX('Source Dataset (270)'!E$5:E$274,$B10)</f>
        <v>135</v>
      </c>
      <c r="G10" s="66">
        <f>INDEX('Source Dataset (270)'!F$5:F$274,$B10)</f>
        <v>203</v>
      </c>
      <c r="H10" s="67">
        <f>INDEX('Source Dataset (270)'!G$5:G$274,$B10)</f>
        <v>0</v>
      </c>
      <c r="I10" s="67">
        <f>INDEX('Source Dataset (270)'!H$5:H$274,$B10)</f>
        <v>0</v>
      </c>
      <c r="J10" s="66">
        <f>INDEX('Source Dataset (270)'!I$5:I$274,$B10)</f>
        <v>132</v>
      </c>
      <c r="K10" s="67">
        <f>INDEX('Source Dataset (270)'!J$5:J$274,$B10)</f>
        <v>0</v>
      </c>
      <c r="L10" s="66">
        <f>INDEX('Source Dataset (270)'!K$5:K$274,$B10)</f>
        <v>0</v>
      </c>
      <c r="M10" s="67">
        <f>INDEX('Source Dataset (270)'!L$5:L$274,$B10)</f>
        <v>2</v>
      </c>
      <c r="N10" s="66">
        <f>INDEX('Source Dataset (270)'!M$5:M$274,$B10)</f>
        <v>0</v>
      </c>
      <c r="O10" s="67">
        <f>INDEX('Source Dataset (270)'!N$5:N$274,$B10)</f>
        <v>6</v>
      </c>
      <c r="P10" s="68">
        <f>INDEX('Source Dataset (270)'!$O$5:$O$274,$B10)</f>
        <v>1</v>
      </c>
    </row>
    <row r="11">
      <c r="A11" s="62" t="inlineStr">
        <is>
          <t xml:space="preserve">S₇</t>
        </is>
      </c>
      <c r="B11" s="88">
        <v>239</v>
      </c>
      <c r="C11" s="66">
        <f>INDEX('Source Dataset (270)'!B$5:B$274,$B11)</f>
        <v>47</v>
      </c>
      <c r="D11" s="67">
        <f>INDEX('Source Dataset (270)'!C$5:C$274,$B11)</f>
        <v>1</v>
      </c>
      <c r="E11" s="67">
        <f>INDEX('Source Dataset (270)'!D$5:D$274,$B11)</f>
        <v>3</v>
      </c>
      <c r="F11" s="66">
        <f>INDEX('Source Dataset (270)'!E$5:E$274,$B11)</f>
        <v>138</v>
      </c>
      <c r="G11" s="66">
        <f>INDEX('Source Dataset (270)'!F$5:F$274,$B11)</f>
        <v>257</v>
      </c>
      <c r="H11" s="67">
        <f>INDEX('Source Dataset (270)'!G$5:G$274,$B11)</f>
        <v>0</v>
      </c>
      <c r="I11" s="67">
        <f>INDEX('Source Dataset (270)'!H$5:H$274,$B11)</f>
        <v>2</v>
      </c>
      <c r="J11" s="66">
        <f>INDEX('Source Dataset (270)'!I$5:I$274,$B11)</f>
        <v>156</v>
      </c>
      <c r="K11" s="67">
        <f>INDEX('Source Dataset (270)'!J$5:J$274,$B11)</f>
        <v>0</v>
      </c>
      <c r="L11" s="66">
        <f>INDEX('Source Dataset (270)'!K$5:K$274,$B11)</f>
        <v>0</v>
      </c>
      <c r="M11" s="67">
        <f>INDEX('Source Dataset (270)'!L$5:L$274,$B11)</f>
        <v>1</v>
      </c>
      <c r="N11" s="66">
        <f>INDEX('Source Dataset (270)'!M$5:M$274,$B11)</f>
        <v>0</v>
      </c>
      <c r="O11" s="67">
        <f>INDEX('Source Dataset (270)'!N$5:N$274,$B11)</f>
        <v>3</v>
      </c>
      <c r="P11" s="68">
        <f>INDEX('Source Dataset (270)'!$O$5:$O$274,$B11)</f>
        <v>1</v>
      </c>
    </row>
    <row r="12">
      <c r="A12" s="69" t="inlineStr">
        <is>
          <t xml:space="preserve">Type</t>
        </is>
      </c>
      <c r="B12" s="69" t="inlineStr">
        <is>
          <t xml:space="preserve">—</t>
        </is>
      </c>
      <c r="C12" s="69">
        <f>'Source Dataset (270)'!B$275</f>
        <v>1</v>
      </c>
      <c r="D12" s="69">
        <f>'Source Dataset (270)'!C$275</f>
        <v>0</v>
      </c>
      <c r="E12" s="69">
        <f>'Source Dataset (270)'!D$275</f>
        <v>0</v>
      </c>
      <c r="F12" s="69">
        <f>'Source Dataset (270)'!E$275</f>
        <v>1</v>
      </c>
      <c r="G12" s="69">
        <f>'Source Dataset (270)'!F$275</f>
        <v>1</v>
      </c>
      <c r="H12" s="69">
        <f>'Source Dataset (270)'!G$275</f>
        <v>0</v>
      </c>
      <c r="I12" s="69">
        <f>'Source Dataset (270)'!H$275</f>
        <v>0</v>
      </c>
      <c r="J12" s="69">
        <f>'Source Dataset (270)'!I$275</f>
        <v>1</v>
      </c>
      <c r="K12" s="69">
        <f>'Source Dataset (270)'!J$275</f>
        <v>0</v>
      </c>
      <c r="L12" s="69">
        <f>'Source Dataset (270)'!K$275</f>
        <v>1</v>
      </c>
      <c r="M12" s="69">
        <f>'Source Dataset (270)'!L$275</f>
        <v>0</v>
      </c>
      <c r="N12" s="69">
        <f>'Source Dataset (270)'!M$275</f>
        <v>1</v>
      </c>
      <c r="O12" s="69">
        <f>'Source Dataset (270)'!N$275</f>
        <v>0</v>
      </c>
      <c r="P12" s="69" t="inlineStr">
        <is>
          <t xml:space="preserve">1 = I</t>
        </is>
      </c>
    </row>
    <row r="13"/>
    <row r="14">
      <c r="A14" s="82" t="inlineStr">
        <is>
          <t xml:space="preserve">Check</t>
        </is>
      </c>
      <c r="B14" s="85" t="str">
        <f>IF(AND(B5&lt;B6,B6&lt;B7,B7&lt;B8,B8&lt;B9,B9&lt;B10,B10&lt;B11,B5&gt;=1,B11&lt;=270),"✓ 7 distinct source rows in ascending order","⚠ the source rows must be distinct, ascending and between 1 and 270")</f>
        <v>✓ 7 distinct source rows in ascending order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</row>
    <row r="15"/>
    <row r="16">
      <c r="A16" s="58" t="inlineStr">
        <is>
          <t xml:space="preserve">Quantitative features (set I, type 1) with class — view of the table above</t>
        </is>
      </c>
      <c r="B16" s="58"/>
      <c r="C16" s="58"/>
      <c r="D16" s="58"/>
      <c r="E16" s="58"/>
      <c r="F16" s="58"/>
      <c r="G16" s="58"/>
      <c r="H16" s="58"/>
      <c r="I16" s="58"/>
    </row>
    <row r="17">
      <c r="A17" s="60" t="inlineStr">
        <is>
          <t xml:space="preserve">№</t>
        </is>
      </c>
      <c r="B17" s="60" t="inlineStr">
        <is>
          <t xml:space="preserve">Source row</t>
        </is>
      </c>
      <c r="C17" s="60" t="inlineStr">
        <is>
          <t xml:space="preserve">x₁</t>
        </is>
      </c>
      <c r="D17" s="60" t="inlineStr">
        <is>
          <t xml:space="preserve">x₄</t>
        </is>
      </c>
      <c r="E17" s="60" t="inlineStr">
        <is>
          <t xml:space="preserve">x₅</t>
        </is>
      </c>
      <c r="F17" s="60" t="inlineStr">
        <is>
          <t xml:space="preserve">x₈</t>
        </is>
      </c>
      <c r="G17" s="60" t="inlineStr">
        <is>
          <t xml:space="preserve">x₁₀</t>
        </is>
      </c>
      <c r="H17" s="60" t="inlineStr">
        <is>
          <t xml:space="preserve">x₁₂</t>
        </is>
      </c>
      <c r="I17" s="60" t="inlineStr">
        <is>
          <t xml:space="preserve">Class</t>
        </is>
      </c>
    </row>
    <row r="18">
      <c r="A18" s="62" t="inlineStr">
        <is>
          <t xml:space="preserve">S₁</t>
        </is>
      </c>
      <c r="B18" s="78">
        <f>B5</f>
        <v>1</v>
      </c>
      <c r="C18" s="66">
        <f>C5</f>
        <v>70</v>
      </c>
      <c r="D18" s="66">
        <f>F5</f>
        <v>130</v>
      </c>
      <c r="E18" s="66">
        <f>G5</f>
        <v>322</v>
      </c>
      <c r="F18" s="66">
        <f>J5</f>
        <v>109</v>
      </c>
      <c r="G18" s="66">
        <f>L5</f>
        <v>2.4</v>
      </c>
      <c r="H18" s="66">
        <f>N5</f>
        <v>3</v>
      </c>
      <c r="I18" s="68">
        <f>P5</f>
        <v>2</v>
      </c>
    </row>
    <row r="19">
      <c r="A19" s="62" t="inlineStr">
        <is>
          <t xml:space="preserve">S₂</t>
        </is>
      </c>
      <c r="B19" s="78">
        <f>B6</f>
        <v>10</v>
      </c>
      <c r="C19" s="66">
        <f>C6</f>
        <v>63</v>
      </c>
      <c r="D19" s="66">
        <f>F6</f>
        <v>150</v>
      </c>
      <c r="E19" s="66">
        <f>G6</f>
        <v>407</v>
      </c>
      <c r="F19" s="66">
        <f>J6</f>
        <v>154</v>
      </c>
      <c r="G19" s="66">
        <f>L6</f>
        <v>4</v>
      </c>
      <c r="H19" s="66">
        <f>N6</f>
        <v>3</v>
      </c>
      <c r="I19" s="68">
        <f>P6</f>
        <v>2</v>
      </c>
    </row>
    <row r="20">
      <c r="A20" s="62" t="inlineStr">
        <is>
          <t xml:space="preserve">S₃</t>
        </is>
      </c>
      <c r="B20" s="78">
        <f>B7</f>
        <v>73</v>
      </c>
      <c r="C20" s="66">
        <f>C7</f>
        <v>70</v>
      </c>
      <c r="D20" s="66">
        <f>F7</f>
        <v>156</v>
      </c>
      <c r="E20" s="66">
        <f>G7</f>
        <v>245</v>
      </c>
      <c r="F20" s="66">
        <f>J7</f>
        <v>143</v>
      </c>
      <c r="G20" s="66">
        <f>L7</f>
        <v>0</v>
      </c>
      <c r="H20" s="66">
        <f>N7</f>
        <v>0</v>
      </c>
      <c r="I20" s="68">
        <f>P7</f>
        <v>1</v>
      </c>
    </row>
    <row r="21">
      <c r="A21" s="62" t="inlineStr">
        <is>
          <t xml:space="preserve">S₄</t>
        </is>
      </c>
      <c r="B21" s="78">
        <f>B8</f>
        <v>143</v>
      </c>
      <c r="C21" s="66">
        <f>C8</f>
        <v>50</v>
      </c>
      <c r="D21" s="66">
        <f>F8</f>
        <v>140</v>
      </c>
      <c r="E21" s="66">
        <f>G8</f>
        <v>233</v>
      </c>
      <c r="F21" s="66">
        <f>J8</f>
        <v>163</v>
      </c>
      <c r="G21" s="66">
        <f>L8</f>
        <v>0.6</v>
      </c>
      <c r="H21" s="66">
        <f>N8</f>
        <v>1</v>
      </c>
      <c r="I21" s="68">
        <f>P8</f>
        <v>2</v>
      </c>
    </row>
    <row r="22">
      <c r="A22" s="62" t="inlineStr">
        <is>
          <t xml:space="preserve">S₅</t>
        </is>
      </c>
      <c r="B22" s="78">
        <f>B9</f>
        <v>224</v>
      </c>
      <c r="C22" s="66">
        <f>C9</f>
        <v>63</v>
      </c>
      <c r="D22" s="66">
        <f>F9</f>
        <v>130</v>
      </c>
      <c r="E22" s="66">
        <f>G9</f>
        <v>330</v>
      </c>
      <c r="F22" s="66">
        <f>J9</f>
        <v>132</v>
      </c>
      <c r="G22" s="66">
        <f>L9</f>
        <v>1.8</v>
      </c>
      <c r="H22" s="66">
        <f>N9</f>
        <v>3</v>
      </c>
      <c r="I22" s="68">
        <f>P9</f>
        <v>2</v>
      </c>
    </row>
    <row r="23">
      <c r="A23" s="62" t="inlineStr">
        <is>
          <t xml:space="preserve">S₆</t>
        </is>
      </c>
      <c r="B23" s="78">
        <f>B10</f>
        <v>226</v>
      </c>
      <c r="C23" s="66">
        <f>C10</f>
        <v>41</v>
      </c>
      <c r="D23" s="66">
        <f>F10</f>
        <v>135</v>
      </c>
      <c r="E23" s="66">
        <f>G10</f>
        <v>203</v>
      </c>
      <c r="F23" s="66">
        <f>J10</f>
        <v>132</v>
      </c>
      <c r="G23" s="66">
        <f>L10</f>
        <v>0</v>
      </c>
      <c r="H23" s="66">
        <f>N10</f>
        <v>0</v>
      </c>
      <c r="I23" s="68">
        <f>P10</f>
        <v>1</v>
      </c>
    </row>
    <row r="24">
      <c r="A24" s="62" t="inlineStr">
        <is>
          <t xml:space="preserve">S₇</t>
        </is>
      </c>
      <c r="B24" s="78">
        <f>B11</f>
        <v>239</v>
      </c>
      <c r="C24" s="66">
        <f>C11</f>
        <v>47</v>
      </c>
      <c r="D24" s="66">
        <f>F11</f>
        <v>138</v>
      </c>
      <c r="E24" s="66">
        <f>G11</f>
        <v>257</v>
      </c>
      <c r="F24" s="66">
        <f>J11</f>
        <v>156</v>
      </c>
      <c r="G24" s="66">
        <f>L11</f>
        <v>0</v>
      </c>
      <c r="H24" s="66">
        <f>N11</f>
        <v>0</v>
      </c>
      <c r="I24" s="68">
        <f>P11</f>
        <v>1</v>
      </c>
    </row>
    <row r="25"/>
    <row r="26"/>
    <row r="27">
      <c r="A27" s="58" t="inlineStr">
        <is>
          <t xml:space="preserve">Nominal features (set J, type 0) with class — view of the table above</t>
        </is>
      </c>
      <c r="B27" s="58"/>
      <c r="C27" s="58"/>
      <c r="D27" s="58"/>
      <c r="E27" s="58"/>
      <c r="F27" s="58"/>
      <c r="G27" s="58"/>
      <c r="H27" s="58"/>
      <c r="I27" s="58"/>
      <c r="J27" s="58"/>
    </row>
    <row r="28">
      <c r="A28" s="60" t="inlineStr">
        <is>
          <t xml:space="preserve">№</t>
        </is>
      </c>
      <c r="B28" s="60" t="inlineStr">
        <is>
          <t xml:space="preserve">Source row</t>
        </is>
      </c>
      <c r="C28" s="60" t="inlineStr">
        <is>
          <t xml:space="preserve">x₂</t>
        </is>
      </c>
      <c r="D28" s="60" t="inlineStr">
        <is>
          <t xml:space="preserve">x₃</t>
        </is>
      </c>
      <c r="E28" s="60" t="inlineStr">
        <is>
          <t xml:space="preserve">x₆</t>
        </is>
      </c>
      <c r="F28" s="60" t="inlineStr">
        <is>
          <t xml:space="preserve">x₇</t>
        </is>
      </c>
      <c r="G28" s="60" t="inlineStr">
        <is>
          <t xml:space="preserve">x₉</t>
        </is>
      </c>
      <c r="H28" s="60" t="inlineStr">
        <is>
          <t xml:space="preserve">x₁₁</t>
        </is>
      </c>
      <c r="I28" s="60" t="inlineStr">
        <is>
          <t xml:space="preserve">x₁₃</t>
        </is>
      </c>
      <c r="J28" s="60" t="inlineStr">
        <is>
          <t xml:space="preserve">Class</t>
        </is>
      </c>
    </row>
    <row r="29">
      <c r="A29" s="62" t="inlineStr">
        <is>
          <t xml:space="preserve">S₁</t>
        </is>
      </c>
      <c r="B29" s="78">
        <f>B5</f>
        <v>1</v>
      </c>
      <c r="C29" s="67">
        <f>D5</f>
        <v>1</v>
      </c>
      <c r="D29" s="67">
        <f>E5</f>
        <v>4</v>
      </c>
      <c r="E29" s="67">
        <f>H5</f>
        <v>0</v>
      </c>
      <c r="F29" s="67">
        <f>I5</f>
        <v>2</v>
      </c>
      <c r="G29" s="67">
        <f>K5</f>
        <v>0</v>
      </c>
      <c r="H29" s="67">
        <f>M5</f>
        <v>2</v>
      </c>
      <c r="I29" s="67">
        <f>O5</f>
        <v>3</v>
      </c>
      <c r="J29" s="68">
        <f>P5</f>
        <v>2</v>
      </c>
    </row>
    <row r="30">
      <c r="A30" s="62" t="inlineStr">
        <is>
          <t xml:space="preserve">S₂</t>
        </is>
      </c>
      <c r="B30" s="78">
        <f>B6</f>
        <v>10</v>
      </c>
      <c r="C30" s="67">
        <f>D6</f>
        <v>0</v>
      </c>
      <c r="D30" s="67">
        <f>E6</f>
        <v>4</v>
      </c>
      <c r="E30" s="67">
        <f>H6</f>
        <v>0</v>
      </c>
      <c r="F30" s="67">
        <f>I6</f>
        <v>2</v>
      </c>
      <c r="G30" s="67">
        <f>K6</f>
        <v>0</v>
      </c>
      <c r="H30" s="67">
        <f>M6</f>
        <v>2</v>
      </c>
      <c r="I30" s="67">
        <f>O6</f>
        <v>7</v>
      </c>
      <c r="J30" s="68">
        <f>P6</f>
        <v>2</v>
      </c>
    </row>
    <row r="31">
      <c r="A31" s="62" t="inlineStr">
        <is>
          <t xml:space="preserve">S₃</t>
        </is>
      </c>
      <c r="B31" s="78">
        <f>B7</f>
        <v>73</v>
      </c>
      <c r="C31" s="67">
        <f>D7</f>
        <v>1</v>
      </c>
      <c r="D31" s="67">
        <f>E7</f>
        <v>2</v>
      </c>
      <c r="E31" s="67">
        <f>H7</f>
        <v>0</v>
      </c>
      <c r="F31" s="67">
        <f>I7</f>
        <v>2</v>
      </c>
      <c r="G31" s="67">
        <f>K7</f>
        <v>0</v>
      </c>
      <c r="H31" s="67">
        <f>M7</f>
        <v>1</v>
      </c>
      <c r="I31" s="67">
        <f>O7</f>
        <v>3</v>
      </c>
      <c r="J31" s="68">
        <f>P7</f>
        <v>1</v>
      </c>
    </row>
    <row r="32">
      <c r="A32" s="62" t="inlineStr">
        <is>
          <t xml:space="preserve">S₄</t>
        </is>
      </c>
      <c r="B32" s="78">
        <f>B8</f>
        <v>143</v>
      </c>
      <c r="C32" s="67">
        <f>D8</f>
        <v>1</v>
      </c>
      <c r="D32" s="67">
        <f>E8</f>
        <v>3</v>
      </c>
      <c r="E32" s="67">
        <f>H8</f>
        <v>0</v>
      </c>
      <c r="F32" s="67">
        <f>I8</f>
        <v>0</v>
      </c>
      <c r="G32" s="67">
        <f>K8</f>
        <v>0</v>
      </c>
      <c r="H32" s="67">
        <f>M8</f>
        <v>2</v>
      </c>
      <c r="I32" s="67">
        <f>O8</f>
        <v>7</v>
      </c>
      <c r="J32" s="68">
        <f>P8</f>
        <v>2</v>
      </c>
    </row>
    <row r="33">
      <c r="A33" s="62" t="inlineStr">
        <is>
          <t xml:space="preserve">S₅</t>
        </is>
      </c>
      <c r="B33" s="78">
        <f>B9</f>
        <v>224</v>
      </c>
      <c r="C33" s="67">
        <f>D9</f>
        <v>1</v>
      </c>
      <c r="D33" s="67">
        <f>E9</f>
        <v>4</v>
      </c>
      <c r="E33" s="67">
        <f>H9</f>
        <v>1</v>
      </c>
      <c r="F33" s="67">
        <f>I9</f>
        <v>2</v>
      </c>
      <c r="G33" s="67">
        <f>K9</f>
        <v>1</v>
      </c>
      <c r="H33" s="67">
        <f>M9</f>
        <v>1</v>
      </c>
      <c r="I33" s="67">
        <f>O9</f>
        <v>7</v>
      </c>
      <c r="J33" s="68">
        <f>P9</f>
        <v>2</v>
      </c>
    </row>
    <row r="34">
      <c r="A34" s="62" t="inlineStr">
        <is>
          <t xml:space="preserve">S₆</t>
        </is>
      </c>
      <c r="B34" s="78">
        <f>B10</f>
        <v>226</v>
      </c>
      <c r="C34" s="67">
        <f>D10</f>
        <v>1</v>
      </c>
      <c r="D34" s="67">
        <f>E10</f>
        <v>2</v>
      </c>
      <c r="E34" s="67">
        <f>H10</f>
        <v>0</v>
      </c>
      <c r="F34" s="67">
        <f>I10</f>
        <v>0</v>
      </c>
      <c r="G34" s="67">
        <f>K10</f>
        <v>0</v>
      </c>
      <c r="H34" s="67">
        <f>M10</f>
        <v>2</v>
      </c>
      <c r="I34" s="67">
        <f>O10</f>
        <v>6</v>
      </c>
      <c r="J34" s="68">
        <f>P10</f>
        <v>1</v>
      </c>
    </row>
    <row r="35">
      <c r="A35" s="62" t="inlineStr">
        <is>
          <t xml:space="preserve">S₇</t>
        </is>
      </c>
      <c r="B35" s="78">
        <f>B11</f>
        <v>239</v>
      </c>
      <c r="C35" s="67">
        <f>D11</f>
        <v>1</v>
      </c>
      <c r="D35" s="67">
        <f>E11</f>
        <v>3</v>
      </c>
      <c r="E35" s="67">
        <f>H11</f>
        <v>0</v>
      </c>
      <c r="F35" s="67">
        <f>I11</f>
        <v>2</v>
      </c>
      <c r="G35" s="67">
        <f>K11</f>
        <v>0</v>
      </c>
      <c r="H35" s="67">
        <f>M11</f>
        <v>1</v>
      </c>
      <c r="I35" s="67">
        <f>O11</f>
        <v>3</v>
      </c>
      <c r="J35" s="68">
        <f>P11</f>
        <v>1</v>
      </c>
    </row>
    <row r="36"/>
    <row r="37"/>
    <row r="38">
      <c r="A38" s="100" t="inlineStr">
        <is>
          <t xml:space="preserve">Source rows 1 and 10 are S₁ and S₁₀ of the earlier Heart-Disease (10, 13, 2) experiment; here they are S₁ and S₂.</t>
        </is>
      </c>
    </row>
    <row r="39">
      <c r="A39" s="100" t="inlineStr">
        <is>
          <t xml:space="preserve">The two lower tables split the features by the type flags of the source file (6 quantitative, 7 nominal); every calculation uses the Type row above.</t>
        </is>
      </c>
    </row>
    <row r="40">
      <c r="A40" s="100" t="inlineStr">
        <is>
          <t xml:space="preserve">Why exactly these 7 objects: the smallest sample in which every case of the ERDR algorithm occurs — see “Object Selection” and “Case Checklist”.</t>
        </is>
      </c>
    </row>
  </sheetData>
  <mergeCells count="5">
    <mergeCell ref="A1:P1"/>
    <mergeCell ref="A3:P3"/>
    <mergeCell ref="B14:P14"/>
    <mergeCell ref="A16:I16"/>
    <mergeCell ref="A27:J27"/>
  </mergeCells>
  <dataValidations count="1">
    <dataValidation type="whole" allowBlank="0" showInputMessage="1" showErrorMessage="1" promptTitle="Source row" prompt="Row 1–270 of Source Dataset (270), ascending" sqref="B5:B11">
      <formula1>1</formula1>
      <formula2>270</formula2>
    </dataValidation>
  </dataValidation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&amp;L&amp;"Calibri,Bold"&amp;9ERDR Algorithm — Heart-Disease (7, 13, 2) selected from Heart-Disease (270, 13, 2)&amp;R&amp;"Calibri,Regular"&amp;9&amp;A</oddHeader>
    <oddFooter>&amp;C&amp;"Calibri,Regular"&amp;9Page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7030A0"/>
    <pageSetUpPr fitToPage="1"/>
  </sheetPr>
  <dimension ref="A1:O17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10.77734375" customWidth="1"/>
    <col min="2" max="15" width="10.77734375" customWidth="1"/>
  </cols>
  <sheetData>
    <row r="1" ht="20" customHeight="1">
      <c r="A1" s="57" t="inlineStr">
        <is>
          <t xml:space="preserve">Step 0 · Scale unification — quantitative features mapped to [0, 1], nominal features unchanged (required by the Zhuravlev metric)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</row>
    <row r="2"/>
    <row r="3">
      <c r="A3" s="58" t="inlineStr">
        <is>
          <t xml:space="preserve">Heart-Disease (7, 13, 2) after x′ = (x − min) / (max − min) for type 1 (min and max over the 7 objects)</t>
        </is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</row>
    <row r="4">
      <c r="A4" s="60" t="inlineStr">
        <is>
          <t xml:space="preserve">№</t>
        </is>
      </c>
      <c r="B4" s="60" t="inlineStr">
        <is>
          <t xml:space="preserve">x₁</t>
        </is>
      </c>
      <c r="C4" s="60" t="inlineStr">
        <is>
          <t xml:space="preserve">x₂</t>
        </is>
      </c>
      <c r="D4" s="60" t="inlineStr">
        <is>
          <t xml:space="preserve">x₃</t>
        </is>
      </c>
      <c r="E4" s="60" t="inlineStr">
        <is>
          <t xml:space="preserve">x₄</t>
        </is>
      </c>
      <c r="F4" s="60" t="inlineStr">
        <is>
          <t xml:space="preserve">x₅</t>
        </is>
      </c>
      <c r="G4" s="60" t="inlineStr">
        <is>
          <t xml:space="preserve">x₆</t>
        </is>
      </c>
      <c r="H4" s="60" t="inlineStr">
        <is>
          <t xml:space="preserve">x₇</t>
        </is>
      </c>
      <c r="I4" s="60" t="inlineStr">
        <is>
          <t xml:space="preserve">x₈</t>
        </is>
      </c>
      <c r="J4" s="60" t="inlineStr">
        <is>
          <t xml:space="preserve">x₉</t>
        </is>
      </c>
      <c r="K4" s="60" t="inlineStr">
        <is>
          <t xml:space="preserve">x₁₀</t>
        </is>
      </c>
      <c r="L4" s="60" t="inlineStr">
        <is>
          <t xml:space="preserve">x₁₁</t>
        </is>
      </c>
      <c r="M4" s="60" t="inlineStr">
        <is>
          <t xml:space="preserve">x₁₂</t>
        </is>
      </c>
      <c r="N4" s="60" t="inlineStr">
        <is>
          <t xml:space="preserve">x₁₃</t>
        </is>
      </c>
      <c r="O4" s="60" t="inlineStr">
        <is>
          <t xml:space="preserve">Class</t>
        </is>
      </c>
    </row>
    <row r="5">
      <c r="A5" s="62" t="inlineStr">
        <is>
          <t xml:space="preserve">S₁</t>
        </is>
      </c>
      <c r="B5" s="65">
        <f>IF('Dataset'!C$12=1,IF(MAX('Dataset'!C$5:C$11)=MIN('Dataset'!C$5:C$11),0,('Dataset'!C5-MIN('Dataset'!C$5:C$11))/(MAX('Dataset'!C$5:C$11)-MIN('Dataset'!C$5:C$11))),'Dataset'!C5)</f>
        <v>1</v>
      </c>
      <c r="C5" s="67">
        <f>IF('Dataset'!D$12=1,IF(MAX('Dataset'!D$5:D$11)=MIN('Dataset'!D$5:D$11),0,('Dataset'!D5-MIN('Dataset'!D$5:D$11))/(MAX('Dataset'!D$5:D$11)-MIN('Dataset'!D$5:D$11))),'Dataset'!D5)</f>
        <v>1</v>
      </c>
      <c r="D5" s="67">
        <f>IF('Dataset'!E$12=1,IF(MAX('Dataset'!E$5:E$11)=MIN('Dataset'!E$5:E$11),0,('Dataset'!E5-MIN('Dataset'!E$5:E$11))/(MAX('Dataset'!E$5:E$11)-MIN('Dataset'!E$5:E$11))),'Dataset'!E5)</f>
        <v>4</v>
      </c>
      <c r="E5" s="65">
        <f>IF('Dataset'!F$12=1,IF(MAX('Dataset'!F$5:F$11)=MIN('Dataset'!F$5:F$11),0,('Dataset'!F5-MIN('Dataset'!F$5:F$11))/(MAX('Dataset'!F$5:F$11)-MIN('Dataset'!F$5:F$11))),'Dataset'!F5)</f>
        <v>0</v>
      </c>
      <c r="F5" s="65">
        <f>IF('Dataset'!G$12=1,IF(MAX('Dataset'!G$5:G$11)=MIN('Dataset'!G$5:G$11),0,('Dataset'!G5-MIN('Dataset'!G$5:G$11))/(MAX('Dataset'!G$5:G$11)-MIN('Dataset'!G$5:G$11))),'Dataset'!G5)</f>
        <v>0.583333333333333</v>
      </c>
      <c r="G5" s="67">
        <f>IF('Dataset'!H$12=1,IF(MAX('Dataset'!H$5:H$11)=MIN('Dataset'!H$5:H$11),0,('Dataset'!H5-MIN('Dataset'!H$5:H$11))/(MAX('Dataset'!H$5:H$11)-MIN('Dataset'!H$5:H$11))),'Dataset'!H5)</f>
        <v>0</v>
      </c>
      <c r="H5" s="67">
        <f>IF('Dataset'!I$12=1,IF(MAX('Dataset'!I$5:I$11)=MIN('Dataset'!I$5:I$11),0,('Dataset'!I5-MIN('Dataset'!I$5:I$11))/(MAX('Dataset'!I$5:I$11)-MIN('Dataset'!I$5:I$11))),'Dataset'!I5)</f>
        <v>2</v>
      </c>
      <c r="I5" s="65">
        <f>IF('Dataset'!J$12=1,IF(MAX('Dataset'!J$5:J$11)=MIN('Dataset'!J$5:J$11),0,('Dataset'!J5-MIN('Dataset'!J$5:J$11))/(MAX('Dataset'!J$5:J$11)-MIN('Dataset'!J$5:J$11))),'Dataset'!J5)</f>
        <v>0</v>
      </c>
      <c r="J5" s="67">
        <f>IF('Dataset'!K$12=1,IF(MAX('Dataset'!K$5:K$11)=MIN('Dataset'!K$5:K$11),0,('Dataset'!K5-MIN('Dataset'!K$5:K$11))/(MAX('Dataset'!K$5:K$11)-MIN('Dataset'!K$5:K$11))),'Dataset'!K5)</f>
        <v>0</v>
      </c>
      <c r="K5" s="65">
        <f>IF('Dataset'!L$12=1,IF(MAX('Dataset'!L$5:L$11)=MIN('Dataset'!L$5:L$11),0,('Dataset'!L5-MIN('Dataset'!L$5:L$11))/(MAX('Dataset'!L$5:L$11)-MIN('Dataset'!L$5:L$11))),'Dataset'!L5)</f>
        <v>0.6</v>
      </c>
      <c r="L5" s="67">
        <f>IF('Dataset'!M$12=1,IF(MAX('Dataset'!M$5:M$11)=MIN('Dataset'!M$5:M$11),0,('Dataset'!M5-MIN('Dataset'!M$5:M$11))/(MAX('Dataset'!M$5:M$11)-MIN('Dataset'!M$5:M$11))),'Dataset'!M5)</f>
        <v>2</v>
      </c>
      <c r="M5" s="65">
        <f>IF('Dataset'!N$12=1,IF(MAX('Dataset'!N$5:N$11)=MIN('Dataset'!N$5:N$11),0,('Dataset'!N5-MIN('Dataset'!N$5:N$11))/(MAX('Dataset'!N$5:N$11)-MIN('Dataset'!N$5:N$11))),'Dataset'!N5)</f>
        <v>1</v>
      </c>
      <c r="N5" s="67">
        <f>IF('Dataset'!O$12=1,IF(MAX('Dataset'!O$5:O$11)=MIN('Dataset'!O$5:O$11),0,('Dataset'!O5-MIN('Dataset'!O$5:O$11))/(MAX('Dataset'!O$5:O$11)-MIN('Dataset'!O$5:O$11))),'Dataset'!O5)</f>
        <v>3</v>
      </c>
      <c r="O5" s="68">
        <f>'Dataset'!P5</f>
        <v>2</v>
      </c>
    </row>
    <row r="6">
      <c r="A6" s="62" t="inlineStr">
        <is>
          <t xml:space="preserve">S₂</t>
        </is>
      </c>
      <c r="B6" s="65">
        <f>IF('Dataset'!C$12=1,IF(MAX('Dataset'!C$5:C$11)=MIN('Dataset'!C$5:C$11),0,('Dataset'!C6-MIN('Dataset'!C$5:C$11))/(MAX('Dataset'!C$5:C$11)-MIN('Dataset'!C$5:C$11))),'Dataset'!C6)</f>
        <v>0.758620689655172</v>
      </c>
      <c r="C6" s="67">
        <f>IF('Dataset'!D$12=1,IF(MAX('Dataset'!D$5:D$11)=MIN('Dataset'!D$5:D$11),0,('Dataset'!D6-MIN('Dataset'!D$5:D$11))/(MAX('Dataset'!D$5:D$11)-MIN('Dataset'!D$5:D$11))),'Dataset'!D6)</f>
        <v>0</v>
      </c>
      <c r="D6" s="67">
        <f>IF('Dataset'!E$12=1,IF(MAX('Dataset'!E$5:E$11)=MIN('Dataset'!E$5:E$11),0,('Dataset'!E6-MIN('Dataset'!E$5:E$11))/(MAX('Dataset'!E$5:E$11)-MIN('Dataset'!E$5:E$11))),'Dataset'!E6)</f>
        <v>4</v>
      </c>
      <c r="E6" s="65">
        <f>IF('Dataset'!F$12=1,IF(MAX('Dataset'!F$5:F$11)=MIN('Dataset'!F$5:F$11),0,('Dataset'!F6-MIN('Dataset'!F$5:F$11))/(MAX('Dataset'!F$5:F$11)-MIN('Dataset'!F$5:F$11))),'Dataset'!F6)</f>
        <v>0.769230769230769</v>
      </c>
      <c r="F6" s="65">
        <f>IF('Dataset'!G$12=1,IF(MAX('Dataset'!G$5:G$11)=MIN('Dataset'!G$5:G$11),0,('Dataset'!G6-MIN('Dataset'!G$5:G$11))/(MAX('Dataset'!G$5:G$11)-MIN('Dataset'!G$5:G$11))),'Dataset'!G6)</f>
        <v>1</v>
      </c>
      <c r="G6" s="67">
        <f>IF('Dataset'!H$12=1,IF(MAX('Dataset'!H$5:H$11)=MIN('Dataset'!H$5:H$11),0,('Dataset'!H6-MIN('Dataset'!H$5:H$11))/(MAX('Dataset'!H$5:H$11)-MIN('Dataset'!H$5:H$11))),'Dataset'!H6)</f>
        <v>0</v>
      </c>
      <c r="H6" s="67">
        <f>IF('Dataset'!I$12=1,IF(MAX('Dataset'!I$5:I$11)=MIN('Dataset'!I$5:I$11),0,('Dataset'!I6-MIN('Dataset'!I$5:I$11))/(MAX('Dataset'!I$5:I$11)-MIN('Dataset'!I$5:I$11))),'Dataset'!I6)</f>
        <v>2</v>
      </c>
      <c r="I6" s="65">
        <f>IF('Dataset'!J$12=1,IF(MAX('Dataset'!J$5:J$11)=MIN('Dataset'!J$5:J$11),0,('Dataset'!J6-MIN('Dataset'!J$5:J$11))/(MAX('Dataset'!J$5:J$11)-MIN('Dataset'!J$5:J$11))),'Dataset'!J6)</f>
        <v>0.833333333333333</v>
      </c>
      <c r="J6" s="67">
        <f>IF('Dataset'!K$12=1,IF(MAX('Dataset'!K$5:K$11)=MIN('Dataset'!K$5:K$11),0,('Dataset'!K6-MIN('Dataset'!K$5:K$11))/(MAX('Dataset'!K$5:K$11)-MIN('Dataset'!K$5:K$11))),'Dataset'!K6)</f>
        <v>0</v>
      </c>
      <c r="K6" s="65">
        <f>IF('Dataset'!L$12=1,IF(MAX('Dataset'!L$5:L$11)=MIN('Dataset'!L$5:L$11),0,('Dataset'!L6-MIN('Dataset'!L$5:L$11))/(MAX('Dataset'!L$5:L$11)-MIN('Dataset'!L$5:L$11))),'Dataset'!L6)</f>
        <v>1</v>
      </c>
      <c r="L6" s="67">
        <f>IF('Dataset'!M$12=1,IF(MAX('Dataset'!M$5:M$11)=MIN('Dataset'!M$5:M$11),0,('Dataset'!M6-MIN('Dataset'!M$5:M$11))/(MAX('Dataset'!M$5:M$11)-MIN('Dataset'!M$5:M$11))),'Dataset'!M6)</f>
        <v>2</v>
      </c>
      <c r="M6" s="65">
        <f>IF('Dataset'!N$12=1,IF(MAX('Dataset'!N$5:N$11)=MIN('Dataset'!N$5:N$11),0,('Dataset'!N6-MIN('Dataset'!N$5:N$11))/(MAX('Dataset'!N$5:N$11)-MIN('Dataset'!N$5:N$11))),'Dataset'!N6)</f>
        <v>1</v>
      </c>
      <c r="N6" s="67">
        <f>IF('Dataset'!O$12=1,IF(MAX('Dataset'!O$5:O$11)=MIN('Dataset'!O$5:O$11),0,('Dataset'!O6-MIN('Dataset'!O$5:O$11))/(MAX('Dataset'!O$5:O$11)-MIN('Dataset'!O$5:O$11))),'Dataset'!O6)</f>
        <v>7</v>
      </c>
      <c r="O6" s="68">
        <f>'Dataset'!P6</f>
        <v>2</v>
      </c>
    </row>
    <row r="7">
      <c r="A7" s="62" t="inlineStr">
        <is>
          <t xml:space="preserve">S₃</t>
        </is>
      </c>
      <c r="B7" s="65">
        <f>IF('Dataset'!C$12=1,IF(MAX('Dataset'!C$5:C$11)=MIN('Dataset'!C$5:C$11),0,('Dataset'!C7-MIN('Dataset'!C$5:C$11))/(MAX('Dataset'!C$5:C$11)-MIN('Dataset'!C$5:C$11))),'Dataset'!C7)</f>
        <v>1</v>
      </c>
      <c r="C7" s="67">
        <f>IF('Dataset'!D$12=1,IF(MAX('Dataset'!D$5:D$11)=MIN('Dataset'!D$5:D$11),0,('Dataset'!D7-MIN('Dataset'!D$5:D$11))/(MAX('Dataset'!D$5:D$11)-MIN('Dataset'!D$5:D$11))),'Dataset'!D7)</f>
        <v>1</v>
      </c>
      <c r="D7" s="67">
        <f>IF('Dataset'!E$12=1,IF(MAX('Dataset'!E$5:E$11)=MIN('Dataset'!E$5:E$11),0,('Dataset'!E7-MIN('Dataset'!E$5:E$11))/(MAX('Dataset'!E$5:E$11)-MIN('Dataset'!E$5:E$11))),'Dataset'!E7)</f>
        <v>2</v>
      </c>
      <c r="E7" s="65">
        <f>IF('Dataset'!F$12=1,IF(MAX('Dataset'!F$5:F$11)=MIN('Dataset'!F$5:F$11),0,('Dataset'!F7-MIN('Dataset'!F$5:F$11))/(MAX('Dataset'!F$5:F$11)-MIN('Dataset'!F$5:F$11))),'Dataset'!F7)</f>
        <v>1</v>
      </c>
      <c r="F7" s="65">
        <f>IF('Dataset'!G$12=1,IF(MAX('Dataset'!G$5:G$11)=MIN('Dataset'!G$5:G$11),0,('Dataset'!G7-MIN('Dataset'!G$5:G$11))/(MAX('Dataset'!G$5:G$11)-MIN('Dataset'!G$5:G$11))),'Dataset'!G7)</f>
        <v>0.205882352941176</v>
      </c>
      <c r="G7" s="67">
        <f>IF('Dataset'!H$12=1,IF(MAX('Dataset'!H$5:H$11)=MIN('Dataset'!H$5:H$11),0,('Dataset'!H7-MIN('Dataset'!H$5:H$11))/(MAX('Dataset'!H$5:H$11)-MIN('Dataset'!H$5:H$11))),'Dataset'!H7)</f>
        <v>0</v>
      </c>
      <c r="H7" s="67">
        <f>IF('Dataset'!I$12=1,IF(MAX('Dataset'!I$5:I$11)=MIN('Dataset'!I$5:I$11),0,('Dataset'!I7-MIN('Dataset'!I$5:I$11))/(MAX('Dataset'!I$5:I$11)-MIN('Dataset'!I$5:I$11))),'Dataset'!I7)</f>
        <v>2</v>
      </c>
      <c r="I7" s="65">
        <f>IF('Dataset'!J$12=1,IF(MAX('Dataset'!J$5:J$11)=MIN('Dataset'!J$5:J$11),0,('Dataset'!J7-MIN('Dataset'!J$5:J$11))/(MAX('Dataset'!J$5:J$11)-MIN('Dataset'!J$5:J$11))),'Dataset'!J7)</f>
        <v>0.62962962962963</v>
      </c>
      <c r="J7" s="67">
        <f>IF('Dataset'!K$12=1,IF(MAX('Dataset'!K$5:K$11)=MIN('Dataset'!K$5:K$11),0,('Dataset'!K7-MIN('Dataset'!K$5:K$11))/(MAX('Dataset'!K$5:K$11)-MIN('Dataset'!K$5:K$11))),'Dataset'!K7)</f>
        <v>0</v>
      </c>
      <c r="K7" s="65">
        <f>IF('Dataset'!L$12=1,IF(MAX('Dataset'!L$5:L$11)=MIN('Dataset'!L$5:L$11),0,('Dataset'!L7-MIN('Dataset'!L$5:L$11))/(MAX('Dataset'!L$5:L$11)-MIN('Dataset'!L$5:L$11))),'Dataset'!L7)</f>
        <v>0</v>
      </c>
      <c r="L7" s="67">
        <f>IF('Dataset'!M$12=1,IF(MAX('Dataset'!M$5:M$11)=MIN('Dataset'!M$5:M$11),0,('Dataset'!M7-MIN('Dataset'!M$5:M$11))/(MAX('Dataset'!M$5:M$11)-MIN('Dataset'!M$5:M$11))),'Dataset'!M7)</f>
        <v>1</v>
      </c>
      <c r="M7" s="65">
        <f>IF('Dataset'!N$12=1,IF(MAX('Dataset'!N$5:N$11)=MIN('Dataset'!N$5:N$11),0,('Dataset'!N7-MIN('Dataset'!N$5:N$11))/(MAX('Dataset'!N$5:N$11)-MIN('Dataset'!N$5:N$11))),'Dataset'!N7)</f>
        <v>0</v>
      </c>
      <c r="N7" s="67">
        <f>IF('Dataset'!O$12=1,IF(MAX('Dataset'!O$5:O$11)=MIN('Dataset'!O$5:O$11),0,('Dataset'!O7-MIN('Dataset'!O$5:O$11))/(MAX('Dataset'!O$5:O$11)-MIN('Dataset'!O$5:O$11))),'Dataset'!O7)</f>
        <v>3</v>
      </c>
      <c r="O7" s="68">
        <f>'Dataset'!P7</f>
        <v>1</v>
      </c>
    </row>
    <row r="8">
      <c r="A8" s="62" t="inlineStr">
        <is>
          <t xml:space="preserve">S₄</t>
        </is>
      </c>
      <c r="B8" s="65">
        <f>IF('Dataset'!C$12=1,IF(MAX('Dataset'!C$5:C$11)=MIN('Dataset'!C$5:C$11),0,('Dataset'!C8-MIN('Dataset'!C$5:C$11))/(MAX('Dataset'!C$5:C$11)-MIN('Dataset'!C$5:C$11))),'Dataset'!C8)</f>
        <v>0.310344827586207</v>
      </c>
      <c r="C8" s="67">
        <f>IF('Dataset'!D$12=1,IF(MAX('Dataset'!D$5:D$11)=MIN('Dataset'!D$5:D$11),0,('Dataset'!D8-MIN('Dataset'!D$5:D$11))/(MAX('Dataset'!D$5:D$11)-MIN('Dataset'!D$5:D$11))),'Dataset'!D8)</f>
        <v>1</v>
      </c>
      <c r="D8" s="67">
        <f>IF('Dataset'!E$12=1,IF(MAX('Dataset'!E$5:E$11)=MIN('Dataset'!E$5:E$11),0,('Dataset'!E8-MIN('Dataset'!E$5:E$11))/(MAX('Dataset'!E$5:E$11)-MIN('Dataset'!E$5:E$11))),'Dataset'!E8)</f>
        <v>3</v>
      </c>
      <c r="E8" s="65">
        <f>IF('Dataset'!F$12=1,IF(MAX('Dataset'!F$5:F$11)=MIN('Dataset'!F$5:F$11),0,('Dataset'!F8-MIN('Dataset'!F$5:F$11))/(MAX('Dataset'!F$5:F$11)-MIN('Dataset'!F$5:F$11))),'Dataset'!F8)</f>
        <v>0.384615384615385</v>
      </c>
      <c r="F8" s="65">
        <f>IF('Dataset'!G$12=1,IF(MAX('Dataset'!G$5:G$11)=MIN('Dataset'!G$5:G$11),0,('Dataset'!G8-MIN('Dataset'!G$5:G$11))/(MAX('Dataset'!G$5:G$11)-MIN('Dataset'!G$5:G$11))),'Dataset'!G8)</f>
        <v>0.147058823529412</v>
      </c>
      <c r="G8" s="67">
        <f>IF('Dataset'!H$12=1,IF(MAX('Dataset'!H$5:H$11)=MIN('Dataset'!H$5:H$11),0,('Dataset'!H8-MIN('Dataset'!H$5:H$11))/(MAX('Dataset'!H$5:H$11)-MIN('Dataset'!H$5:H$11))),'Dataset'!H8)</f>
        <v>0</v>
      </c>
      <c r="H8" s="67">
        <f>IF('Dataset'!I$12=1,IF(MAX('Dataset'!I$5:I$11)=MIN('Dataset'!I$5:I$11),0,('Dataset'!I8-MIN('Dataset'!I$5:I$11))/(MAX('Dataset'!I$5:I$11)-MIN('Dataset'!I$5:I$11))),'Dataset'!I8)</f>
        <v>0</v>
      </c>
      <c r="I8" s="65">
        <f>IF('Dataset'!J$12=1,IF(MAX('Dataset'!J$5:J$11)=MIN('Dataset'!J$5:J$11),0,('Dataset'!J8-MIN('Dataset'!J$5:J$11))/(MAX('Dataset'!J$5:J$11)-MIN('Dataset'!J$5:J$11))),'Dataset'!J8)</f>
        <v>1</v>
      </c>
      <c r="J8" s="67">
        <f>IF('Dataset'!K$12=1,IF(MAX('Dataset'!K$5:K$11)=MIN('Dataset'!K$5:K$11),0,('Dataset'!K8-MIN('Dataset'!K$5:K$11))/(MAX('Dataset'!K$5:K$11)-MIN('Dataset'!K$5:K$11))),'Dataset'!K8)</f>
        <v>0</v>
      </c>
      <c r="K8" s="65">
        <f>IF('Dataset'!L$12=1,IF(MAX('Dataset'!L$5:L$11)=MIN('Dataset'!L$5:L$11),0,('Dataset'!L8-MIN('Dataset'!L$5:L$11))/(MAX('Dataset'!L$5:L$11)-MIN('Dataset'!L$5:L$11))),'Dataset'!L8)</f>
        <v>0.15</v>
      </c>
      <c r="L8" s="67">
        <f>IF('Dataset'!M$12=1,IF(MAX('Dataset'!M$5:M$11)=MIN('Dataset'!M$5:M$11),0,('Dataset'!M8-MIN('Dataset'!M$5:M$11))/(MAX('Dataset'!M$5:M$11)-MIN('Dataset'!M$5:M$11))),'Dataset'!M8)</f>
        <v>2</v>
      </c>
      <c r="M8" s="65">
        <f>IF('Dataset'!N$12=1,IF(MAX('Dataset'!N$5:N$11)=MIN('Dataset'!N$5:N$11),0,('Dataset'!N8-MIN('Dataset'!N$5:N$11))/(MAX('Dataset'!N$5:N$11)-MIN('Dataset'!N$5:N$11))),'Dataset'!N8)</f>
        <v>0.333333333333333</v>
      </c>
      <c r="N8" s="67">
        <f>IF('Dataset'!O$12=1,IF(MAX('Dataset'!O$5:O$11)=MIN('Dataset'!O$5:O$11),0,('Dataset'!O8-MIN('Dataset'!O$5:O$11))/(MAX('Dataset'!O$5:O$11)-MIN('Dataset'!O$5:O$11))),'Dataset'!O8)</f>
        <v>7</v>
      </c>
      <c r="O8" s="68">
        <f>'Dataset'!P8</f>
        <v>2</v>
      </c>
    </row>
    <row r="9">
      <c r="A9" s="62" t="inlineStr">
        <is>
          <t xml:space="preserve">S₅</t>
        </is>
      </c>
      <c r="B9" s="65">
        <f>IF('Dataset'!C$12=1,IF(MAX('Dataset'!C$5:C$11)=MIN('Dataset'!C$5:C$11),0,('Dataset'!C9-MIN('Dataset'!C$5:C$11))/(MAX('Dataset'!C$5:C$11)-MIN('Dataset'!C$5:C$11))),'Dataset'!C9)</f>
        <v>0.758620689655172</v>
      </c>
      <c r="C9" s="67">
        <f>IF('Dataset'!D$12=1,IF(MAX('Dataset'!D$5:D$11)=MIN('Dataset'!D$5:D$11),0,('Dataset'!D9-MIN('Dataset'!D$5:D$11))/(MAX('Dataset'!D$5:D$11)-MIN('Dataset'!D$5:D$11))),'Dataset'!D9)</f>
        <v>1</v>
      </c>
      <c r="D9" s="67">
        <f>IF('Dataset'!E$12=1,IF(MAX('Dataset'!E$5:E$11)=MIN('Dataset'!E$5:E$11),0,('Dataset'!E9-MIN('Dataset'!E$5:E$11))/(MAX('Dataset'!E$5:E$11)-MIN('Dataset'!E$5:E$11))),'Dataset'!E9)</f>
        <v>4</v>
      </c>
      <c r="E9" s="65">
        <f>IF('Dataset'!F$12=1,IF(MAX('Dataset'!F$5:F$11)=MIN('Dataset'!F$5:F$11),0,('Dataset'!F9-MIN('Dataset'!F$5:F$11))/(MAX('Dataset'!F$5:F$11)-MIN('Dataset'!F$5:F$11))),'Dataset'!F9)</f>
        <v>0</v>
      </c>
      <c r="F9" s="65">
        <f>IF('Dataset'!G$12=1,IF(MAX('Dataset'!G$5:G$11)=MIN('Dataset'!G$5:G$11),0,('Dataset'!G9-MIN('Dataset'!G$5:G$11))/(MAX('Dataset'!G$5:G$11)-MIN('Dataset'!G$5:G$11))),'Dataset'!G9)</f>
        <v>0.622549019607843</v>
      </c>
      <c r="G9" s="67">
        <f>IF('Dataset'!H$12=1,IF(MAX('Dataset'!H$5:H$11)=MIN('Dataset'!H$5:H$11),0,('Dataset'!H9-MIN('Dataset'!H$5:H$11))/(MAX('Dataset'!H$5:H$11)-MIN('Dataset'!H$5:H$11))),'Dataset'!H9)</f>
        <v>1</v>
      </c>
      <c r="H9" s="67">
        <f>IF('Dataset'!I$12=1,IF(MAX('Dataset'!I$5:I$11)=MIN('Dataset'!I$5:I$11),0,('Dataset'!I9-MIN('Dataset'!I$5:I$11))/(MAX('Dataset'!I$5:I$11)-MIN('Dataset'!I$5:I$11))),'Dataset'!I9)</f>
        <v>2</v>
      </c>
      <c r="I9" s="65">
        <f>IF('Dataset'!J$12=1,IF(MAX('Dataset'!J$5:J$11)=MIN('Dataset'!J$5:J$11),0,('Dataset'!J9-MIN('Dataset'!J$5:J$11))/(MAX('Dataset'!J$5:J$11)-MIN('Dataset'!J$5:J$11))),'Dataset'!J9)</f>
        <v>0.425925925925926</v>
      </c>
      <c r="J9" s="67">
        <f>IF('Dataset'!K$12=1,IF(MAX('Dataset'!K$5:K$11)=MIN('Dataset'!K$5:K$11),0,('Dataset'!K9-MIN('Dataset'!K$5:K$11))/(MAX('Dataset'!K$5:K$11)-MIN('Dataset'!K$5:K$11))),'Dataset'!K9)</f>
        <v>1</v>
      </c>
      <c r="K9" s="65">
        <f>IF('Dataset'!L$12=1,IF(MAX('Dataset'!L$5:L$11)=MIN('Dataset'!L$5:L$11),0,('Dataset'!L9-MIN('Dataset'!L$5:L$11))/(MAX('Dataset'!L$5:L$11)-MIN('Dataset'!L$5:L$11))),'Dataset'!L9)</f>
        <v>0.45</v>
      </c>
      <c r="L9" s="67">
        <f>IF('Dataset'!M$12=1,IF(MAX('Dataset'!M$5:M$11)=MIN('Dataset'!M$5:M$11),0,('Dataset'!M9-MIN('Dataset'!M$5:M$11))/(MAX('Dataset'!M$5:M$11)-MIN('Dataset'!M$5:M$11))),'Dataset'!M9)</f>
        <v>1</v>
      </c>
      <c r="M9" s="65">
        <f>IF('Dataset'!N$12=1,IF(MAX('Dataset'!N$5:N$11)=MIN('Dataset'!N$5:N$11),0,('Dataset'!N9-MIN('Dataset'!N$5:N$11))/(MAX('Dataset'!N$5:N$11)-MIN('Dataset'!N$5:N$11))),'Dataset'!N9)</f>
        <v>1</v>
      </c>
      <c r="N9" s="67">
        <f>IF('Dataset'!O$12=1,IF(MAX('Dataset'!O$5:O$11)=MIN('Dataset'!O$5:O$11),0,('Dataset'!O9-MIN('Dataset'!O$5:O$11))/(MAX('Dataset'!O$5:O$11)-MIN('Dataset'!O$5:O$11))),'Dataset'!O9)</f>
        <v>7</v>
      </c>
      <c r="O9" s="68">
        <f>'Dataset'!P9</f>
        <v>2</v>
      </c>
    </row>
    <row r="10">
      <c r="A10" s="62" t="inlineStr">
        <is>
          <t xml:space="preserve">S₆</t>
        </is>
      </c>
      <c r="B10" s="65">
        <f>IF('Dataset'!C$12=1,IF(MAX('Dataset'!C$5:C$11)=MIN('Dataset'!C$5:C$11),0,('Dataset'!C10-MIN('Dataset'!C$5:C$11))/(MAX('Dataset'!C$5:C$11)-MIN('Dataset'!C$5:C$11))),'Dataset'!C10)</f>
        <v>0</v>
      </c>
      <c r="C10" s="67">
        <f>IF('Dataset'!D$12=1,IF(MAX('Dataset'!D$5:D$11)=MIN('Dataset'!D$5:D$11),0,('Dataset'!D10-MIN('Dataset'!D$5:D$11))/(MAX('Dataset'!D$5:D$11)-MIN('Dataset'!D$5:D$11))),'Dataset'!D10)</f>
        <v>1</v>
      </c>
      <c r="D10" s="67">
        <f>IF('Dataset'!E$12=1,IF(MAX('Dataset'!E$5:E$11)=MIN('Dataset'!E$5:E$11),0,('Dataset'!E10-MIN('Dataset'!E$5:E$11))/(MAX('Dataset'!E$5:E$11)-MIN('Dataset'!E$5:E$11))),'Dataset'!E10)</f>
        <v>2</v>
      </c>
      <c r="E10" s="65">
        <f>IF('Dataset'!F$12=1,IF(MAX('Dataset'!F$5:F$11)=MIN('Dataset'!F$5:F$11),0,('Dataset'!F10-MIN('Dataset'!F$5:F$11))/(MAX('Dataset'!F$5:F$11)-MIN('Dataset'!F$5:F$11))),'Dataset'!F10)</f>
        <v>0.192307692307692</v>
      </c>
      <c r="F10" s="65">
        <f>IF('Dataset'!G$12=1,IF(MAX('Dataset'!G$5:G$11)=MIN('Dataset'!G$5:G$11),0,('Dataset'!G10-MIN('Dataset'!G$5:G$11))/(MAX('Dataset'!G$5:G$11)-MIN('Dataset'!G$5:G$11))),'Dataset'!G10)</f>
        <v>0</v>
      </c>
      <c r="G10" s="67">
        <f>IF('Dataset'!H$12=1,IF(MAX('Dataset'!H$5:H$11)=MIN('Dataset'!H$5:H$11),0,('Dataset'!H10-MIN('Dataset'!H$5:H$11))/(MAX('Dataset'!H$5:H$11)-MIN('Dataset'!H$5:H$11))),'Dataset'!H10)</f>
        <v>0</v>
      </c>
      <c r="H10" s="67">
        <f>IF('Dataset'!I$12=1,IF(MAX('Dataset'!I$5:I$11)=MIN('Dataset'!I$5:I$11),0,('Dataset'!I10-MIN('Dataset'!I$5:I$11))/(MAX('Dataset'!I$5:I$11)-MIN('Dataset'!I$5:I$11))),'Dataset'!I10)</f>
        <v>0</v>
      </c>
      <c r="I10" s="65">
        <f>IF('Dataset'!J$12=1,IF(MAX('Dataset'!J$5:J$11)=MIN('Dataset'!J$5:J$11),0,('Dataset'!J10-MIN('Dataset'!J$5:J$11))/(MAX('Dataset'!J$5:J$11)-MIN('Dataset'!J$5:J$11))),'Dataset'!J10)</f>
        <v>0.425925925925926</v>
      </c>
      <c r="J10" s="67">
        <f>IF('Dataset'!K$12=1,IF(MAX('Dataset'!K$5:K$11)=MIN('Dataset'!K$5:K$11),0,('Dataset'!K10-MIN('Dataset'!K$5:K$11))/(MAX('Dataset'!K$5:K$11)-MIN('Dataset'!K$5:K$11))),'Dataset'!K10)</f>
        <v>0</v>
      </c>
      <c r="K10" s="65">
        <f>IF('Dataset'!L$12=1,IF(MAX('Dataset'!L$5:L$11)=MIN('Dataset'!L$5:L$11),0,('Dataset'!L10-MIN('Dataset'!L$5:L$11))/(MAX('Dataset'!L$5:L$11)-MIN('Dataset'!L$5:L$11))),'Dataset'!L10)</f>
        <v>0</v>
      </c>
      <c r="L10" s="67">
        <f>IF('Dataset'!M$12=1,IF(MAX('Dataset'!M$5:M$11)=MIN('Dataset'!M$5:M$11),0,('Dataset'!M10-MIN('Dataset'!M$5:M$11))/(MAX('Dataset'!M$5:M$11)-MIN('Dataset'!M$5:M$11))),'Dataset'!M10)</f>
        <v>2</v>
      </c>
      <c r="M10" s="65">
        <f>IF('Dataset'!N$12=1,IF(MAX('Dataset'!N$5:N$11)=MIN('Dataset'!N$5:N$11),0,('Dataset'!N10-MIN('Dataset'!N$5:N$11))/(MAX('Dataset'!N$5:N$11)-MIN('Dataset'!N$5:N$11))),'Dataset'!N10)</f>
        <v>0</v>
      </c>
      <c r="N10" s="67">
        <f>IF('Dataset'!O$12=1,IF(MAX('Dataset'!O$5:O$11)=MIN('Dataset'!O$5:O$11),0,('Dataset'!O10-MIN('Dataset'!O$5:O$11))/(MAX('Dataset'!O$5:O$11)-MIN('Dataset'!O$5:O$11))),'Dataset'!O10)</f>
        <v>6</v>
      </c>
      <c r="O10" s="68">
        <f>'Dataset'!P10</f>
        <v>1</v>
      </c>
    </row>
    <row r="11">
      <c r="A11" s="62" t="inlineStr">
        <is>
          <t xml:space="preserve">S₇</t>
        </is>
      </c>
      <c r="B11" s="65">
        <f>IF('Dataset'!C$12=1,IF(MAX('Dataset'!C$5:C$11)=MIN('Dataset'!C$5:C$11),0,('Dataset'!C11-MIN('Dataset'!C$5:C$11))/(MAX('Dataset'!C$5:C$11)-MIN('Dataset'!C$5:C$11))),'Dataset'!C11)</f>
        <v>0.206896551724138</v>
      </c>
      <c r="C11" s="67">
        <f>IF('Dataset'!D$12=1,IF(MAX('Dataset'!D$5:D$11)=MIN('Dataset'!D$5:D$11),0,('Dataset'!D11-MIN('Dataset'!D$5:D$11))/(MAX('Dataset'!D$5:D$11)-MIN('Dataset'!D$5:D$11))),'Dataset'!D11)</f>
        <v>1</v>
      </c>
      <c r="D11" s="67">
        <f>IF('Dataset'!E$12=1,IF(MAX('Dataset'!E$5:E$11)=MIN('Dataset'!E$5:E$11),0,('Dataset'!E11-MIN('Dataset'!E$5:E$11))/(MAX('Dataset'!E$5:E$11)-MIN('Dataset'!E$5:E$11))),'Dataset'!E11)</f>
        <v>3</v>
      </c>
      <c r="E11" s="65">
        <f>IF('Dataset'!F$12=1,IF(MAX('Dataset'!F$5:F$11)=MIN('Dataset'!F$5:F$11),0,('Dataset'!F11-MIN('Dataset'!F$5:F$11))/(MAX('Dataset'!F$5:F$11)-MIN('Dataset'!F$5:F$11))),'Dataset'!F11)</f>
        <v>0.307692307692308</v>
      </c>
      <c r="F11" s="65">
        <f>IF('Dataset'!G$12=1,IF(MAX('Dataset'!G$5:G$11)=MIN('Dataset'!G$5:G$11),0,('Dataset'!G11-MIN('Dataset'!G$5:G$11))/(MAX('Dataset'!G$5:G$11)-MIN('Dataset'!G$5:G$11))),'Dataset'!G11)</f>
        <v>0.264705882352941</v>
      </c>
      <c r="G11" s="67">
        <f>IF('Dataset'!H$12=1,IF(MAX('Dataset'!H$5:H$11)=MIN('Dataset'!H$5:H$11),0,('Dataset'!H11-MIN('Dataset'!H$5:H$11))/(MAX('Dataset'!H$5:H$11)-MIN('Dataset'!H$5:H$11))),'Dataset'!H11)</f>
        <v>0</v>
      </c>
      <c r="H11" s="67">
        <f>IF('Dataset'!I$12=1,IF(MAX('Dataset'!I$5:I$11)=MIN('Dataset'!I$5:I$11),0,('Dataset'!I11-MIN('Dataset'!I$5:I$11))/(MAX('Dataset'!I$5:I$11)-MIN('Dataset'!I$5:I$11))),'Dataset'!I11)</f>
        <v>2</v>
      </c>
      <c r="I11" s="65">
        <f>IF('Dataset'!J$12=1,IF(MAX('Dataset'!J$5:J$11)=MIN('Dataset'!J$5:J$11),0,('Dataset'!J11-MIN('Dataset'!J$5:J$11))/(MAX('Dataset'!J$5:J$11)-MIN('Dataset'!J$5:J$11))),'Dataset'!J11)</f>
        <v>0.87037037037037</v>
      </c>
      <c r="J11" s="67">
        <f>IF('Dataset'!K$12=1,IF(MAX('Dataset'!K$5:K$11)=MIN('Dataset'!K$5:K$11),0,('Dataset'!K11-MIN('Dataset'!K$5:K$11))/(MAX('Dataset'!K$5:K$11)-MIN('Dataset'!K$5:K$11))),'Dataset'!K11)</f>
        <v>0</v>
      </c>
      <c r="K11" s="65">
        <f>IF('Dataset'!L$12=1,IF(MAX('Dataset'!L$5:L$11)=MIN('Dataset'!L$5:L$11),0,('Dataset'!L11-MIN('Dataset'!L$5:L$11))/(MAX('Dataset'!L$5:L$11)-MIN('Dataset'!L$5:L$11))),'Dataset'!L11)</f>
        <v>0</v>
      </c>
      <c r="L11" s="67">
        <f>IF('Dataset'!M$12=1,IF(MAX('Dataset'!M$5:M$11)=MIN('Dataset'!M$5:M$11),0,('Dataset'!M11-MIN('Dataset'!M$5:M$11))/(MAX('Dataset'!M$5:M$11)-MIN('Dataset'!M$5:M$11))),'Dataset'!M11)</f>
        <v>1</v>
      </c>
      <c r="M11" s="65">
        <f>IF('Dataset'!N$12=1,IF(MAX('Dataset'!N$5:N$11)=MIN('Dataset'!N$5:N$11),0,('Dataset'!N11-MIN('Dataset'!N$5:N$11))/(MAX('Dataset'!N$5:N$11)-MIN('Dataset'!N$5:N$11))),'Dataset'!N11)</f>
        <v>0</v>
      </c>
      <c r="N11" s="67">
        <f>IF('Dataset'!O$12=1,IF(MAX('Dataset'!O$5:O$11)=MIN('Dataset'!O$5:O$11),0,('Dataset'!O11-MIN('Dataset'!O$5:O$11))/(MAX('Dataset'!O$5:O$11)-MIN('Dataset'!O$5:O$11))),'Dataset'!O11)</f>
        <v>3</v>
      </c>
      <c r="O11" s="68">
        <f>'Dataset'!P11</f>
        <v>1</v>
      </c>
    </row>
    <row r="12">
      <c r="A12" s="69" t="inlineStr">
        <is>
          <t xml:space="preserve">Type</t>
        </is>
      </c>
      <c r="B12" s="69">
        <f>'Dataset'!C$12</f>
        <v>1</v>
      </c>
      <c r="C12" s="69">
        <f>'Dataset'!D$12</f>
        <v>0</v>
      </c>
      <c r="D12" s="69">
        <f>'Dataset'!E$12</f>
        <v>0</v>
      </c>
      <c r="E12" s="69">
        <f>'Dataset'!F$12</f>
        <v>1</v>
      </c>
      <c r="F12" s="69">
        <f>'Dataset'!G$12</f>
        <v>1</v>
      </c>
      <c r="G12" s="69">
        <f>'Dataset'!H$12</f>
        <v>0</v>
      </c>
      <c r="H12" s="69">
        <f>'Dataset'!I$12</f>
        <v>0</v>
      </c>
      <c r="I12" s="69">
        <f>'Dataset'!J$12</f>
        <v>1</v>
      </c>
      <c r="J12" s="69">
        <f>'Dataset'!K$12</f>
        <v>0</v>
      </c>
      <c r="K12" s="69">
        <f>'Dataset'!L$12</f>
        <v>1</v>
      </c>
      <c r="L12" s="69">
        <f>'Dataset'!M$12</f>
        <v>0</v>
      </c>
      <c r="M12" s="69">
        <f>'Dataset'!N$12</f>
        <v>1</v>
      </c>
      <c r="N12" s="69">
        <f>'Dataset'!O$12</f>
        <v>0</v>
      </c>
      <c r="O12" s="69" t="inlineStr">
        <is>
          <t xml:space="preserve">1 = I</t>
        </is>
      </c>
    </row>
    <row r="13">
      <c r="A13" s="72" t="inlineStr">
        <is>
          <t xml:space="preserve">min</t>
        </is>
      </c>
      <c r="B13" s="71">
        <f>IF(B$12=1,MIN('Dataset'!C$5:C$11),"—")</f>
        <v>41</v>
      </c>
      <c r="C13" s="71" t="str">
        <f>IF(C$12=1,MIN('Dataset'!D$5:D$11),"—")</f>
        <v>—</v>
      </c>
      <c r="D13" s="71" t="str">
        <f>IF(D$12=1,MIN('Dataset'!E$5:E$11),"—")</f>
        <v>—</v>
      </c>
      <c r="E13" s="71">
        <f>IF(E$12=1,MIN('Dataset'!F$5:F$11),"—")</f>
        <v>130</v>
      </c>
      <c r="F13" s="71">
        <f>IF(F$12=1,MIN('Dataset'!G$5:G$11),"—")</f>
        <v>203</v>
      </c>
      <c r="G13" s="71" t="str">
        <f>IF(G$12=1,MIN('Dataset'!H$5:H$11),"—")</f>
        <v>—</v>
      </c>
      <c r="H13" s="71" t="str">
        <f>IF(H$12=1,MIN('Dataset'!I$5:I$11),"—")</f>
        <v>—</v>
      </c>
      <c r="I13" s="71">
        <f>IF(I$12=1,MIN('Dataset'!J$5:J$11),"—")</f>
        <v>109</v>
      </c>
      <c r="J13" s="71" t="str">
        <f>IF(J$12=1,MIN('Dataset'!K$5:K$11),"—")</f>
        <v>—</v>
      </c>
      <c r="K13" s="71">
        <f>IF(K$12=1,MIN('Dataset'!L$5:L$11),"—")</f>
        <v>0</v>
      </c>
      <c r="L13" s="71" t="str">
        <f>IF(L$12=1,MIN('Dataset'!M$5:M$11),"—")</f>
        <v>—</v>
      </c>
      <c r="M13" s="71">
        <f>IF(M$12=1,MIN('Dataset'!N$5:N$11),"—")</f>
        <v>0</v>
      </c>
      <c r="N13" s="71" t="str">
        <f>IF(N$12=1,MIN('Dataset'!O$5:O$11),"—")</f>
        <v>—</v>
      </c>
      <c r="O13" s="71" t="inlineStr">
        <is>
          <t xml:space="preserve"/>
        </is>
      </c>
    </row>
    <row r="14">
      <c r="A14" s="72" t="inlineStr">
        <is>
          <t xml:space="preserve">max</t>
        </is>
      </c>
      <c r="B14" s="71">
        <f>IF(B$12=1,MAX('Dataset'!C$5:C$11),"—")</f>
        <v>70</v>
      </c>
      <c r="C14" s="71" t="str">
        <f>IF(C$12=1,MAX('Dataset'!D$5:D$11),"—")</f>
        <v>—</v>
      </c>
      <c r="D14" s="71" t="str">
        <f>IF(D$12=1,MAX('Dataset'!E$5:E$11),"—")</f>
        <v>—</v>
      </c>
      <c r="E14" s="71">
        <f>IF(E$12=1,MAX('Dataset'!F$5:F$11),"—")</f>
        <v>156</v>
      </c>
      <c r="F14" s="71">
        <f>IF(F$12=1,MAX('Dataset'!G$5:G$11),"—")</f>
        <v>407</v>
      </c>
      <c r="G14" s="71" t="str">
        <f>IF(G$12=1,MAX('Dataset'!H$5:H$11),"—")</f>
        <v>—</v>
      </c>
      <c r="H14" s="71" t="str">
        <f>IF(H$12=1,MAX('Dataset'!I$5:I$11),"—")</f>
        <v>—</v>
      </c>
      <c r="I14" s="71">
        <f>IF(I$12=1,MAX('Dataset'!J$5:J$11),"—")</f>
        <v>163</v>
      </c>
      <c r="J14" s="71" t="str">
        <f>IF(J$12=1,MAX('Dataset'!K$5:K$11),"—")</f>
        <v>—</v>
      </c>
      <c r="K14" s="71">
        <f>IF(K$12=1,MAX('Dataset'!L$5:L$11),"—")</f>
        <v>4</v>
      </c>
      <c r="L14" s="71" t="str">
        <f>IF(L$12=1,MAX('Dataset'!M$5:M$11),"—")</f>
        <v>—</v>
      </c>
      <c r="M14" s="71">
        <f>IF(M$12=1,MAX('Dataset'!N$5:N$11),"—")</f>
        <v>3</v>
      </c>
      <c r="N14" s="71" t="str">
        <f>IF(N$12=1,MAX('Dataset'!O$5:O$11),"—")</f>
        <v>—</v>
      </c>
      <c r="O14" s="71" t="inlineStr">
        <is>
          <t xml:space="preserve"/>
        </is>
      </c>
    </row>
    <row r="15"/>
    <row r="16">
      <c r="A16" s="100" t="inlineStr">
        <is>
          <t xml:space="preserve">Type 1 = quantitative (set I): rescaled with the fractional-linear (min–max) transform; min and max are taken over the selected objects S₁ … S₇.</t>
        </is>
      </c>
    </row>
    <row r="17">
      <c r="A17" s="100" t="inlineStr">
        <is>
          <t xml:space="preserve">Type 0 = nominal (set J): the code is kept, because the metric only asks whether two codes are equal.</t>
        </is>
      </c>
    </row>
  </sheetData>
  <mergeCells count="2">
    <mergeCell ref="A1:O1"/>
    <mergeCell ref="A3:O3"/>
  </mergeCell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&amp;L&amp;"Calibri,Bold"&amp;9ERDR Algorithm — Heart-Disease (7, 13, 2) selected from Heart-Disease (270, 13, 2)&amp;R&amp;"Calibri,Regular"&amp;9&amp;A</oddHeader>
    <oddFooter>&amp;C&amp;"Calibri,Regular"&amp;9Page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7030A0"/>
    <pageSetUpPr fitToPage="1"/>
  </sheetPr>
  <dimension ref="A1:H34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10.77734375" customWidth="1"/>
    <col min="2" max="8" width="11.77734375" customWidth="1"/>
  </cols>
  <sheetData>
    <row r="1" ht="20" customHeight="1">
      <c r="A1" s="57" t="inlineStr">
        <is>
          <t xml:space="preserve">Step 0 · Pairwise Zhuravlev distances ρ = ρ_I + ρ_J for all objects (row = Sᵢ, column = Sⱼ)</t>
        </is>
      </c>
      <c r="B1" s="57"/>
      <c r="C1" s="57"/>
      <c r="D1" s="57"/>
      <c r="E1" s="57"/>
      <c r="F1" s="57"/>
      <c r="G1" s="57"/>
      <c r="H1" s="57"/>
    </row>
    <row r="2"/>
    <row r="3">
      <c r="A3" s="58" t="inlineStr">
        <is>
          <t xml:space="preserve">ρ(Sᵢ, Sⱼ) · Zhuravlev distance = quantitative part + nominal part</t>
        </is>
      </c>
      <c r="B3" s="58"/>
      <c r="C3" s="58"/>
      <c r="D3" s="58"/>
      <c r="E3" s="58"/>
      <c r="F3" s="58"/>
      <c r="G3" s="58"/>
      <c r="H3" s="58"/>
    </row>
    <row r="4">
      <c r="A4" s="60" t="inlineStr">
        <is>
          <t xml:space="preserve">ρ</t>
        </is>
      </c>
      <c r="B4" s="60" t="inlineStr">
        <is>
          <t xml:space="preserve">S₁</t>
        </is>
      </c>
      <c r="C4" s="60" t="inlineStr">
        <is>
          <t xml:space="preserve">S₂</t>
        </is>
      </c>
      <c r="D4" s="60" t="inlineStr">
        <is>
          <t xml:space="preserve">S₃</t>
        </is>
      </c>
      <c r="E4" s="60" t="inlineStr">
        <is>
          <t xml:space="preserve">S₄</t>
        </is>
      </c>
      <c r="F4" s="60" t="inlineStr">
        <is>
          <t xml:space="preserve">S₅</t>
        </is>
      </c>
      <c r="G4" s="60" t="inlineStr">
        <is>
          <t xml:space="preserve">S₆</t>
        </is>
      </c>
      <c r="H4" s="60" t="inlineStr">
        <is>
          <t xml:space="preserve">S₇</t>
        </is>
      </c>
    </row>
    <row r="5">
      <c r="A5" s="62" t="inlineStr">
        <is>
          <t xml:space="preserve">S₁</t>
        </is>
      </c>
      <c r="B5" s="74">
        <f>ROUND(B15+B25,10)</f>
        <v>0</v>
      </c>
      <c r="C5" s="73">
        <f>ROUND(C15+C25,10)</f>
        <v>4.6606100796</v>
      </c>
      <c r="D5" s="73">
        <f>ROUND(D15+D25,10)</f>
        <v>5.60708061</v>
      </c>
      <c r="E5" s="73">
        <f>ROUND(E15+E25,10)</f>
        <v>6.6272117335</v>
      </c>
      <c r="F5" s="73">
        <f>ROUND(F15+F25,10)</f>
        <v>4.8565209225</v>
      </c>
      <c r="G5" s="73">
        <f>ROUND(G15+G25,10)</f>
        <v>6.8015669516</v>
      </c>
      <c r="H5" s="73">
        <f>ROUND(H15+H25,10)</f>
        <v>5.8897935773</v>
      </c>
    </row>
    <row r="6">
      <c r="A6" s="62" t="inlineStr">
        <is>
          <t xml:space="preserve">S₂</t>
        </is>
      </c>
      <c r="B6" s="73">
        <f>ROUND(B16+B26,10)</f>
        <v>4.6606100796</v>
      </c>
      <c r="C6" s="74">
        <f>ROUND(C16+C26,10)</f>
        <v>0</v>
      </c>
      <c r="D6" s="73">
        <f>ROUND(D16+D26,10)</f>
        <v>7.4699698919</v>
      </c>
      <c r="E6" s="73">
        <f>ROUND(E16+E26,10)</f>
        <v>6.3691657565</v>
      </c>
      <c r="F6" s="73">
        <f>ROUND(F16+F26,10)</f>
        <v>6.104089157</v>
      </c>
      <c r="G6" s="73">
        <f>ROUND(G16+G26,10)</f>
        <v>8.742951174</v>
      </c>
      <c r="H6" s="73">
        <f>ROUND(H16+H26,10)</f>
        <v>7.7855937542</v>
      </c>
    </row>
    <row r="7">
      <c r="A7" s="62" t="inlineStr">
        <is>
          <t xml:space="preserve">S₃</t>
        </is>
      </c>
      <c r="B7" s="73">
        <f>ROUND(B17+B27,10)</f>
        <v>5.60708061</v>
      </c>
      <c r="C7" s="73">
        <f>ROUND(C17+C27,10)</f>
        <v>7.4699698919</v>
      </c>
      <c r="D7" s="74">
        <f>ROUND(D17+D27,10)</f>
        <v>0</v>
      </c>
      <c r="E7" s="73">
        <f>ROUND(E17+E27,10)</f>
        <v>6.2175670209</v>
      </c>
      <c r="F7" s="73">
        <f>ROUND(F17+F27,10)</f>
        <v>7.3117496807</v>
      </c>
      <c r="G7" s="73">
        <f>ROUND(G17+G27,10)</f>
        <v>5.2172783643</v>
      </c>
      <c r="H7" s="73">
        <f>ROUND(H17+H27,10)</f>
        <v>2.7849754107</v>
      </c>
    </row>
    <row r="8">
      <c r="A8" s="62" t="inlineStr">
        <is>
          <t xml:space="preserve">S₄</t>
        </is>
      </c>
      <c r="B8" s="73">
        <f>ROUND(B18+B28,10)</f>
        <v>6.6272117335</v>
      </c>
      <c r="C8" s="73">
        <f>ROUND(C18+C28,10)</f>
        <v>6.3691657565</v>
      </c>
      <c r="D8" s="73">
        <f>ROUND(D18+D28,10)</f>
        <v>6.2175670209</v>
      </c>
      <c r="E8" s="74">
        <f>ROUND(E18+E28,10)</f>
        <v>0</v>
      </c>
      <c r="F8" s="73">
        <f>ROUND(F18+F28,10)</f>
        <v>7.8491221835</v>
      </c>
      <c r="G8" s="73">
        <f>ROUND(G18+G28,10)</f>
        <v>3.7071187508</v>
      </c>
      <c r="H8" s="73">
        <f>ROUND(H18+H28,10)</f>
        <v>3.9109813746</v>
      </c>
    </row>
    <row r="9">
      <c r="A9" s="62" t="inlineStr">
        <is>
          <t xml:space="preserve">S₅</t>
        </is>
      </c>
      <c r="B9" s="73">
        <f>ROUND(B19+B29,10)</f>
        <v>4.8565209225</v>
      </c>
      <c r="C9" s="73">
        <f>ROUND(C19+C29,10)</f>
        <v>6.104089157</v>
      </c>
      <c r="D9" s="73">
        <f>ROUND(D19+D29,10)</f>
        <v>7.3117496807</v>
      </c>
      <c r="E9" s="73">
        <f>ROUND(E19+E29,10)</f>
        <v>7.8491221835</v>
      </c>
      <c r="F9" s="74">
        <f>ROUND(F19+F29,10)</f>
        <v>0</v>
      </c>
      <c r="G9" s="73">
        <f>ROUND(G19+G29,10)</f>
        <v>9.0234774016</v>
      </c>
      <c r="H9" s="73">
        <f>ROUND(H19+H29,10)</f>
        <v>7.1117040273</v>
      </c>
    </row>
    <row r="10">
      <c r="A10" s="62" t="inlineStr">
        <is>
          <t xml:space="preserve">S₆</t>
        </is>
      </c>
      <c r="B10" s="73">
        <f>ROUND(B20+B30,10)</f>
        <v>6.8015669516</v>
      </c>
      <c r="C10" s="73">
        <f>ROUND(C20+C30,10)</f>
        <v>8.742951174</v>
      </c>
      <c r="D10" s="73">
        <f>ROUND(D20+D30,10)</f>
        <v>5.2172783643</v>
      </c>
      <c r="E10" s="73">
        <f>ROUND(E20+E30,10)</f>
        <v>3.7071187508</v>
      </c>
      <c r="F10" s="73">
        <f>ROUND(F20+F30,10)</f>
        <v>9.0234774016</v>
      </c>
      <c r="G10" s="74">
        <f>ROUND(G20+G30,10)</f>
        <v>0</v>
      </c>
      <c r="H10" s="73">
        <f>ROUND(H20+H30,10)</f>
        <v>5.0314314939</v>
      </c>
    </row>
    <row r="11">
      <c r="A11" s="62" t="inlineStr">
        <is>
          <t xml:space="preserve">S₇</t>
        </is>
      </c>
      <c r="B11" s="73">
        <f>ROUND(B21+B31,10)</f>
        <v>5.8897935773</v>
      </c>
      <c r="C11" s="73">
        <f>ROUND(C21+C31,10)</f>
        <v>7.7855937542</v>
      </c>
      <c r="D11" s="73">
        <f>ROUND(D21+D31,10)</f>
        <v>2.7849754107</v>
      </c>
      <c r="E11" s="73">
        <f>ROUND(E21+E31,10)</f>
        <v>3.9109813746</v>
      </c>
      <c r="F11" s="73">
        <f>ROUND(F21+F31,10)</f>
        <v>7.1117040273</v>
      </c>
      <c r="G11" s="73">
        <f>ROUND(G21+G31,10)</f>
        <v>5.0314314939</v>
      </c>
      <c r="H11" s="74">
        <f>ROUND(H21+H31,10)</f>
        <v>0</v>
      </c>
    </row>
    <row r="12"/>
    <row r="13">
      <c r="A13" s="58" t="inlineStr">
        <is>
          <t xml:space="preserve">ρ_I · quantitative part  Σ(j∈I) |x′ⱼ − y′ⱼ|  (Step 0 values)</t>
        </is>
      </c>
      <c r="B13" s="58"/>
      <c r="C13" s="58"/>
      <c r="D13" s="58"/>
      <c r="E13" s="58"/>
      <c r="F13" s="58"/>
      <c r="G13" s="58"/>
      <c r="H13" s="58"/>
    </row>
    <row r="14">
      <c r="A14" s="60" t="inlineStr">
        <is>
          <t xml:space="preserve">ρ_I</t>
        </is>
      </c>
      <c r="B14" s="60" t="inlineStr">
        <is>
          <t xml:space="preserve">S₁</t>
        </is>
      </c>
      <c r="C14" s="60" t="inlineStr">
        <is>
          <t xml:space="preserve">S₂</t>
        </is>
      </c>
      <c r="D14" s="60" t="inlineStr">
        <is>
          <t xml:space="preserve">S₃</t>
        </is>
      </c>
      <c r="E14" s="60" t="inlineStr">
        <is>
          <t xml:space="preserve">S₄</t>
        </is>
      </c>
      <c r="F14" s="60" t="inlineStr">
        <is>
          <t xml:space="preserve">S₅</t>
        </is>
      </c>
      <c r="G14" s="60" t="inlineStr">
        <is>
          <t xml:space="preserve">S₆</t>
        </is>
      </c>
      <c r="H14" s="60" t="inlineStr">
        <is>
          <t xml:space="preserve">S₇</t>
        </is>
      </c>
    </row>
    <row r="15">
      <c r="A15" s="62" t="inlineStr">
        <is>
          <t xml:space="preserve">S₁</t>
        </is>
      </c>
      <c r="B15" s="74">
        <f>ROUND(SUMPRODUCT('Dataset'!$C$12:$O$12,ABS('Normalized Dataset'!$B$5:$N$5-'Normalized Dataset'!$B$5:$N$5)),10)</f>
        <v>0</v>
      </c>
      <c r="C15" s="73">
        <f>ROUND(SUMPRODUCT('Dataset'!$C$12:$O$12,ABS('Normalized Dataset'!$B$5:$N$5-'Normalized Dataset'!$B$6:$N$6)),10)</f>
        <v>2.6606100796</v>
      </c>
      <c r="D15" s="73">
        <f>ROUND(SUMPRODUCT('Dataset'!$C$12:$O$12,ABS('Normalized Dataset'!$B$5:$N$5-'Normalized Dataset'!$B$7:$N$7)),10)</f>
        <v>3.60708061</v>
      </c>
      <c r="E15" s="73">
        <f>ROUND(SUMPRODUCT('Dataset'!$C$12:$O$12,ABS('Normalized Dataset'!$B$5:$N$5-'Normalized Dataset'!$B$8:$N$8)),10)</f>
        <v>3.6272117335</v>
      </c>
      <c r="F15" s="73">
        <f>ROUND(SUMPRODUCT('Dataset'!$C$12:$O$12,ABS('Normalized Dataset'!$B$5:$N$5-'Normalized Dataset'!$B$9:$N$9)),10)</f>
        <v>0.8565209225</v>
      </c>
      <c r="G15" s="73">
        <f>ROUND(SUMPRODUCT('Dataset'!$C$12:$O$12,ABS('Normalized Dataset'!$B$5:$N$5-'Normalized Dataset'!$B$10:$N$10)),10)</f>
        <v>3.8015669516</v>
      </c>
      <c r="H15" s="73">
        <f>ROUND(SUMPRODUCT('Dataset'!$C$12:$O$12,ABS('Normalized Dataset'!$B$5:$N$5-'Normalized Dataset'!$B$11:$N$11)),10)</f>
        <v>3.8897935773</v>
      </c>
    </row>
    <row r="16">
      <c r="A16" s="62" t="inlineStr">
        <is>
          <t xml:space="preserve">S₂</t>
        </is>
      </c>
      <c r="B16" s="73">
        <f>ROUND(SUMPRODUCT('Dataset'!$C$12:$O$12,ABS('Normalized Dataset'!$B$6:$N$6-'Normalized Dataset'!$B$5:$N$5)),10)</f>
        <v>2.6606100796</v>
      </c>
      <c r="C16" s="74">
        <f>ROUND(SUMPRODUCT('Dataset'!$C$12:$O$12,ABS('Normalized Dataset'!$B$6:$N$6-'Normalized Dataset'!$B$6:$N$6)),10)</f>
        <v>0</v>
      </c>
      <c r="D16" s="73">
        <f>ROUND(SUMPRODUCT('Dataset'!$C$12:$O$12,ABS('Normalized Dataset'!$B$6:$N$6-'Normalized Dataset'!$B$7:$N$7)),10)</f>
        <v>3.4699698919</v>
      </c>
      <c r="E16" s="73">
        <f>ROUND(SUMPRODUCT('Dataset'!$C$12:$O$12,ABS('Normalized Dataset'!$B$6:$N$6-'Normalized Dataset'!$B$8:$N$8)),10)</f>
        <v>3.3691657565</v>
      </c>
      <c r="F16" s="73">
        <f>ROUND(SUMPRODUCT('Dataset'!$C$12:$O$12,ABS('Normalized Dataset'!$B$6:$N$6-'Normalized Dataset'!$B$9:$N$9)),10)</f>
        <v>2.104089157</v>
      </c>
      <c r="G16" s="73">
        <f>ROUND(SUMPRODUCT('Dataset'!$C$12:$O$12,ABS('Normalized Dataset'!$B$6:$N$6-'Normalized Dataset'!$B$10:$N$10)),10)</f>
        <v>4.742951174</v>
      </c>
      <c r="H16" s="73">
        <f>ROUND(SUMPRODUCT('Dataset'!$C$12:$O$12,ABS('Normalized Dataset'!$B$6:$N$6-'Normalized Dataset'!$B$11:$N$11)),10)</f>
        <v>3.7855937542</v>
      </c>
    </row>
    <row r="17">
      <c r="A17" s="62" t="inlineStr">
        <is>
          <t xml:space="preserve">S₃</t>
        </is>
      </c>
      <c r="B17" s="73">
        <f>ROUND(SUMPRODUCT('Dataset'!$C$12:$O$12,ABS('Normalized Dataset'!$B$7:$N$7-'Normalized Dataset'!$B$5:$N$5)),10)</f>
        <v>3.60708061</v>
      </c>
      <c r="C17" s="73">
        <f>ROUND(SUMPRODUCT('Dataset'!$C$12:$O$12,ABS('Normalized Dataset'!$B$7:$N$7-'Normalized Dataset'!$B$6:$N$6)),10)</f>
        <v>3.4699698919</v>
      </c>
      <c r="D17" s="74">
        <f>ROUND(SUMPRODUCT('Dataset'!$C$12:$O$12,ABS('Normalized Dataset'!$B$7:$N$7-'Normalized Dataset'!$B$7:$N$7)),10)</f>
        <v>0</v>
      </c>
      <c r="E17" s="73">
        <f>ROUND(SUMPRODUCT('Dataset'!$C$12:$O$12,ABS('Normalized Dataset'!$B$7:$N$7-'Normalized Dataset'!$B$8:$N$8)),10)</f>
        <v>2.2175670209</v>
      </c>
      <c r="F17" s="73">
        <f>ROUND(SUMPRODUCT('Dataset'!$C$12:$O$12,ABS('Normalized Dataset'!$B$7:$N$7-'Normalized Dataset'!$B$9:$N$9)),10)</f>
        <v>3.3117496807</v>
      </c>
      <c r="G17" s="73">
        <f>ROUND(SUMPRODUCT('Dataset'!$C$12:$O$12,ABS('Normalized Dataset'!$B$7:$N$7-'Normalized Dataset'!$B$10:$N$10)),10)</f>
        <v>2.2172783643</v>
      </c>
      <c r="H17" s="73">
        <f>ROUND(SUMPRODUCT('Dataset'!$C$12:$O$12,ABS('Normalized Dataset'!$B$7:$N$7-'Normalized Dataset'!$B$11:$N$11)),10)</f>
        <v>1.7849754107</v>
      </c>
    </row>
    <row r="18">
      <c r="A18" s="62" t="inlineStr">
        <is>
          <t xml:space="preserve">S₄</t>
        </is>
      </c>
      <c r="B18" s="73">
        <f>ROUND(SUMPRODUCT('Dataset'!$C$12:$O$12,ABS('Normalized Dataset'!$B$8:$N$8-'Normalized Dataset'!$B$5:$N$5)),10)</f>
        <v>3.6272117335</v>
      </c>
      <c r="C18" s="73">
        <f>ROUND(SUMPRODUCT('Dataset'!$C$12:$O$12,ABS('Normalized Dataset'!$B$8:$N$8-'Normalized Dataset'!$B$6:$N$6)),10)</f>
        <v>3.3691657565</v>
      </c>
      <c r="D18" s="73">
        <f>ROUND(SUMPRODUCT('Dataset'!$C$12:$O$12,ABS('Normalized Dataset'!$B$8:$N$8-'Normalized Dataset'!$B$7:$N$7)),10)</f>
        <v>2.2175670209</v>
      </c>
      <c r="E18" s="74">
        <f>ROUND(SUMPRODUCT('Dataset'!$C$12:$O$12,ABS('Normalized Dataset'!$B$8:$N$8-'Normalized Dataset'!$B$8:$N$8)),10)</f>
        <v>0</v>
      </c>
      <c r="F18" s="73">
        <f>ROUND(SUMPRODUCT('Dataset'!$C$12:$O$12,ABS('Normalized Dataset'!$B$8:$N$8-'Normalized Dataset'!$B$9:$N$9)),10)</f>
        <v>2.8491221835</v>
      </c>
      <c r="G18" s="73">
        <f>ROUND(SUMPRODUCT('Dataset'!$C$12:$O$12,ABS('Normalized Dataset'!$B$8:$N$8-'Normalized Dataset'!$B$10:$N$10)),10)</f>
        <v>1.7071187508</v>
      </c>
      <c r="H18" s="73">
        <f>ROUND(SUMPRODUCT('Dataset'!$C$12:$O$12,ABS('Normalized Dataset'!$B$8:$N$8-'Normalized Dataset'!$B$11:$N$11)),10)</f>
        <v>0.9109813746</v>
      </c>
    </row>
    <row r="19">
      <c r="A19" s="62" t="inlineStr">
        <is>
          <t xml:space="preserve">S₅</t>
        </is>
      </c>
      <c r="B19" s="73">
        <f>ROUND(SUMPRODUCT('Dataset'!$C$12:$O$12,ABS('Normalized Dataset'!$B$9:$N$9-'Normalized Dataset'!$B$5:$N$5)),10)</f>
        <v>0.8565209225</v>
      </c>
      <c r="C19" s="73">
        <f>ROUND(SUMPRODUCT('Dataset'!$C$12:$O$12,ABS('Normalized Dataset'!$B$9:$N$9-'Normalized Dataset'!$B$6:$N$6)),10)</f>
        <v>2.104089157</v>
      </c>
      <c r="D19" s="73">
        <f>ROUND(SUMPRODUCT('Dataset'!$C$12:$O$12,ABS('Normalized Dataset'!$B$9:$N$9-'Normalized Dataset'!$B$7:$N$7)),10)</f>
        <v>3.3117496807</v>
      </c>
      <c r="E19" s="73">
        <f>ROUND(SUMPRODUCT('Dataset'!$C$12:$O$12,ABS('Normalized Dataset'!$B$9:$N$9-'Normalized Dataset'!$B$8:$N$8)),10)</f>
        <v>2.8491221835</v>
      </c>
      <c r="F19" s="74">
        <f>ROUND(SUMPRODUCT('Dataset'!$C$12:$O$12,ABS('Normalized Dataset'!$B$9:$N$9-'Normalized Dataset'!$B$9:$N$9)),10)</f>
        <v>0</v>
      </c>
      <c r="G19" s="73">
        <f>ROUND(SUMPRODUCT('Dataset'!$C$12:$O$12,ABS('Normalized Dataset'!$B$9:$N$9-'Normalized Dataset'!$B$10:$N$10)),10)</f>
        <v>3.0234774016</v>
      </c>
      <c r="H19" s="73">
        <f>ROUND(SUMPRODUCT('Dataset'!$C$12:$O$12,ABS('Normalized Dataset'!$B$9:$N$9-'Normalized Dataset'!$B$11:$N$11)),10)</f>
        <v>3.1117040273</v>
      </c>
    </row>
    <row r="20">
      <c r="A20" s="62" t="inlineStr">
        <is>
          <t xml:space="preserve">S₆</t>
        </is>
      </c>
      <c r="B20" s="73">
        <f>ROUND(SUMPRODUCT('Dataset'!$C$12:$O$12,ABS('Normalized Dataset'!$B$10:$N$10-'Normalized Dataset'!$B$5:$N$5)),10)</f>
        <v>3.8015669516</v>
      </c>
      <c r="C20" s="73">
        <f>ROUND(SUMPRODUCT('Dataset'!$C$12:$O$12,ABS('Normalized Dataset'!$B$10:$N$10-'Normalized Dataset'!$B$6:$N$6)),10)</f>
        <v>4.742951174</v>
      </c>
      <c r="D20" s="73">
        <f>ROUND(SUMPRODUCT('Dataset'!$C$12:$O$12,ABS('Normalized Dataset'!$B$10:$N$10-'Normalized Dataset'!$B$7:$N$7)),10)</f>
        <v>2.2172783643</v>
      </c>
      <c r="E20" s="73">
        <f>ROUND(SUMPRODUCT('Dataset'!$C$12:$O$12,ABS('Normalized Dataset'!$B$10:$N$10-'Normalized Dataset'!$B$8:$N$8)),10)</f>
        <v>1.7071187508</v>
      </c>
      <c r="F20" s="73">
        <f>ROUND(SUMPRODUCT('Dataset'!$C$12:$O$12,ABS('Normalized Dataset'!$B$10:$N$10-'Normalized Dataset'!$B$9:$N$9)),10)</f>
        <v>3.0234774016</v>
      </c>
      <c r="G20" s="74">
        <f>ROUND(SUMPRODUCT('Dataset'!$C$12:$O$12,ABS('Normalized Dataset'!$B$10:$N$10-'Normalized Dataset'!$B$10:$N$10)),10)</f>
        <v>0</v>
      </c>
      <c r="H20" s="73">
        <f>ROUND(SUMPRODUCT('Dataset'!$C$12:$O$12,ABS('Normalized Dataset'!$B$10:$N$10-'Normalized Dataset'!$B$11:$N$11)),10)</f>
        <v>1.0314314939</v>
      </c>
    </row>
    <row r="21">
      <c r="A21" s="62" t="inlineStr">
        <is>
          <t xml:space="preserve">S₇</t>
        </is>
      </c>
      <c r="B21" s="73">
        <f>ROUND(SUMPRODUCT('Dataset'!$C$12:$O$12,ABS('Normalized Dataset'!$B$11:$N$11-'Normalized Dataset'!$B$5:$N$5)),10)</f>
        <v>3.8897935773</v>
      </c>
      <c r="C21" s="73">
        <f>ROUND(SUMPRODUCT('Dataset'!$C$12:$O$12,ABS('Normalized Dataset'!$B$11:$N$11-'Normalized Dataset'!$B$6:$N$6)),10)</f>
        <v>3.7855937542</v>
      </c>
      <c r="D21" s="73">
        <f>ROUND(SUMPRODUCT('Dataset'!$C$12:$O$12,ABS('Normalized Dataset'!$B$11:$N$11-'Normalized Dataset'!$B$7:$N$7)),10)</f>
        <v>1.7849754107</v>
      </c>
      <c r="E21" s="73">
        <f>ROUND(SUMPRODUCT('Dataset'!$C$12:$O$12,ABS('Normalized Dataset'!$B$11:$N$11-'Normalized Dataset'!$B$8:$N$8)),10)</f>
        <v>0.9109813746</v>
      </c>
      <c r="F21" s="73">
        <f>ROUND(SUMPRODUCT('Dataset'!$C$12:$O$12,ABS('Normalized Dataset'!$B$11:$N$11-'Normalized Dataset'!$B$9:$N$9)),10)</f>
        <v>3.1117040273</v>
      </c>
      <c r="G21" s="73">
        <f>ROUND(SUMPRODUCT('Dataset'!$C$12:$O$12,ABS('Normalized Dataset'!$B$11:$N$11-'Normalized Dataset'!$B$10:$N$10)),10)</f>
        <v>1.0314314939</v>
      </c>
      <c r="H21" s="74">
        <f>ROUND(SUMPRODUCT('Dataset'!$C$12:$O$12,ABS('Normalized Dataset'!$B$11:$N$11-'Normalized Dataset'!$B$11:$N$11)),10)</f>
        <v>0</v>
      </c>
    </row>
    <row r="22"/>
    <row r="23">
      <c r="A23" s="58" t="inlineStr">
        <is>
          <t xml:space="preserve">ρ_J · nominal part  Σ(j∈J) [xⱼ ≠ yⱼ]  (number of nominal features with different codes)</t>
        </is>
      </c>
      <c r="B23" s="58"/>
      <c r="C23" s="58"/>
      <c r="D23" s="58"/>
      <c r="E23" s="58"/>
      <c r="F23" s="58"/>
      <c r="G23" s="58"/>
      <c r="H23" s="58"/>
    </row>
    <row r="24">
      <c r="A24" s="60" t="inlineStr">
        <is>
          <t xml:space="preserve">ρ_J</t>
        </is>
      </c>
      <c r="B24" s="60" t="inlineStr">
        <is>
          <t xml:space="preserve">S₁</t>
        </is>
      </c>
      <c r="C24" s="60" t="inlineStr">
        <is>
          <t xml:space="preserve">S₂</t>
        </is>
      </c>
      <c r="D24" s="60" t="inlineStr">
        <is>
          <t xml:space="preserve">S₃</t>
        </is>
      </c>
      <c r="E24" s="60" t="inlineStr">
        <is>
          <t xml:space="preserve">S₄</t>
        </is>
      </c>
      <c r="F24" s="60" t="inlineStr">
        <is>
          <t xml:space="preserve">S₅</t>
        </is>
      </c>
      <c r="G24" s="60" t="inlineStr">
        <is>
          <t xml:space="preserve">S₆</t>
        </is>
      </c>
      <c r="H24" s="60" t="inlineStr">
        <is>
          <t xml:space="preserve">S₇</t>
        </is>
      </c>
    </row>
    <row r="25">
      <c r="A25" s="62" t="inlineStr">
        <is>
          <t xml:space="preserve">S₁</t>
        </is>
      </c>
      <c r="B25" s="75">
        <f>SUMPRODUCT((1-'Dataset'!$C$12:$O$12)*('Dataset'!$C$5:$O$5&lt;&gt;'Dataset'!$C$5:$O$5))</f>
        <v>0</v>
      </c>
      <c r="C25" s="76">
        <f>SUMPRODUCT((1-'Dataset'!$C$12:$O$12)*('Dataset'!$C$5:$O$5&lt;&gt;'Dataset'!$C$6:$O$6))</f>
        <v>2</v>
      </c>
      <c r="D25" s="76">
        <f>SUMPRODUCT((1-'Dataset'!$C$12:$O$12)*('Dataset'!$C$5:$O$5&lt;&gt;'Dataset'!$C$7:$O$7))</f>
        <v>2</v>
      </c>
      <c r="E25" s="76">
        <f>SUMPRODUCT((1-'Dataset'!$C$12:$O$12)*('Dataset'!$C$5:$O$5&lt;&gt;'Dataset'!$C$8:$O$8))</f>
        <v>3</v>
      </c>
      <c r="F25" s="76">
        <f>SUMPRODUCT((1-'Dataset'!$C$12:$O$12)*('Dataset'!$C$5:$O$5&lt;&gt;'Dataset'!$C$9:$O$9))</f>
        <v>4</v>
      </c>
      <c r="G25" s="76">
        <f>SUMPRODUCT((1-'Dataset'!$C$12:$O$12)*('Dataset'!$C$5:$O$5&lt;&gt;'Dataset'!$C$10:$O$10))</f>
        <v>3</v>
      </c>
      <c r="H25" s="76">
        <f>SUMPRODUCT((1-'Dataset'!$C$12:$O$12)*('Dataset'!$C$5:$O$5&lt;&gt;'Dataset'!$C$11:$O$11))</f>
        <v>2</v>
      </c>
    </row>
    <row r="26">
      <c r="A26" s="62" t="inlineStr">
        <is>
          <t xml:space="preserve">S₂</t>
        </is>
      </c>
      <c r="B26" s="76">
        <f>SUMPRODUCT((1-'Dataset'!$C$12:$O$12)*('Dataset'!$C$6:$O$6&lt;&gt;'Dataset'!$C$5:$O$5))</f>
        <v>2</v>
      </c>
      <c r="C26" s="75">
        <f>SUMPRODUCT((1-'Dataset'!$C$12:$O$12)*('Dataset'!$C$6:$O$6&lt;&gt;'Dataset'!$C$6:$O$6))</f>
        <v>0</v>
      </c>
      <c r="D26" s="76">
        <f>SUMPRODUCT((1-'Dataset'!$C$12:$O$12)*('Dataset'!$C$6:$O$6&lt;&gt;'Dataset'!$C$7:$O$7))</f>
        <v>4</v>
      </c>
      <c r="E26" s="76">
        <f>SUMPRODUCT((1-'Dataset'!$C$12:$O$12)*('Dataset'!$C$6:$O$6&lt;&gt;'Dataset'!$C$8:$O$8))</f>
        <v>3</v>
      </c>
      <c r="F26" s="76">
        <f>SUMPRODUCT((1-'Dataset'!$C$12:$O$12)*('Dataset'!$C$6:$O$6&lt;&gt;'Dataset'!$C$9:$O$9))</f>
        <v>4</v>
      </c>
      <c r="G26" s="76">
        <f>SUMPRODUCT((1-'Dataset'!$C$12:$O$12)*('Dataset'!$C$6:$O$6&lt;&gt;'Dataset'!$C$10:$O$10))</f>
        <v>4</v>
      </c>
      <c r="H26" s="76">
        <f>SUMPRODUCT((1-'Dataset'!$C$12:$O$12)*('Dataset'!$C$6:$O$6&lt;&gt;'Dataset'!$C$11:$O$11))</f>
        <v>4</v>
      </c>
    </row>
    <row r="27">
      <c r="A27" s="62" t="inlineStr">
        <is>
          <t xml:space="preserve">S₃</t>
        </is>
      </c>
      <c r="B27" s="76">
        <f>SUMPRODUCT((1-'Dataset'!$C$12:$O$12)*('Dataset'!$C$7:$O$7&lt;&gt;'Dataset'!$C$5:$O$5))</f>
        <v>2</v>
      </c>
      <c r="C27" s="76">
        <f>SUMPRODUCT((1-'Dataset'!$C$12:$O$12)*('Dataset'!$C$7:$O$7&lt;&gt;'Dataset'!$C$6:$O$6))</f>
        <v>4</v>
      </c>
      <c r="D27" s="75">
        <f>SUMPRODUCT((1-'Dataset'!$C$12:$O$12)*('Dataset'!$C$7:$O$7&lt;&gt;'Dataset'!$C$7:$O$7))</f>
        <v>0</v>
      </c>
      <c r="E27" s="76">
        <f>SUMPRODUCT((1-'Dataset'!$C$12:$O$12)*('Dataset'!$C$7:$O$7&lt;&gt;'Dataset'!$C$8:$O$8))</f>
        <v>4</v>
      </c>
      <c r="F27" s="76">
        <f>SUMPRODUCT((1-'Dataset'!$C$12:$O$12)*('Dataset'!$C$7:$O$7&lt;&gt;'Dataset'!$C$9:$O$9))</f>
        <v>4</v>
      </c>
      <c r="G27" s="76">
        <f>SUMPRODUCT((1-'Dataset'!$C$12:$O$12)*('Dataset'!$C$7:$O$7&lt;&gt;'Dataset'!$C$10:$O$10))</f>
        <v>3</v>
      </c>
      <c r="H27" s="76">
        <f>SUMPRODUCT((1-'Dataset'!$C$12:$O$12)*('Dataset'!$C$7:$O$7&lt;&gt;'Dataset'!$C$11:$O$11))</f>
        <v>1</v>
      </c>
    </row>
    <row r="28">
      <c r="A28" s="62" t="inlineStr">
        <is>
          <t xml:space="preserve">S₄</t>
        </is>
      </c>
      <c r="B28" s="76">
        <f>SUMPRODUCT((1-'Dataset'!$C$12:$O$12)*('Dataset'!$C$8:$O$8&lt;&gt;'Dataset'!$C$5:$O$5))</f>
        <v>3</v>
      </c>
      <c r="C28" s="76">
        <f>SUMPRODUCT((1-'Dataset'!$C$12:$O$12)*('Dataset'!$C$8:$O$8&lt;&gt;'Dataset'!$C$6:$O$6))</f>
        <v>3</v>
      </c>
      <c r="D28" s="76">
        <f>SUMPRODUCT((1-'Dataset'!$C$12:$O$12)*('Dataset'!$C$8:$O$8&lt;&gt;'Dataset'!$C$7:$O$7))</f>
        <v>4</v>
      </c>
      <c r="E28" s="75">
        <f>SUMPRODUCT((1-'Dataset'!$C$12:$O$12)*('Dataset'!$C$8:$O$8&lt;&gt;'Dataset'!$C$8:$O$8))</f>
        <v>0</v>
      </c>
      <c r="F28" s="76">
        <f>SUMPRODUCT((1-'Dataset'!$C$12:$O$12)*('Dataset'!$C$8:$O$8&lt;&gt;'Dataset'!$C$9:$O$9))</f>
        <v>5</v>
      </c>
      <c r="G28" s="76">
        <f>SUMPRODUCT((1-'Dataset'!$C$12:$O$12)*('Dataset'!$C$8:$O$8&lt;&gt;'Dataset'!$C$10:$O$10))</f>
        <v>2</v>
      </c>
      <c r="H28" s="76">
        <f>SUMPRODUCT((1-'Dataset'!$C$12:$O$12)*('Dataset'!$C$8:$O$8&lt;&gt;'Dataset'!$C$11:$O$11))</f>
        <v>3</v>
      </c>
    </row>
    <row r="29">
      <c r="A29" s="62" t="inlineStr">
        <is>
          <t xml:space="preserve">S₅</t>
        </is>
      </c>
      <c r="B29" s="76">
        <f>SUMPRODUCT((1-'Dataset'!$C$12:$O$12)*('Dataset'!$C$9:$O$9&lt;&gt;'Dataset'!$C$5:$O$5))</f>
        <v>4</v>
      </c>
      <c r="C29" s="76">
        <f>SUMPRODUCT((1-'Dataset'!$C$12:$O$12)*('Dataset'!$C$9:$O$9&lt;&gt;'Dataset'!$C$6:$O$6))</f>
        <v>4</v>
      </c>
      <c r="D29" s="76">
        <f>SUMPRODUCT((1-'Dataset'!$C$12:$O$12)*('Dataset'!$C$9:$O$9&lt;&gt;'Dataset'!$C$7:$O$7))</f>
        <v>4</v>
      </c>
      <c r="E29" s="76">
        <f>SUMPRODUCT((1-'Dataset'!$C$12:$O$12)*('Dataset'!$C$9:$O$9&lt;&gt;'Dataset'!$C$8:$O$8))</f>
        <v>5</v>
      </c>
      <c r="F29" s="75">
        <f>SUMPRODUCT((1-'Dataset'!$C$12:$O$12)*('Dataset'!$C$9:$O$9&lt;&gt;'Dataset'!$C$9:$O$9))</f>
        <v>0</v>
      </c>
      <c r="G29" s="76">
        <f>SUMPRODUCT((1-'Dataset'!$C$12:$O$12)*('Dataset'!$C$9:$O$9&lt;&gt;'Dataset'!$C$10:$O$10))</f>
        <v>6</v>
      </c>
      <c r="H29" s="76">
        <f>SUMPRODUCT((1-'Dataset'!$C$12:$O$12)*('Dataset'!$C$9:$O$9&lt;&gt;'Dataset'!$C$11:$O$11))</f>
        <v>4</v>
      </c>
    </row>
    <row r="30">
      <c r="A30" s="62" t="inlineStr">
        <is>
          <t xml:space="preserve">S₆</t>
        </is>
      </c>
      <c r="B30" s="76">
        <f>SUMPRODUCT((1-'Dataset'!$C$12:$O$12)*('Dataset'!$C$10:$O$10&lt;&gt;'Dataset'!$C$5:$O$5))</f>
        <v>3</v>
      </c>
      <c r="C30" s="76">
        <f>SUMPRODUCT((1-'Dataset'!$C$12:$O$12)*('Dataset'!$C$10:$O$10&lt;&gt;'Dataset'!$C$6:$O$6))</f>
        <v>4</v>
      </c>
      <c r="D30" s="76">
        <f>SUMPRODUCT((1-'Dataset'!$C$12:$O$12)*('Dataset'!$C$10:$O$10&lt;&gt;'Dataset'!$C$7:$O$7))</f>
        <v>3</v>
      </c>
      <c r="E30" s="76">
        <f>SUMPRODUCT((1-'Dataset'!$C$12:$O$12)*('Dataset'!$C$10:$O$10&lt;&gt;'Dataset'!$C$8:$O$8))</f>
        <v>2</v>
      </c>
      <c r="F30" s="76">
        <f>SUMPRODUCT((1-'Dataset'!$C$12:$O$12)*('Dataset'!$C$10:$O$10&lt;&gt;'Dataset'!$C$9:$O$9))</f>
        <v>6</v>
      </c>
      <c r="G30" s="75">
        <f>SUMPRODUCT((1-'Dataset'!$C$12:$O$12)*('Dataset'!$C$10:$O$10&lt;&gt;'Dataset'!$C$10:$O$10))</f>
        <v>0</v>
      </c>
      <c r="H30" s="76">
        <f>SUMPRODUCT((1-'Dataset'!$C$12:$O$12)*('Dataset'!$C$10:$O$10&lt;&gt;'Dataset'!$C$11:$O$11))</f>
        <v>4</v>
      </c>
    </row>
    <row r="31">
      <c r="A31" s="62" t="inlineStr">
        <is>
          <t xml:space="preserve">S₇</t>
        </is>
      </c>
      <c r="B31" s="76">
        <f>SUMPRODUCT((1-'Dataset'!$C$12:$O$12)*('Dataset'!$C$11:$O$11&lt;&gt;'Dataset'!$C$5:$O$5))</f>
        <v>2</v>
      </c>
      <c r="C31" s="76">
        <f>SUMPRODUCT((1-'Dataset'!$C$12:$O$12)*('Dataset'!$C$11:$O$11&lt;&gt;'Dataset'!$C$6:$O$6))</f>
        <v>4</v>
      </c>
      <c r="D31" s="76">
        <f>SUMPRODUCT((1-'Dataset'!$C$12:$O$12)*('Dataset'!$C$11:$O$11&lt;&gt;'Dataset'!$C$7:$O$7))</f>
        <v>1</v>
      </c>
      <c r="E31" s="76">
        <f>SUMPRODUCT((1-'Dataset'!$C$12:$O$12)*('Dataset'!$C$11:$O$11&lt;&gt;'Dataset'!$C$8:$O$8))</f>
        <v>3</v>
      </c>
      <c r="F31" s="76">
        <f>SUMPRODUCT((1-'Dataset'!$C$12:$O$12)*('Dataset'!$C$11:$O$11&lt;&gt;'Dataset'!$C$9:$O$9))</f>
        <v>4</v>
      </c>
      <c r="G31" s="76">
        <f>SUMPRODUCT((1-'Dataset'!$C$12:$O$12)*('Dataset'!$C$11:$O$11&lt;&gt;'Dataset'!$C$10:$O$10))</f>
        <v>4</v>
      </c>
      <c r="H31" s="75">
        <f>SUMPRODUCT((1-'Dataset'!$C$12:$O$12)*('Dataset'!$C$11:$O$11&lt;&gt;'Dataset'!$C$11:$O$11))</f>
        <v>0</v>
      </c>
    </row>
    <row r="32"/>
    <row r="33">
      <c r="A33" s="100" t="inlineStr">
        <is>
          <t xml:space="preserve">Every distance is rounded to 10 decimals, so that mathematically equal distances (e.g. r(S₁) = r(S₃) = ρ(S₁, S₃)) tie exactly.</t>
        </is>
      </c>
    </row>
    <row r="34">
      <c r="A34" s="100" t="inlineStr">
        <is>
          <t xml:space="preserve">The diagonal (grey) is the distance of an object to itself; it is never a neighbour, but it explains why Sᵢ lies inside its own enemy sphere (0 &lt; r(Sᵢ)).</t>
        </is>
      </c>
    </row>
  </sheetData>
  <mergeCells count="4">
    <mergeCell ref="A1:H1"/>
    <mergeCell ref="A3:H3"/>
    <mergeCell ref="A13:H13"/>
    <mergeCell ref="A23:H23"/>
  </mergeCell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&amp;L&amp;"Calibri,Bold"&amp;9ERDR Algorithm — Heart-Disease (7, 13, 2) selected from Heart-Disease (270, 13, 2)&amp;R&amp;"Calibri,Regular"&amp;9&amp;A</oddHeader>
    <oddFooter>&amp;C&amp;"Calibri,Regular"&amp;9Page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7030A0"/>
    <pageSetUpPr fitToPage="1"/>
  </sheetPr>
  <dimension ref="A1:H99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44.77734375" customWidth="1"/>
    <col min="2" max="8" width="11.77734375" customWidth="1"/>
  </cols>
  <sheetData>
    <row r="1" ht="20" customHeight="1">
      <c r="A1" s="57" t="inlineStr">
        <is>
          <t xml:space="preserve">Step 0 · Sorted neighbours — nearest enemy r, k-th neighbour z, own-class objects inside the enemy sphere g</t>
        </is>
      </c>
      <c r="B1" s="57"/>
      <c r="C1" s="57"/>
      <c r="D1" s="57"/>
      <c r="E1" s="57"/>
      <c r="F1" s="57"/>
      <c r="G1" s="57"/>
      <c r="H1" s="57"/>
    </row>
    <row r="2"/>
    <row r="3">
      <c r="A3" s="58" t="inlineStr">
        <is>
          <t xml:space="preserve">Rank of Sⱼ in the neighbour list of Sᵢ  (self excluded; equal ρ → smaller index first)</t>
        </is>
      </c>
      <c r="B3" s="58"/>
      <c r="C3" s="58"/>
      <c r="D3" s="58"/>
      <c r="E3" s="58"/>
      <c r="F3" s="58"/>
      <c r="G3" s="58"/>
      <c r="H3" s="58"/>
    </row>
    <row r="4">
      <c r="A4" s="60" t="inlineStr">
        <is>
          <t xml:space="preserve">Sᵢ \ Sⱼ</t>
        </is>
      </c>
      <c r="B4" s="60" t="inlineStr">
        <is>
          <t xml:space="preserve">S₁</t>
        </is>
      </c>
      <c r="C4" s="60" t="inlineStr">
        <is>
          <t xml:space="preserve">S₂</t>
        </is>
      </c>
      <c r="D4" s="60" t="inlineStr">
        <is>
          <t xml:space="preserve">S₃</t>
        </is>
      </c>
      <c r="E4" s="60" t="inlineStr">
        <is>
          <t xml:space="preserve">S₄</t>
        </is>
      </c>
      <c r="F4" s="60" t="inlineStr">
        <is>
          <t xml:space="preserve">S₅</t>
        </is>
      </c>
      <c r="G4" s="60" t="inlineStr">
        <is>
          <t xml:space="preserve">S₆</t>
        </is>
      </c>
      <c r="H4" s="60" t="inlineStr">
        <is>
          <t xml:space="preserve">S₇</t>
        </is>
      </c>
    </row>
    <row r="5">
      <c r="A5" s="62" t="inlineStr">
        <is>
          <t xml:space="preserve">S₁</t>
        </is>
      </c>
      <c r="B5" s="75" t="inlineStr">
        <is>
          <t xml:space="preserve">—</t>
        </is>
      </c>
      <c r="C5" s="76">
        <f>1+SUMPRODUCT(('Zhuravlev Distances'!$B$5:$H$5&lt;'Zhuravlev Distances'!C$5)*(COLUMN('Zhuravlev Distances'!$B$5:$H$5)&lt;&gt;COLUMN('Zhuravlev Distances'!B$5)))+SUMPRODUCT(('Zhuravlev Distances'!$B$5:$H$5='Zhuravlev Distances'!C$5)*(COLUMN('Zhuravlev Distances'!$B$5:$H$5)&lt;COLUMN('Zhuravlev Distances'!C$5))*(COLUMN('Zhuravlev Distances'!$B$5:$H$5)&lt;&gt;COLUMN('Zhuravlev Distances'!B$5)))</f>
        <v>1</v>
      </c>
      <c r="D5" s="76">
        <f>1+SUMPRODUCT(('Zhuravlev Distances'!$B$5:$H$5&lt;'Zhuravlev Distances'!D$5)*(COLUMN('Zhuravlev Distances'!$B$5:$H$5)&lt;&gt;COLUMN('Zhuravlev Distances'!B$5)))+SUMPRODUCT(('Zhuravlev Distances'!$B$5:$H$5='Zhuravlev Distances'!D$5)*(COLUMN('Zhuravlev Distances'!$B$5:$H$5)&lt;COLUMN('Zhuravlev Distances'!D$5))*(COLUMN('Zhuravlev Distances'!$B$5:$H$5)&lt;&gt;COLUMN('Zhuravlev Distances'!B$5)))</f>
        <v>3</v>
      </c>
      <c r="E5" s="76">
        <f>1+SUMPRODUCT(('Zhuravlev Distances'!$B$5:$H$5&lt;'Zhuravlev Distances'!E$5)*(COLUMN('Zhuravlev Distances'!$B$5:$H$5)&lt;&gt;COLUMN('Zhuravlev Distances'!B$5)))+SUMPRODUCT(('Zhuravlev Distances'!$B$5:$H$5='Zhuravlev Distances'!E$5)*(COLUMN('Zhuravlev Distances'!$B$5:$H$5)&lt;COLUMN('Zhuravlev Distances'!E$5))*(COLUMN('Zhuravlev Distances'!$B$5:$H$5)&lt;&gt;COLUMN('Zhuravlev Distances'!B$5)))</f>
        <v>5</v>
      </c>
      <c r="F5" s="76">
        <f>1+SUMPRODUCT(('Zhuravlev Distances'!$B$5:$H$5&lt;'Zhuravlev Distances'!F$5)*(COLUMN('Zhuravlev Distances'!$B$5:$H$5)&lt;&gt;COLUMN('Zhuravlev Distances'!B$5)))+SUMPRODUCT(('Zhuravlev Distances'!$B$5:$H$5='Zhuravlev Distances'!F$5)*(COLUMN('Zhuravlev Distances'!$B$5:$H$5)&lt;COLUMN('Zhuravlev Distances'!F$5))*(COLUMN('Zhuravlev Distances'!$B$5:$H$5)&lt;&gt;COLUMN('Zhuravlev Distances'!B$5)))</f>
        <v>2</v>
      </c>
      <c r="G5" s="76">
        <f>1+SUMPRODUCT(('Zhuravlev Distances'!$B$5:$H$5&lt;'Zhuravlev Distances'!G$5)*(COLUMN('Zhuravlev Distances'!$B$5:$H$5)&lt;&gt;COLUMN('Zhuravlev Distances'!B$5)))+SUMPRODUCT(('Zhuravlev Distances'!$B$5:$H$5='Zhuravlev Distances'!G$5)*(COLUMN('Zhuravlev Distances'!$B$5:$H$5)&lt;COLUMN('Zhuravlev Distances'!G$5))*(COLUMN('Zhuravlev Distances'!$B$5:$H$5)&lt;&gt;COLUMN('Zhuravlev Distances'!B$5)))</f>
        <v>6</v>
      </c>
      <c r="H5" s="76">
        <f>1+SUMPRODUCT(('Zhuravlev Distances'!$B$5:$H$5&lt;'Zhuravlev Distances'!H$5)*(COLUMN('Zhuravlev Distances'!$B$5:$H$5)&lt;&gt;COLUMN('Zhuravlev Distances'!B$5)))+SUMPRODUCT(('Zhuravlev Distances'!$B$5:$H$5='Zhuravlev Distances'!H$5)*(COLUMN('Zhuravlev Distances'!$B$5:$H$5)&lt;COLUMN('Zhuravlev Distances'!H$5))*(COLUMN('Zhuravlev Distances'!$B$5:$H$5)&lt;&gt;COLUMN('Zhuravlev Distances'!B$5)))</f>
        <v>4</v>
      </c>
    </row>
    <row r="6">
      <c r="A6" s="62" t="inlineStr">
        <is>
          <t xml:space="preserve">S₂</t>
        </is>
      </c>
      <c r="B6" s="76">
        <f>1+SUMPRODUCT(('Zhuravlev Distances'!$B$6:$H$6&lt;'Zhuravlev Distances'!B$6)*(COLUMN('Zhuravlev Distances'!$B$6:$H$6)&lt;&gt;COLUMN('Zhuravlev Distances'!C$6)))+SUMPRODUCT(('Zhuravlev Distances'!$B$6:$H$6='Zhuravlev Distances'!B$6)*(COLUMN('Zhuravlev Distances'!$B$6:$H$6)&lt;COLUMN('Zhuravlev Distances'!B$6))*(COLUMN('Zhuravlev Distances'!$B$6:$H$6)&lt;&gt;COLUMN('Zhuravlev Distances'!C$6)))</f>
        <v>1</v>
      </c>
      <c r="C6" s="75" t="inlineStr">
        <is>
          <t xml:space="preserve">—</t>
        </is>
      </c>
      <c r="D6" s="76">
        <f>1+SUMPRODUCT(('Zhuravlev Distances'!$B$6:$H$6&lt;'Zhuravlev Distances'!D$6)*(COLUMN('Zhuravlev Distances'!$B$6:$H$6)&lt;&gt;COLUMN('Zhuravlev Distances'!C$6)))+SUMPRODUCT(('Zhuravlev Distances'!$B$6:$H$6='Zhuravlev Distances'!D$6)*(COLUMN('Zhuravlev Distances'!$B$6:$H$6)&lt;COLUMN('Zhuravlev Distances'!D$6))*(COLUMN('Zhuravlev Distances'!$B$6:$H$6)&lt;&gt;COLUMN('Zhuravlev Distances'!C$6)))</f>
        <v>4</v>
      </c>
      <c r="E6" s="76">
        <f>1+SUMPRODUCT(('Zhuravlev Distances'!$B$6:$H$6&lt;'Zhuravlev Distances'!E$6)*(COLUMN('Zhuravlev Distances'!$B$6:$H$6)&lt;&gt;COLUMN('Zhuravlev Distances'!C$6)))+SUMPRODUCT(('Zhuravlev Distances'!$B$6:$H$6='Zhuravlev Distances'!E$6)*(COLUMN('Zhuravlev Distances'!$B$6:$H$6)&lt;COLUMN('Zhuravlev Distances'!E$6))*(COLUMN('Zhuravlev Distances'!$B$6:$H$6)&lt;&gt;COLUMN('Zhuravlev Distances'!C$6)))</f>
        <v>3</v>
      </c>
      <c r="F6" s="76">
        <f>1+SUMPRODUCT(('Zhuravlev Distances'!$B$6:$H$6&lt;'Zhuravlev Distances'!F$6)*(COLUMN('Zhuravlev Distances'!$B$6:$H$6)&lt;&gt;COLUMN('Zhuravlev Distances'!C$6)))+SUMPRODUCT(('Zhuravlev Distances'!$B$6:$H$6='Zhuravlev Distances'!F$6)*(COLUMN('Zhuravlev Distances'!$B$6:$H$6)&lt;COLUMN('Zhuravlev Distances'!F$6))*(COLUMN('Zhuravlev Distances'!$B$6:$H$6)&lt;&gt;COLUMN('Zhuravlev Distances'!C$6)))</f>
        <v>2</v>
      </c>
      <c r="G6" s="76">
        <f>1+SUMPRODUCT(('Zhuravlev Distances'!$B$6:$H$6&lt;'Zhuravlev Distances'!G$6)*(COLUMN('Zhuravlev Distances'!$B$6:$H$6)&lt;&gt;COLUMN('Zhuravlev Distances'!C$6)))+SUMPRODUCT(('Zhuravlev Distances'!$B$6:$H$6='Zhuravlev Distances'!G$6)*(COLUMN('Zhuravlev Distances'!$B$6:$H$6)&lt;COLUMN('Zhuravlev Distances'!G$6))*(COLUMN('Zhuravlev Distances'!$B$6:$H$6)&lt;&gt;COLUMN('Zhuravlev Distances'!C$6)))</f>
        <v>6</v>
      </c>
      <c r="H6" s="76">
        <f>1+SUMPRODUCT(('Zhuravlev Distances'!$B$6:$H$6&lt;'Zhuravlev Distances'!H$6)*(COLUMN('Zhuravlev Distances'!$B$6:$H$6)&lt;&gt;COLUMN('Zhuravlev Distances'!C$6)))+SUMPRODUCT(('Zhuravlev Distances'!$B$6:$H$6='Zhuravlev Distances'!H$6)*(COLUMN('Zhuravlev Distances'!$B$6:$H$6)&lt;COLUMN('Zhuravlev Distances'!H$6))*(COLUMN('Zhuravlev Distances'!$B$6:$H$6)&lt;&gt;COLUMN('Zhuravlev Distances'!C$6)))</f>
        <v>5</v>
      </c>
    </row>
    <row r="7">
      <c r="A7" s="62" t="inlineStr">
        <is>
          <t xml:space="preserve">S₃</t>
        </is>
      </c>
      <c r="B7" s="76">
        <f>1+SUMPRODUCT(('Zhuravlev Distances'!$B$7:$H$7&lt;'Zhuravlev Distances'!B$7)*(COLUMN('Zhuravlev Distances'!$B$7:$H$7)&lt;&gt;COLUMN('Zhuravlev Distances'!D$7)))+SUMPRODUCT(('Zhuravlev Distances'!$B$7:$H$7='Zhuravlev Distances'!B$7)*(COLUMN('Zhuravlev Distances'!$B$7:$H$7)&lt;COLUMN('Zhuravlev Distances'!B$7))*(COLUMN('Zhuravlev Distances'!$B$7:$H$7)&lt;&gt;COLUMN('Zhuravlev Distances'!D$7)))</f>
        <v>3</v>
      </c>
      <c r="C7" s="76">
        <f>1+SUMPRODUCT(('Zhuravlev Distances'!$B$7:$H$7&lt;'Zhuravlev Distances'!C$7)*(COLUMN('Zhuravlev Distances'!$B$7:$H$7)&lt;&gt;COLUMN('Zhuravlev Distances'!D$7)))+SUMPRODUCT(('Zhuravlev Distances'!$B$7:$H$7='Zhuravlev Distances'!C$7)*(COLUMN('Zhuravlev Distances'!$B$7:$H$7)&lt;COLUMN('Zhuravlev Distances'!C$7))*(COLUMN('Zhuravlev Distances'!$B$7:$H$7)&lt;&gt;COLUMN('Zhuravlev Distances'!D$7)))</f>
        <v>6</v>
      </c>
      <c r="D7" s="75" t="inlineStr">
        <is>
          <t xml:space="preserve">—</t>
        </is>
      </c>
      <c r="E7" s="76">
        <f>1+SUMPRODUCT(('Zhuravlev Distances'!$B$7:$H$7&lt;'Zhuravlev Distances'!E$7)*(COLUMN('Zhuravlev Distances'!$B$7:$H$7)&lt;&gt;COLUMN('Zhuravlev Distances'!D$7)))+SUMPRODUCT(('Zhuravlev Distances'!$B$7:$H$7='Zhuravlev Distances'!E$7)*(COLUMN('Zhuravlev Distances'!$B$7:$H$7)&lt;COLUMN('Zhuravlev Distances'!E$7))*(COLUMN('Zhuravlev Distances'!$B$7:$H$7)&lt;&gt;COLUMN('Zhuravlev Distances'!D$7)))</f>
        <v>4</v>
      </c>
      <c r="F7" s="76">
        <f>1+SUMPRODUCT(('Zhuravlev Distances'!$B$7:$H$7&lt;'Zhuravlev Distances'!F$7)*(COLUMN('Zhuravlev Distances'!$B$7:$H$7)&lt;&gt;COLUMN('Zhuravlev Distances'!D$7)))+SUMPRODUCT(('Zhuravlev Distances'!$B$7:$H$7='Zhuravlev Distances'!F$7)*(COLUMN('Zhuravlev Distances'!$B$7:$H$7)&lt;COLUMN('Zhuravlev Distances'!F$7))*(COLUMN('Zhuravlev Distances'!$B$7:$H$7)&lt;&gt;COLUMN('Zhuravlev Distances'!D$7)))</f>
        <v>5</v>
      </c>
      <c r="G7" s="76">
        <f>1+SUMPRODUCT(('Zhuravlev Distances'!$B$7:$H$7&lt;'Zhuravlev Distances'!G$7)*(COLUMN('Zhuravlev Distances'!$B$7:$H$7)&lt;&gt;COLUMN('Zhuravlev Distances'!D$7)))+SUMPRODUCT(('Zhuravlev Distances'!$B$7:$H$7='Zhuravlev Distances'!G$7)*(COLUMN('Zhuravlev Distances'!$B$7:$H$7)&lt;COLUMN('Zhuravlev Distances'!G$7))*(COLUMN('Zhuravlev Distances'!$B$7:$H$7)&lt;&gt;COLUMN('Zhuravlev Distances'!D$7)))</f>
        <v>2</v>
      </c>
      <c r="H7" s="76">
        <f>1+SUMPRODUCT(('Zhuravlev Distances'!$B$7:$H$7&lt;'Zhuravlev Distances'!H$7)*(COLUMN('Zhuravlev Distances'!$B$7:$H$7)&lt;&gt;COLUMN('Zhuravlev Distances'!D$7)))+SUMPRODUCT(('Zhuravlev Distances'!$B$7:$H$7='Zhuravlev Distances'!H$7)*(COLUMN('Zhuravlev Distances'!$B$7:$H$7)&lt;COLUMN('Zhuravlev Distances'!H$7))*(COLUMN('Zhuravlev Distances'!$B$7:$H$7)&lt;&gt;COLUMN('Zhuravlev Distances'!D$7)))</f>
        <v>1</v>
      </c>
    </row>
    <row r="8">
      <c r="A8" s="62" t="inlineStr">
        <is>
          <t xml:space="preserve">S₄</t>
        </is>
      </c>
      <c r="B8" s="76">
        <f>1+SUMPRODUCT(('Zhuravlev Distances'!$B$8:$H$8&lt;'Zhuravlev Distances'!B$8)*(COLUMN('Zhuravlev Distances'!$B$8:$H$8)&lt;&gt;COLUMN('Zhuravlev Distances'!E$8)))+SUMPRODUCT(('Zhuravlev Distances'!$B$8:$H$8='Zhuravlev Distances'!B$8)*(COLUMN('Zhuravlev Distances'!$B$8:$H$8)&lt;COLUMN('Zhuravlev Distances'!B$8))*(COLUMN('Zhuravlev Distances'!$B$8:$H$8)&lt;&gt;COLUMN('Zhuravlev Distances'!E$8)))</f>
        <v>5</v>
      </c>
      <c r="C8" s="76">
        <f>1+SUMPRODUCT(('Zhuravlev Distances'!$B$8:$H$8&lt;'Zhuravlev Distances'!C$8)*(COLUMN('Zhuravlev Distances'!$B$8:$H$8)&lt;&gt;COLUMN('Zhuravlev Distances'!E$8)))+SUMPRODUCT(('Zhuravlev Distances'!$B$8:$H$8='Zhuravlev Distances'!C$8)*(COLUMN('Zhuravlev Distances'!$B$8:$H$8)&lt;COLUMN('Zhuravlev Distances'!C$8))*(COLUMN('Zhuravlev Distances'!$B$8:$H$8)&lt;&gt;COLUMN('Zhuravlev Distances'!E$8)))</f>
        <v>4</v>
      </c>
      <c r="D8" s="76">
        <f>1+SUMPRODUCT(('Zhuravlev Distances'!$B$8:$H$8&lt;'Zhuravlev Distances'!D$8)*(COLUMN('Zhuravlev Distances'!$B$8:$H$8)&lt;&gt;COLUMN('Zhuravlev Distances'!E$8)))+SUMPRODUCT(('Zhuravlev Distances'!$B$8:$H$8='Zhuravlev Distances'!D$8)*(COLUMN('Zhuravlev Distances'!$B$8:$H$8)&lt;COLUMN('Zhuravlev Distances'!D$8))*(COLUMN('Zhuravlev Distances'!$B$8:$H$8)&lt;&gt;COLUMN('Zhuravlev Distances'!E$8)))</f>
        <v>3</v>
      </c>
      <c r="E8" s="75" t="inlineStr">
        <is>
          <t xml:space="preserve">—</t>
        </is>
      </c>
      <c r="F8" s="76">
        <f>1+SUMPRODUCT(('Zhuravlev Distances'!$B$8:$H$8&lt;'Zhuravlev Distances'!F$8)*(COLUMN('Zhuravlev Distances'!$B$8:$H$8)&lt;&gt;COLUMN('Zhuravlev Distances'!E$8)))+SUMPRODUCT(('Zhuravlev Distances'!$B$8:$H$8='Zhuravlev Distances'!F$8)*(COLUMN('Zhuravlev Distances'!$B$8:$H$8)&lt;COLUMN('Zhuravlev Distances'!F$8))*(COLUMN('Zhuravlev Distances'!$B$8:$H$8)&lt;&gt;COLUMN('Zhuravlev Distances'!E$8)))</f>
        <v>6</v>
      </c>
      <c r="G8" s="76">
        <f>1+SUMPRODUCT(('Zhuravlev Distances'!$B$8:$H$8&lt;'Zhuravlev Distances'!G$8)*(COLUMN('Zhuravlev Distances'!$B$8:$H$8)&lt;&gt;COLUMN('Zhuravlev Distances'!E$8)))+SUMPRODUCT(('Zhuravlev Distances'!$B$8:$H$8='Zhuravlev Distances'!G$8)*(COLUMN('Zhuravlev Distances'!$B$8:$H$8)&lt;COLUMN('Zhuravlev Distances'!G$8))*(COLUMN('Zhuravlev Distances'!$B$8:$H$8)&lt;&gt;COLUMN('Zhuravlev Distances'!E$8)))</f>
        <v>1</v>
      </c>
      <c r="H8" s="76">
        <f>1+SUMPRODUCT(('Zhuravlev Distances'!$B$8:$H$8&lt;'Zhuravlev Distances'!H$8)*(COLUMN('Zhuravlev Distances'!$B$8:$H$8)&lt;&gt;COLUMN('Zhuravlev Distances'!E$8)))+SUMPRODUCT(('Zhuravlev Distances'!$B$8:$H$8='Zhuravlev Distances'!H$8)*(COLUMN('Zhuravlev Distances'!$B$8:$H$8)&lt;COLUMN('Zhuravlev Distances'!H$8))*(COLUMN('Zhuravlev Distances'!$B$8:$H$8)&lt;&gt;COLUMN('Zhuravlev Distances'!E$8)))</f>
        <v>2</v>
      </c>
    </row>
    <row r="9">
      <c r="A9" s="62" t="inlineStr">
        <is>
          <t xml:space="preserve">S₅</t>
        </is>
      </c>
      <c r="B9" s="76">
        <f>1+SUMPRODUCT(('Zhuravlev Distances'!$B$9:$H$9&lt;'Zhuravlev Distances'!B$9)*(COLUMN('Zhuravlev Distances'!$B$9:$H$9)&lt;&gt;COLUMN('Zhuravlev Distances'!F$9)))+SUMPRODUCT(('Zhuravlev Distances'!$B$9:$H$9='Zhuravlev Distances'!B$9)*(COLUMN('Zhuravlev Distances'!$B$9:$H$9)&lt;COLUMN('Zhuravlev Distances'!B$9))*(COLUMN('Zhuravlev Distances'!$B$9:$H$9)&lt;&gt;COLUMN('Zhuravlev Distances'!F$9)))</f>
        <v>1</v>
      </c>
      <c r="C9" s="76">
        <f>1+SUMPRODUCT(('Zhuravlev Distances'!$B$9:$H$9&lt;'Zhuravlev Distances'!C$9)*(COLUMN('Zhuravlev Distances'!$B$9:$H$9)&lt;&gt;COLUMN('Zhuravlev Distances'!F$9)))+SUMPRODUCT(('Zhuravlev Distances'!$B$9:$H$9='Zhuravlev Distances'!C$9)*(COLUMN('Zhuravlev Distances'!$B$9:$H$9)&lt;COLUMN('Zhuravlev Distances'!C$9))*(COLUMN('Zhuravlev Distances'!$B$9:$H$9)&lt;&gt;COLUMN('Zhuravlev Distances'!F$9)))</f>
        <v>2</v>
      </c>
      <c r="D9" s="76">
        <f>1+SUMPRODUCT(('Zhuravlev Distances'!$B$9:$H$9&lt;'Zhuravlev Distances'!D$9)*(COLUMN('Zhuravlev Distances'!$B$9:$H$9)&lt;&gt;COLUMN('Zhuravlev Distances'!F$9)))+SUMPRODUCT(('Zhuravlev Distances'!$B$9:$H$9='Zhuravlev Distances'!D$9)*(COLUMN('Zhuravlev Distances'!$B$9:$H$9)&lt;COLUMN('Zhuravlev Distances'!D$9))*(COLUMN('Zhuravlev Distances'!$B$9:$H$9)&lt;&gt;COLUMN('Zhuravlev Distances'!F$9)))</f>
        <v>4</v>
      </c>
      <c r="E9" s="76">
        <f>1+SUMPRODUCT(('Zhuravlev Distances'!$B$9:$H$9&lt;'Zhuravlev Distances'!E$9)*(COLUMN('Zhuravlev Distances'!$B$9:$H$9)&lt;&gt;COLUMN('Zhuravlev Distances'!F$9)))+SUMPRODUCT(('Zhuravlev Distances'!$B$9:$H$9='Zhuravlev Distances'!E$9)*(COLUMN('Zhuravlev Distances'!$B$9:$H$9)&lt;COLUMN('Zhuravlev Distances'!E$9))*(COLUMN('Zhuravlev Distances'!$B$9:$H$9)&lt;&gt;COLUMN('Zhuravlev Distances'!F$9)))</f>
        <v>5</v>
      </c>
      <c r="F9" s="75" t="inlineStr">
        <is>
          <t xml:space="preserve">—</t>
        </is>
      </c>
      <c r="G9" s="76">
        <f>1+SUMPRODUCT(('Zhuravlev Distances'!$B$9:$H$9&lt;'Zhuravlev Distances'!G$9)*(COLUMN('Zhuravlev Distances'!$B$9:$H$9)&lt;&gt;COLUMN('Zhuravlev Distances'!F$9)))+SUMPRODUCT(('Zhuravlev Distances'!$B$9:$H$9='Zhuravlev Distances'!G$9)*(COLUMN('Zhuravlev Distances'!$B$9:$H$9)&lt;COLUMN('Zhuravlev Distances'!G$9))*(COLUMN('Zhuravlev Distances'!$B$9:$H$9)&lt;&gt;COLUMN('Zhuravlev Distances'!F$9)))</f>
        <v>6</v>
      </c>
      <c r="H9" s="76">
        <f>1+SUMPRODUCT(('Zhuravlev Distances'!$B$9:$H$9&lt;'Zhuravlev Distances'!H$9)*(COLUMN('Zhuravlev Distances'!$B$9:$H$9)&lt;&gt;COLUMN('Zhuravlev Distances'!F$9)))+SUMPRODUCT(('Zhuravlev Distances'!$B$9:$H$9='Zhuravlev Distances'!H$9)*(COLUMN('Zhuravlev Distances'!$B$9:$H$9)&lt;COLUMN('Zhuravlev Distances'!H$9))*(COLUMN('Zhuravlev Distances'!$B$9:$H$9)&lt;&gt;COLUMN('Zhuravlev Distances'!F$9)))</f>
        <v>3</v>
      </c>
    </row>
    <row r="10">
      <c r="A10" s="62" t="inlineStr">
        <is>
          <t xml:space="preserve">S₆</t>
        </is>
      </c>
      <c r="B10" s="76">
        <f>1+SUMPRODUCT(('Zhuravlev Distances'!$B$10:$H$10&lt;'Zhuravlev Distances'!B$10)*(COLUMN('Zhuravlev Distances'!$B$10:$H$10)&lt;&gt;COLUMN('Zhuravlev Distances'!G$10)))+SUMPRODUCT(('Zhuravlev Distances'!$B$10:$H$10='Zhuravlev Distances'!B$10)*(COLUMN('Zhuravlev Distances'!$B$10:$H$10)&lt;COLUMN('Zhuravlev Distances'!B$10))*(COLUMN('Zhuravlev Distances'!$B$10:$H$10)&lt;&gt;COLUMN('Zhuravlev Distances'!G$10)))</f>
        <v>4</v>
      </c>
      <c r="C10" s="76">
        <f>1+SUMPRODUCT(('Zhuravlev Distances'!$B$10:$H$10&lt;'Zhuravlev Distances'!C$10)*(COLUMN('Zhuravlev Distances'!$B$10:$H$10)&lt;&gt;COLUMN('Zhuravlev Distances'!G$10)))+SUMPRODUCT(('Zhuravlev Distances'!$B$10:$H$10='Zhuravlev Distances'!C$10)*(COLUMN('Zhuravlev Distances'!$B$10:$H$10)&lt;COLUMN('Zhuravlev Distances'!C$10))*(COLUMN('Zhuravlev Distances'!$B$10:$H$10)&lt;&gt;COLUMN('Zhuravlev Distances'!G$10)))</f>
        <v>5</v>
      </c>
      <c r="D10" s="76">
        <f>1+SUMPRODUCT(('Zhuravlev Distances'!$B$10:$H$10&lt;'Zhuravlev Distances'!D$10)*(COLUMN('Zhuravlev Distances'!$B$10:$H$10)&lt;&gt;COLUMN('Zhuravlev Distances'!G$10)))+SUMPRODUCT(('Zhuravlev Distances'!$B$10:$H$10='Zhuravlev Distances'!D$10)*(COLUMN('Zhuravlev Distances'!$B$10:$H$10)&lt;COLUMN('Zhuravlev Distances'!D$10))*(COLUMN('Zhuravlev Distances'!$B$10:$H$10)&lt;&gt;COLUMN('Zhuravlev Distances'!G$10)))</f>
        <v>3</v>
      </c>
      <c r="E10" s="76">
        <f>1+SUMPRODUCT(('Zhuravlev Distances'!$B$10:$H$10&lt;'Zhuravlev Distances'!E$10)*(COLUMN('Zhuravlev Distances'!$B$10:$H$10)&lt;&gt;COLUMN('Zhuravlev Distances'!G$10)))+SUMPRODUCT(('Zhuravlev Distances'!$B$10:$H$10='Zhuravlev Distances'!E$10)*(COLUMN('Zhuravlev Distances'!$B$10:$H$10)&lt;COLUMN('Zhuravlev Distances'!E$10))*(COLUMN('Zhuravlev Distances'!$B$10:$H$10)&lt;&gt;COLUMN('Zhuravlev Distances'!G$10)))</f>
        <v>1</v>
      </c>
      <c r="F10" s="76">
        <f>1+SUMPRODUCT(('Zhuravlev Distances'!$B$10:$H$10&lt;'Zhuravlev Distances'!F$10)*(COLUMN('Zhuravlev Distances'!$B$10:$H$10)&lt;&gt;COLUMN('Zhuravlev Distances'!G$10)))+SUMPRODUCT(('Zhuravlev Distances'!$B$10:$H$10='Zhuravlev Distances'!F$10)*(COLUMN('Zhuravlev Distances'!$B$10:$H$10)&lt;COLUMN('Zhuravlev Distances'!F$10))*(COLUMN('Zhuravlev Distances'!$B$10:$H$10)&lt;&gt;COLUMN('Zhuravlev Distances'!G$10)))</f>
        <v>6</v>
      </c>
      <c r="G10" s="75" t="inlineStr">
        <is>
          <t xml:space="preserve">—</t>
        </is>
      </c>
      <c r="H10" s="76">
        <f>1+SUMPRODUCT(('Zhuravlev Distances'!$B$10:$H$10&lt;'Zhuravlev Distances'!H$10)*(COLUMN('Zhuravlev Distances'!$B$10:$H$10)&lt;&gt;COLUMN('Zhuravlev Distances'!G$10)))+SUMPRODUCT(('Zhuravlev Distances'!$B$10:$H$10='Zhuravlev Distances'!H$10)*(COLUMN('Zhuravlev Distances'!$B$10:$H$10)&lt;COLUMN('Zhuravlev Distances'!H$10))*(COLUMN('Zhuravlev Distances'!$B$10:$H$10)&lt;&gt;COLUMN('Zhuravlev Distances'!G$10)))</f>
        <v>2</v>
      </c>
    </row>
    <row r="11">
      <c r="A11" s="62" t="inlineStr">
        <is>
          <t xml:space="preserve">S₇</t>
        </is>
      </c>
      <c r="B11" s="76">
        <f>1+SUMPRODUCT(('Zhuravlev Distances'!$B$11:$H$11&lt;'Zhuravlev Distances'!B$11)*(COLUMN('Zhuravlev Distances'!$B$11:$H$11)&lt;&gt;COLUMN('Zhuravlev Distances'!H$11)))+SUMPRODUCT(('Zhuravlev Distances'!$B$11:$H$11='Zhuravlev Distances'!B$11)*(COLUMN('Zhuravlev Distances'!$B$11:$H$11)&lt;COLUMN('Zhuravlev Distances'!B$11))*(COLUMN('Zhuravlev Distances'!$B$11:$H$11)&lt;&gt;COLUMN('Zhuravlev Distances'!H$11)))</f>
        <v>4</v>
      </c>
      <c r="C11" s="76">
        <f>1+SUMPRODUCT(('Zhuravlev Distances'!$B$11:$H$11&lt;'Zhuravlev Distances'!C$11)*(COLUMN('Zhuravlev Distances'!$B$11:$H$11)&lt;&gt;COLUMN('Zhuravlev Distances'!H$11)))+SUMPRODUCT(('Zhuravlev Distances'!$B$11:$H$11='Zhuravlev Distances'!C$11)*(COLUMN('Zhuravlev Distances'!$B$11:$H$11)&lt;COLUMN('Zhuravlev Distances'!C$11))*(COLUMN('Zhuravlev Distances'!$B$11:$H$11)&lt;&gt;COLUMN('Zhuravlev Distances'!H$11)))</f>
        <v>6</v>
      </c>
      <c r="D11" s="76">
        <f>1+SUMPRODUCT(('Zhuravlev Distances'!$B$11:$H$11&lt;'Zhuravlev Distances'!D$11)*(COLUMN('Zhuravlev Distances'!$B$11:$H$11)&lt;&gt;COLUMN('Zhuravlev Distances'!H$11)))+SUMPRODUCT(('Zhuravlev Distances'!$B$11:$H$11='Zhuravlev Distances'!D$11)*(COLUMN('Zhuravlev Distances'!$B$11:$H$11)&lt;COLUMN('Zhuravlev Distances'!D$11))*(COLUMN('Zhuravlev Distances'!$B$11:$H$11)&lt;&gt;COLUMN('Zhuravlev Distances'!H$11)))</f>
        <v>1</v>
      </c>
      <c r="E11" s="76">
        <f>1+SUMPRODUCT(('Zhuravlev Distances'!$B$11:$H$11&lt;'Zhuravlev Distances'!E$11)*(COLUMN('Zhuravlev Distances'!$B$11:$H$11)&lt;&gt;COLUMN('Zhuravlev Distances'!H$11)))+SUMPRODUCT(('Zhuravlev Distances'!$B$11:$H$11='Zhuravlev Distances'!E$11)*(COLUMN('Zhuravlev Distances'!$B$11:$H$11)&lt;COLUMN('Zhuravlev Distances'!E$11))*(COLUMN('Zhuravlev Distances'!$B$11:$H$11)&lt;&gt;COLUMN('Zhuravlev Distances'!H$11)))</f>
        <v>2</v>
      </c>
      <c r="F11" s="76">
        <f>1+SUMPRODUCT(('Zhuravlev Distances'!$B$11:$H$11&lt;'Zhuravlev Distances'!F$11)*(COLUMN('Zhuravlev Distances'!$B$11:$H$11)&lt;&gt;COLUMN('Zhuravlev Distances'!H$11)))+SUMPRODUCT(('Zhuravlev Distances'!$B$11:$H$11='Zhuravlev Distances'!F$11)*(COLUMN('Zhuravlev Distances'!$B$11:$H$11)&lt;COLUMN('Zhuravlev Distances'!F$11))*(COLUMN('Zhuravlev Distances'!$B$11:$H$11)&lt;&gt;COLUMN('Zhuravlev Distances'!H$11)))</f>
        <v>5</v>
      </c>
      <c r="G11" s="76">
        <f>1+SUMPRODUCT(('Zhuravlev Distances'!$B$11:$H$11&lt;'Zhuravlev Distances'!G$11)*(COLUMN('Zhuravlev Distances'!$B$11:$H$11)&lt;&gt;COLUMN('Zhuravlev Distances'!H$11)))+SUMPRODUCT(('Zhuravlev Distances'!$B$11:$H$11='Zhuravlev Distances'!G$11)*(COLUMN('Zhuravlev Distances'!$B$11:$H$11)&lt;COLUMN('Zhuravlev Distances'!G$11))*(COLUMN('Zhuravlev Distances'!$B$11:$H$11)&lt;&gt;COLUMN('Zhuravlev Distances'!H$11)))</f>
        <v>3</v>
      </c>
      <c r="H11" s="75" t="inlineStr">
        <is>
          <t xml:space="preserve">—</t>
        </is>
      </c>
    </row>
    <row r="12"/>
    <row r="13">
      <c r="A13" s="59" t="str">
        <f>"S₁  ·  class "&amp;'Dataset'!$P$5&amp;"  ·  neighbours by ascending ρ  ·  r = "&amp;TEXT('ERDR Characteristics'!$D$5,"0.0000")&amp;",  z = "&amp;TEXT('ERDR Characteristics'!$H$5,"0.0000")&amp;",  g = "&amp;'ERDR Characteristics'!$E$5</f>
        <v>S₁  ·  class 2  ·  neighbours by ascending ρ  ·  r = 5.6071,  z = 5.6071,  g = 3</v>
      </c>
      <c r="B13" s="59"/>
      <c r="C13" s="59"/>
      <c r="D13" s="59"/>
      <c r="E13" s="59"/>
      <c r="F13" s="59"/>
      <c r="G13" s="59"/>
    </row>
    <row r="14">
      <c r="A14" s="60" t="inlineStr">
        <is>
          <t xml:space="preserve">Rank</t>
        </is>
      </c>
      <c r="B14" s="60">
        <v>1</v>
      </c>
      <c r="C14" s="60">
        <v>2</v>
      </c>
      <c r="D14" s="60">
        <v>3</v>
      </c>
      <c r="E14" s="60">
        <v>4</v>
      </c>
      <c r="F14" s="60">
        <v>5</v>
      </c>
      <c r="G14" s="60">
        <v>6</v>
      </c>
    </row>
    <row r="15">
      <c r="A15" s="63" t="inlineStr">
        <is>
          <t xml:space="preserve">Neighbour</t>
        </is>
      </c>
      <c r="B15" s="62" t="str">
        <f>INDEX('Zhuravlev Distances'!$B$4:$H$4,B16)</f>
        <v>S₂</v>
      </c>
      <c r="C15" s="62" t="str">
        <f>INDEX('Zhuravlev Distances'!$B$4:$H$4,C16)</f>
        <v>S₅</v>
      </c>
      <c r="D15" s="62" t="str">
        <f>INDEX('Zhuravlev Distances'!$B$4:$H$4,D16)</f>
        <v>S₃</v>
      </c>
      <c r="E15" s="62" t="str">
        <f>INDEX('Zhuravlev Distances'!$B$4:$H$4,E16)</f>
        <v>S₇</v>
      </c>
      <c r="F15" s="62" t="str">
        <f>INDEX('Zhuravlev Distances'!$B$4:$H$4,F16)</f>
        <v>S₄</v>
      </c>
      <c r="G15" s="62" t="str">
        <f>INDEX('Zhuravlev Distances'!$B$4:$H$4,G16)</f>
        <v>S₆</v>
      </c>
    </row>
    <row r="16">
      <c r="A16" s="63" t="inlineStr">
        <is>
          <t xml:space="preserve">Index in the dataset</t>
        </is>
      </c>
      <c r="B16" s="78">
        <f>MATCH(B$14,$B$5:$H$5,0)</f>
        <v>2</v>
      </c>
      <c r="C16" s="78">
        <f>MATCH(C$14,$B$5:$H$5,0)</f>
        <v>5</v>
      </c>
      <c r="D16" s="78">
        <f>MATCH(D$14,$B$5:$H$5,0)</f>
        <v>3</v>
      </c>
      <c r="E16" s="78">
        <f>MATCH(E$14,$B$5:$H$5,0)</f>
        <v>7</v>
      </c>
      <c r="F16" s="78">
        <f>MATCH(F$14,$B$5:$H$5,0)</f>
        <v>4</v>
      </c>
      <c r="G16" s="78">
        <f>MATCH(G$14,$B$5:$H$5,0)</f>
        <v>6</v>
      </c>
    </row>
    <row r="17">
      <c r="A17" s="63" t="inlineStr">
        <is>
          <t xml:space="preserve">ρ(S₁, neighbour)</t>
        </is>
      </c>
      <c r="B17" s="73">
        <f>INDEX('Zhuravlev Distances'!$B$5:$H$5,B16)</f>
        <v>4.6606100796</v>
      </c>
      <c r="C17" s="73">
        <f>INDEX('Zhuravlev Distances'!$B$5:$H$5,C16)</f>
        <v>4.8565209225</v>
      </c>
      <c r="D17" s="73">
        <f>INDEX('Zhuravlev Distances'!$B$5:$H$5,D16)</f>
        <v>5.60708061</v>
      </c>
      <c r="E17" s="73">
        <f>INDEX('Zhuravlev Distances'!$B$5:$H$5,E16)</f>
        <v>5.8897935773</v>
      </c>
      <c r="F17" s="73">
        <f>INDEX('Zhuravlev Distances'!$B$5:$H$5,F16)</f>
        <v>6.6272117335</v>
      </c>
      <c r="G17" s="73">
        <f>INDEX('Zhuravlev Distances'!$B$5:$H$5,G16)</f>
        <v>6.8015669516</v>
      </c>
    </row>
    <row r="18">
      <c r="A18" s="63" t="inlineStr">
        <is>
          <t xml:space="preserve">Class</t>
        </is>
      </c>
      <c r="B18" s="68">
        <f>INDEX('Dataset'!$P$5:$P$11,B16)</f>
        <v>2</v>
      </c>
      <c r="C18" s="68">
        <f>INDEX('Dataset'!$P$5:$P$11,C16)</f>
        <v>2</v>
      </c>
      <c r="D18" s="68">
        <f>INDEX('Dataset'!$P$5:$P$11,D16)</f>
        <v>1</v>
      </c>
      <c r="E18" s="68">
        <f>INDEX('Dataset'!$P$5:$P$11,E16)</f>
        <v>1</v>
      </c>
      <c r="F18" s="68">
        <f>INDEX('Dataset'!$P$5:$P$11,F16)</f>
        <v>2</v>
      </c>
      <c r="G18" s="68">
        <f>INDEX('Dataset'!$P$5:$P$11,G16)</f>
        <v>1</v>
      </c>
    </row>
    <row r="19">
      <c r="A19" s="63" t="inlineStr">
        <is>
          <t xml:space="preserve">Own class (1) — same class as S₁</t>
        </is>
      </c>
      <c r="B19" s="76">
        <f>IF(B18='Dataset'!$P$5,1,0)</f>
        <v>1</v>
      </c>
      <c r="C19" s="76">
        <f>IF(C18='Dataset'!$P$5,1,0)</f>
        <v>1</v>
      </c>
      <c r="D19" s="76">
        <f>IF(D18='Dataset'!$P$5,1,0)</f>
        <v>0</v>
      </c>
      <c r="E19" s="76">
        <f>IF(E18='Dataset'!$P$5,1,0)</f>
        <v>0</v>
      </c>
      <c r="F19" s="76">
        <f>IF(F18='Dataset'!$P$5,1,0)</f>
        <v>1</v>
      </c>
      <c r="G19" s="76">
        <f>IF(G18='Dataset'!$P$5,1,0)</f>
        <v>0</v>
      </c>
    </row>
    <row r="20">
      <c r="A20" s="63" t="inlineStr">
        <is>
          <t xml:space="preserve">Enemy (1) — the other class</t>
        </is>
      </c>
      <c r="B20" s="76">
        <f>1-B19</f>
        <v>0</v>
      </c>
      <c r="C20" s="76">
        <f>1-C19</f>
        <v>0</v>
      </c>
      <c r="D20" s="76">
        <f>1-D19</f>
        <v>1</v>
      </c>
      <c r="E20" s="76">
        <f>1-E19</f>
        <v>1</v>
      </c>
      <c r="F20" s="76">
        <f>1-F19</f>
        <v>0</v>
      </c>
      <c r="G20" s="76">
        <f>1-G19</f>
        <v>1</v>
      </c>
    </row>
    <row r="21">
      <c r="A21" s="63" t="inlineStr">
        <is>
          <t xml:space="preserve">Nearest enemy → r(Sᵢ)</t>
        </is>
      </c>
      <c r="B21" s="79" t="str">
        <f>IF(B$14=IFERROR(MATCH(1,$B$20:$G$20,0),0),"r","")</f>
        <v/>
      </c>
      <c r="C21" s="79" t="str">
        <f>IF(C$14=IFERROR(MATCH(1,$B$20:$G$20,0),0),"r","")</f>
        <v/>
      </c>
      <c r="D21" s="79" t="str">
        <f>IF(D$14=IFERROR(MATCH(1,$B$20:$G$20,0),0),"r","")</f>
        <v>r</v>
      </c>
      <c r="E21" s="79" t="str">
        <f>IF(E$14=IFERROR(MATCH(1,$B$20:$G$20,0),0),"r","")</f>
        <v/>
      </c>
      <c r="F21" s="79" t="str">
        <f>IF(F$14=IFERROR(MATCH(1,$B$20:$G$20,0),0),"r","")</f>
        <v/>
      </c>
      <c r="G21" s="79" t="str">
        <f>IF(G$14=IFERROR(MATCH(1,$B$20:$G$20,0),0),"r","")</f>
        <v/>
      </c>
    </row>
    <row r="22">
      <c r="A22" s="63" t="inlineStr">
        <is>
          <t xml:space="preserve">Own class inside the enemy sphere: ρ &lt; r(Sᵢ)</t>
        </is>
      </c>
      <c r="B22" s="76">
        <f>IF(AND(B19=1,B17&lt;'ERDR Characteristics'!$D$5),1,0)</f>
        <v>1</v>
      </c>
      <c r="C22" s="76">
        <f>IF(AND(C19=1,C17&lt;'ERDR Characteristics'!$D$5),1,0)</f>
        <v>1</v>
      </c>
      <c r="D22" s="76">
        <f>IF(AND(D19=1,D17&lt;'ERDR Characteristics'!$D$5),1,0)</f>
        <v>0</v>
      </c>
      <c r="E22" s="76">
        <f>IF(AND(E19=1,E17&lt;'ERDR Characteristics'!$D$5),1,0)</f>
        <v>0</v>
      </c>
      <c r="F22" s="76">
        <f>IF(AND(F19=1,F17&lt;'ERDR Characteristics'!$D$5),1,0)</f>
        <v>0</v>
      </c>
      <c r="G22" s="76">
        <f>IF(AND(G19=1,G17&lt;'ERDR Characteristics'!$D$5),1,0)</f>
        <v>0</v>
      </c>
    </row>
    <row r="23">
      <c r="A23" s="63" t="inlineStr">
        <is>
          <t xml:space="preserve">k-th neighbour → z(Sᵢ, k)</t>
        </is>
      </c>
      <c r="B23" s="79" t="str">
        <f>IF(B$14='Parameters'!$B$12,"z","")</f>
        <v/>
      </c>
      <c r="C23" s="79" t="str">
        <f>IF(C$14='Parameters'!$B$12,"z","")</f>
        <v/>
      </c>
      <c r="D23" s="79" t="str">
        <f>IF(D$14='Parameters'!$B$12,"z","")</f>
        <v>z</v>
      </c>
      <c r="E23" s="79" t="str">
        <f>IF(E$14='Parameters'!$B$12,"z","")</f>
        <v/>
      </c>
      <c r="F23" s="79" t="str">
        <f>IF(F$14='Parameters'!$B$12,"z","")</f>
        <v/>
      </c>
      <c r="G23" s="79" t="str">
        <f>IF(G$14='Parameters'!$B$12,"z","")</f>
        <v/>
      </c>
    </row>
    <row r="24"/>
    <row r="25">
      <c r="A25" s="59" t="str">
        <f>"S₂  ·  class "&amp;'Dataset'!$P$6&amp;"  ·  neighbours by ascending ρ  ·  r = "&amp;TEXT('ERDR Characteristics'!$D$6,"0.0000")&amp;",  z = "&amp;TEXT('ERDR Characteristics'!$H$6,"0.0000")&amp;",  g = "&amp;'ERDR Characteristics'!$E$6</f>
        <v>S₂  ·  class 2  ·  neighbours by ascending ρ  ·  r = 7.4700,  z = 6.3692,  g = 4</v>
      </c>
      <c r="B25" s="59"/>
      <c r="C25" s="59"/>
      <c r="D25" s="59"/>
      <c r="E25" s="59"/>
      <c r="F25" s="59"/>
      <c r="G25" s="59"/>
    </row>
    <row r="26">
      <c r="A26" s="60" t="inlineStr">
        <is>
          <t xml:space="preserve">Rank</t>
        </is>
      </c>
      <c r="B26" s="60">
        <v>1</v>
      </c>
      <c r="C26" s="60">
        <v>2</v>
      </c>
      <c r="D26" s="60">
        <v>3</v>
      </c>
      <c r="E26" s="60">
        <v>4</v>
      </c>
      <c r="F26" s="60">
        <v>5</v>
      </c>
      <c r="G26" s="60">
        <v>6</v>
      </c>
    </row>
    <row r="27">
      <c r="A27" s="63" t="inlineStr">
        <is>
          <t xml:space="preserve">Neighbour</t>
        </is>
      </c>
      <c r="B27" s="62" t="str">
        <f>INDEX('Zhuravlev Distances'!$B$4:$H$4,B28)</f>
        <v>S₁</v>
      </c>
      <c r="C27" s="62" t="str">
        <f>INDEX('Zhuravlev Distances'!$B$4:$H$4,C28)</f>
        <v>S₅</v>
      </c>
      <c r="D27" s="62" t="str">
        <f>INDEX('Zhuravlev Distances'!$B$4:$H$4,D28)</f>
        <v>S₄</v>
      </c>
      <c r="E27" s="62" t="str">
        <f>INDEX('Zhuravlev Distances'!$B$4:$H$4,E28)</f>
        <v>S₃</v>
      </c>
      <c r="F27" s="62" t="str">
        <f>INDEX('Zhuravlev Distances'!$B$4:$H$4,F28)</f>
        <v>S₇</v>
      </c>
      <c r="G27" s="62" t="str">
        <f>INDEX('Zhuravlev Distances'!$B$4:$H$4,G28)</f>
        <v>S₆</v>
      </c>
    </row>
    <row r="28">
      <c r="A28" s="63" t="inlineStr">
        <is>
          <t xml:space="preserve">Index in the dataset</t>
        </is>
      </c>
      <c r="B28" s="78">
        <f>MATCH(B$26,$B$6:$H$6,0)</f>
        <v>1</v>
      </c>
      <c r="C28" s="78">
        <f>MATCH(C$26,$B$6:$H$6,0)</f>
        <v>5</v>
      </c>
      <c r="D28" s="78">
        <f>MATCH(D$26,$B$6:$H$6,0)</f>
        <v>4</v>
      </c>
      <c r="E28" s="78">
        <f>MATCH(E$26,$B$6:$H$6,0)</f>
        <v>3</v>
      </c>
      <c r="F28" s="78">
        <f>MATCH(F$26,$B$6:$H$6,0)</f>
        <v>7</v>
      </c>
      <c r="G28" s="78">
        <f>MATCH(G$26,$B$6:$H$6,0)</f>
        <v>6</v>
      </c>
    </row>
    <row r="29">
      <c r="A29" s="63" t="inlineStr">
        <is>
          <t xml:space="preserve">ρ(S₂, neighbour)</t>
        </is>
      </c>
      <c r="B29" s="73">
        <f>INDEX('Zhuravlev Distances'!$B$6:$H$6,B28)</f>
        <v>4.6606100796</v>
      </c>
      <c r="C29" s="73">
        <f>INDEX('Zhuravlev Distances'!$B$6:$H$6,C28)</f>
        <v>6.104089157</v>
      </c>
      <c r="D29" s="73">
        <f>INDEX('Zhuravlev Distances'!$B$6:$H$6,D28)</f>
        <v>6.3691657565</v>
      </c>
      <c r="E29" s="73">
        <f>INDEX('Zhuravlev Distances'!$B$6:$H$6,E28)</f>
        <v>7.4699698919</v>
      </c>
      <c r="F29" s="73">
        <f>INDEX('Zhuravlev Distances'!$B$6:$H$6,F28)</f>
        <v>7.7855937542</v>
      </c>
      <c r="G29" s="73">
        <f>INDEX('Zhuravlev Distances'!$B$6:$H$6,G28)</f>
        <v>8.742951174</v>
      </c>
    </row>
    <row r="30">
      <c r="A30" s="63" t="inlineStr">
        <is>
          <t xml:space="preserve">Class</t>
        </is>
      </c>
      <c r="B30" s="68">
        <f>INDEX('Dataset'!$P$5:$P$11,B28)</f>
        <v>2</v>
      </c>
      <c r="C30" s="68">
        <f>INDEX('Dataset'!$P$5:$P$11,C28)</f>
        <v>2</v>
      </c>
      <c r="D30" s="68">
        <f>INDEX('Dataset'!$P$5:$P$11,D28)</f>
        <v>2</v>
      </c>
      <c r="E30" s="68">
        <f>INDEX('Dataset'!$P$5:$P$11,E28)</f>
        <v>1</v>
      </c>
      <c r="F30" s="68">
        <f>INDEX('Dataset'!$P$5:$P$11,F28)</f>
        <v>1</v>
      </c>
      <c r="G30" s="68">
        <f>INDEX('Dataset'!$P$5:$P$11,G28)</f>
        <v>1</v>
      </c>
    </row>
    <row r="31">
      <c r="A31" s="63" t="inlineStr">
        <is>
          <t xml:space="preserve">Own class (1) — same class as S₂</t>
        </is>
      </c>
      <c r="B31" s="76">
        <f>IF(B30='Dataset'!$P$6,1,0)</f>
        <v>1</v>
      </c>
      <c r="C31" s="76">
        <f>IF(C30='Dataset'!$P$6,1,0)</f>
        <v>1</v>
      </c>
      <c r="D31" s="76">
        <f>IF(D30='Dataset'!$P$6,1,0)</f>
        <v>1</v>
      </c>
      <c r="E31" s="76">
        <f>IF(E30='Dataset'!$P$6,1,0)</f>
        <v>0</v>
      </c>
      <c r="F31" s="76">
        <f>IF(F30='Dataset'!$P$6,1,0)</f>
        <v>0</v>
      </c>
      <c r="G31" s="76">
        <f>IF(G30='Dataset'!$P$6,1,0)</f>
        <v>0</v>
      </c>
    </row>
    <row r="32">
      <c r="A32" s="63" t="inlineStr">
        <is>
          <t xml:space="preserve">Enemy (1) — the other class</t>
        </is>
      </c>
      <c r="B32" s="76">
        <f>1-B31</f>
        <v>0</v>
      </c>
      <c r="C32" s="76">
        <f>1-C31</f>
        <v>0</v>
      </c>
      <c r="D32" s="76">
        <f>1-D31</f>
        <v>0</v>
      </c>
      <c r="E32" s="76">
        <f>1-E31</f>
        <v>1</v>
      </c>
      <c r="F32" s="76">
        <f>1-F31</f>
        <v>1</v>
      </c>
      <c r="G32" s="76">
        <f>1-G31</f>
        <v>1</v>
      </c>
    </row>
    <row r="33">
      <c r="A33" s="63" t="inlineStr">
        <is>
          <t xml:space="preserve">Nearest enemy → r(Sᵢ)</t>
        </is>
      </c>
      <c r="B33" s="79" t="str">
        <f>IF(B$26=IFERROR(MATCH(1,$B$32:$G$32,0),0),"r","")</f>
        <v/>
      </c>
      <c r="C33" s="79" t="str">
        <f>IF(C$26=IFERROR(MATCH(1,$B$32:$G$32,0),0),"r","")</f>
        <v/>
      </c>
      <c r="D33" s="79" t="str">
        <f>IF(D$26=IFERROR(MATCH(1,$B$32:$G$32,0),0),"r","")</f>
        <v/>
      </c>
      <c r="E33" s="79" t="str">
        <f>IF(E$26=IFERROR(MATCH(1,$B$32:$G$32,0),0),"r","")</f>
        <v>r</v>
      </c>
      <c r="F33" s="79" t="str">
        <f>IF(F$26=IFERROR(MATCH(1,$B$32:$G$32,0),0),"r","")</f>
        <v/>
      </c>
      <c r="G33" s="79" t="str">
        <f>IF(G$26=IFERROR(MATCH(1,$B$32:$G$32,0),0),"r","")</f>
        <v/>
      </c>
    </row>
    <row r="34">
      <c r="A34" s="63" t="inlineStr">
        <is>
          <t xml:space="preserve">Own class inside the enemy sphere: ρ &lt; r(Sᵢ)</t>
        </is>
      </c>
      <c r="B34" s="76">
        <f>IF(AND(B31=1,B29&lt;'ERDR Characteristics'!$D$6),1,0)</f>
        <v>1</v>
      </c>
      <c r="C34" s="76">
        <f>IF(AND(C31=1,C29&lt;'ERDR Characteristics'!$D$6),1,0)</f>
        <v>1</v>
      </c>
      <c r="D34" s="76">
        <f>IF(AND(D31=1,D29&lt;'ERDR Characteristics'!$D$6),1,0)</f>
        <v>1</v>
      </c>
      <c r="E34" s="76">
        <f>IF(AND(E31=1,E29&lt;'ERDR Characteristics'!$D$6),1,0)</f>
        <v>0</v>
      </c>
      <c r="F34" s="76">
        <f>IF(AND(F31=1,F29&lt;'ERDR Characteristics'!$D$6),1,0)</f>
        <v>0</v>
      </c>
      <c r="G34" s="76">
        <f>IF(AND(G31=1,G29&lt;'ERDR Characteristics'!$D$6),1,0)</f>
        <v>0</v>
      </c>
    </row>
    <row r="35">
      <c r="A35" s="63" t="inlineStr">
        <is>
          <t xml:space="preserve">k-th neighbour → z(Sᵢ, k)</t>
        </is>
      </c>
      <c r="B35" s="79" t="str">
        <f>IF(B$26='Parameters'!$B$12,"z","")</f>
        <v/>
      </c>
      <c r="C35" s="79" t="str">
        <f>IF(C$26='Parameters'!$B$12,"z","")</f>
        <v/>
      </c>
      <c r="D35" s="79" t="str">
        <f>IF(D$26='Parameters'!$B$12,"z","")</f>
        <v>z</v>
      </c>
      <c r="E35" s="79" t="str">
        <f>IF(E$26='Parameters'!$B$12,"z","")</f>
        <v/>
      </c>
      <c r="F35" s="79" t="str">
        <f>IF(F$26='Parameters'!$B$12,"z","")</f>
        <v/>
      </c>
      <c r="G35" s="79" t="str">
        <f>IF(G$26='Parameters'!$B$12,"z","")</f>
        <v/>
      </c>
    </row>
    <row r="36"/>
    <row r="37">
      <c r="A37" s="59" t="str">
        <f>"S₃  ·  class "&amp;'Dataset'!$P$7&amp;"  ·  neighbours by ascending ρ  ·  r = "&amp;TEXT('ERDR Characteristics'!$D$7,"0.0000")&amp;",  z = "&amp;TEXT('ERDR Characteristics'!$H$7,"0.0000")&amp;",  g = "&amp;'ERDR Characteristics'!$E$7</f>
        <v>S₃  ·  class 1  ·  neighbours by ascending ρ  ·  r = 5.6071,  z = 5.6071,  g = 3</v>
      </c>
      <c r="B37" s="59"/>
      <c r="C37" s="59"/>
      <c r="D37" s="59"/>
      <c r="E37" s="59"/>
      <c r="F37" s="59"/>
      <c r="G37" s="59"/>
    </row>
    <row r="38">
      <c r="A38" s="60" t="inlineStr">
        <is>
          <t xml:space="preserve">Rank</t>
        </is>
      </c>
      <c r="B38" s="60">
        <v>1</v>
      </c>
      <c r="C38" s="60">
        <v>2</v>
      </c>
      <c r="D38" s="60">
        <v>3</v>
      </c>
      <c r="E38" s="60">
        <v>4</v>
      </c>
      <c r="F38" s="60">
        <v>5</v>
      </c>
      <c r="G38" s="60">
        <v>6</v>
      </c>
    </row>
    <row r="39">
      <c r="A39" s="63" t="inlineStr">
        <is>
          <t xml:space="preserve">Neighbour</t>
        </is>
      </c>
      <c r="B39" s="62" t="str">
        <f>INDEX('Zhuravlev Distances'!$B$4:$H$4,B40)</f>
        <v>S₇</v>
      </c>
      <c r="C39" s="62" t="str">
        <f>INDEX('Zhuravlev Distances'!$B$4:$H$4,C40)</f>
        <v>S₆</v>
      </c>
      <c r="D39" s="62" t="str">
        <f>INDEX('Zhuravlev Distances'!$B$4:$H$4,D40)</f>
        <v>S₁</v>
      </c>
      <c r="E39" s="62" t="str">
        <f>INDEX('Zhuravlev Distances'!$B$4:$H$4,E40)</f>
        <v>S₄</v>
      </c>
      <c r="F39" s="62" t="str">
        <f>INDEX('Zhuravlev Distances'!$B$4:$H$4,F40)</f>
        <v>S₅</v>
      </c>
      <c r="G39" s="62" t="str">
        <f>INDEX('Zhuravlev Distances'!$B$4:$H$4,G40)</f>
        <v>S₂</v>
      </c>
    </row>
    <row r="40">
      <c r="A40" s="63" t="inlineStr">
        <is>
          <t xml:space="preserve">Index in the dataset</t>
        </is>
      </c>
      <c r="B40" s="78">
        <f>MATCH(B$38,$B$7:$H$7,0)</f>
        <v>7</v>
      </c>
      <c r="C40" s="78">
        <f>MATCH(C$38,$B$7:$H$7,0)</f>
        <v>6</v>
      </c>
      <c r="D40" s="78">
        <f>MATCH(D$38,$B$7:$H$7,0)</f>
        <v>1</v>
      </c>
      <c r="E40" s="78">
        <f>MATCH(E$38,$B$7:$H$7,0)</f>
        <v>4</v>
      </c>
      <c r="F40" s="78">
        <f>MATCH(F$38,$B$7:$H$7,0)</f>
        <v>5</v>
      </c>
      <c r="G40" s="78">
        <f>MATCH(G$38,$B$7:$H$7,0)</f>
        <v>2</v>
      </c>
    </row>
    <row r="41">
      <c r="A41" s="63" t="inlineStr">
        <is>
          <t xml:space="preserve">ρ(S₃, neighbour)</t>
        </is>
      </c>
      <c r="B41" s="73">
        <f>INDEX('Zhuravlev Distances'!$B$7:$H$7,B40)</f>
        <v>2.7849754107</v>
      </c>
      <c r="C41" s="73">
        <f>INDEX('Zhuravlev Distances'!$B$7:$H$7,C40)</f>
        <v>5.2172783643</v>
      </c>
      <c r="D41" s="73">
        <f>INDEX('Zhuravlev Distances'!$B$7:$H$7,D40)</f>
        <v>5.60708061</v>
      </c>
      <c r="E41" s="73">
        <f>INDEX('Zhuravlev Distances'!$B$7:$H$7,E40)</f>
        <v>6.2175670209</v>
      </c>
      <c r="F41" s="73">
        <f>INDEX('Zhuravlev Distances'!$B$7:$H$7,F40)</f>
        <v>7.3117496807</v>
      </c>
      <c r="G41" s="73">
        <f>INDEX('Zhuravlev Distances'!$B$7:$H$7,G40)</f>
        <v>7.4699698919</v>
      </c>
    </row>
    <row r="42">
      <c r="A42" s="63" t="inlineStr">
        <is>
          <t xml:space="preserve">Class</t>
        </is>
      </c>
      <c r="B42" s="68">
        <f>INDEX('Dataset'!$P$5:$P$11,B40)</f>
        <v>1</v>
      </c>
      <c r="C42" s="68">
        <f>INDEX('Dataset'!$P$5:$P$11,C40)</f>
        <v>1</v>
      </c>
      <c r="D42" s="68">
        <f>INDEX('Dataset'!$P$5:$P$11,D40)</f>
        <v>2</v>
      </c>
      <c r="E42" s="68">
        <f>INDEX('Dataset'!$P$5:$P$11,E40)</f>
        <v>2</v>
      </c>
      <c r="F42" s="68">
        <f>INDEX('Dataset'!$P$5:$P$11,F40)</f>
        <v>2</v>
      </c>
      <c r="G42" s="68">
        <f>INDEX('Dataset'!$P$5:$P$11,G40)</f>
        <v>2</v>
      </c>
    </row>
    <row r="43">
      <c r="A43" s="63" t="inlineStr">
        <is>
          <t xml:space="preserve">Own class (1) — same class as S₃</t>
        </is>
      </c>
      <c r="B43" s="76">
        <f>IF(B42='Dataset'!$P$7,1,0)</f>
        <v>1</v>
      </c>
      <c r="C43" s="76">
        <f>IF(C42='Dataset'!$P$7,1,0)</f>
        <v>1</v>
      </c>
      <c r="D43" s="76">
        <f>IF(D42='Dataset'!$P$7,1,0)</f>
        <v>0</v>
      </c>
      <c r="E43" s="76">
        <f>IF(E42='Dataset'!$P$7,1,0)</f>
        <v>0</v>
      </c>
      <c r="F43" s="76">
        <f>IF(F42='Dataset'!$P$7,1,0)</f>
        <v>0</v>
      </c>
      <c r="G43" s="76">
        <f>IF(G42='Dataset'!$P$7,1,0)</f>
        <v>0</v>
      </c>
    </row>
    <row r="44">
      <c r="A44" s="63" t="inlineStr">
        <is>
          <t xml:space="preserve">Enemy (1) — the other class</t>
        </is>
      </c>
      <c r="B44" s="76">
        <f>1-B43</f>
        <v>0</v>
      </c>
      <c r="C44" s="76">
        <f>1-C43</f>
        <v>0</v>
      </c>
      <c r="D44" s="76">
        <f>1-D43</f>
        <v>1</v>
      </c>
      <c r="E44" s="76">
        <f>1-E43</f>
        <v>1</v>
      </c>
      <c r="F44" s="76">
        <f>1-F43</f>
        <v>1</v>
      </c>
      <c r="G44" s="76">
        <f>1-G43</f>
        <v>1</v>
      </c>
    </row>
    <row r="45">
      <c r="A45" s="63" t="inlineStr">
        <is>
          <t xml:space="preserve">Nearest enemy → r(Sᵢ)</t>
        </is>
      </c>
      <c r="B45" s="79" t="str">
        <f>IF(B$38=IFERROR(MATCH(1,$B$44:$G$44,0),0),"r","")</f>
        <v/>
      </c>
      <c r="C45" s="79" t="str">
        <f>IF(C$38=IFERROR(MATCH(1,$B$44:$G$44,0),0),"r","")</f>
        <v/>
      </c>
      <c r="D45" s="79" t="str">
        <f>IF(D$38=IFERROR(MATCH(1,$B$44:$G$44,0),0),"r","")</f>
        <v>r</v>
      </c>
      <c r="E45" s="79" t="str">
        <f>IF(E$38=IFERROR(MATCH(1,$B$44:$G$44,0),0),"r","")</f>
        <v/>
      </c>
      <c r="F45" s="79" t="str">
        <f>IF(F$38=IFERROR(MATCH(1,$B$44:$G$44,0),0),"r","")</f>
        <v/>
      </c>
      <c r="G45" s="79" t="str">
        <f>IF(G$38=IFERROR(MATCH(1,$B$44:$G$44,0),0),"r","")</f>
        <v/>
      </c>
    </row>
    <row r="46">
      <c r="A46" s="63" t="inlineStr">
        <is>
          <t xml:space="preserve">Own class inside the enemy sphere: ρ &lt; r(Sᵢ)</t>
        </is>
      </c>
      <c r="B46" s="76">
        <f>IF(AND(B43=1,B41&lt;'ERDR Characteristics'!$D$7),1,0)</f>
        <v>1</v>
      </c>
      <c r="C46" s="76">
        <f>IF(AND(C43=1,C41&lt;'ERDR Characteristics'!$D$7),1,0)</f>
        <v>1</v>
      </c>
      <c r="D46" s="76">
        <f>IF(AND(D43=1,D41&lt;'ERDR Characteristics'!$D$7),1,0)</f>
        <v>0</v>
      </c>
      <c r="E46" s="76">
        <f>IF(AND(E43=1,E41&lt;'ERDR Characteristics'!$D$7),1,0)</f>
        <v>0</v>
      </c>
      <c r="F46" s="76">
        <f>IF(AND(F43=1,F41&lt;'ERDR Characteristics'!$D$7),1,0)</f>
        <v>0</v>
      </c>
      <c r="G46" s="76">
        <f>IF(AND(G43=1,G41&lt;'ERDR Characteristics'!$D$7),1,0)</f>
        <v>0</v>
      </c>
    </row>
    <row r="47">
      <c r="A47" s="63" t="inlineStr">
        <is>
          <t xml:space="preserve">k-th neighbour → z(Sᵢ, k)</t>
        </is>
      </c>
      <c r="B47" s="79" t="str">
        <f>IF(B$38='Parameters'!$B$12,"z","")</f>
        <v/>
      </c>
      <c r="C47" s="79" t="str">
        <f>IF(C$38='Parameters'!$B$12,"z","")</f>
        <v/>
      </c>
      <c r="D47" s="79" t="str">
        <f>IF(D$38='Parameters'!$B$12,"z","")</f>
        <v>z</v>
      </c>
      <c r="E47" s="79" t="str">
        <f>IF(E$38='Parameters'!$B$12,"z","")</f>
        <v/>
      </c>
      <c r="F47" s="79" t="str">
        <f>IF(F$38='Parameters'!$B$12,"z","")</f>
        <v/>
      </c>
      <c r="G47" s="79" t="str">
        <f>IF(G$38='Parameters'!$B$12,"z","")</f>
        <v/>
      </c>
    </row>
    <row r="48"/>
    <row r="49">
      <c r="A49" s="59" t="str">
        <f>"S₄  ·  class "&amp;'Dataset'!$P$8&amp;"  ·  neighbours by ascending ρ  ·  r = "&amp;TEXT('ERDR Characteristics'!$D$8,"0.0000")&amp;",  z = "&amp;TEXT('ERDR Characteristics'!$H$8,"0.0000")&amp;",  g = "&amp;'ERDR Characteristics'!$E$8</f>
        <v>S₄  ·  class 2  ·  neighbours by ascending ρ  ·  r = 3.7071,  z = 6.2176,  g = 1</v>
      </c>
      <c r="B49" s="59"/>
      <c r="C49" s="59"/>
      <c r="D49" s="59"/>
      <c r="E49" s="59"/>
      <c r="F49" s="59"/>
      <c r="G49" s="59"/>
    </row>
    <row r="50">
      <c r="A50" s="60" t="inlineStr">
        <is>
          <t xml:space="preserve">Rank</t>
        </is>
      </c>
      <c r="B50" s="60">
        <v>1</v>
      </c>
      <c r="C50" s="60">
        <v>2</v>
      </c>
      <c r="D50" s="60">
        <v>3</v>
      </c>
      <c r="E50" s="60">
        <v>4</v>
      </c>
      <c r="F50" s="60">
        <v>5</v>
      </c>
      <c r="G50" s="60">
        <v>6</v>
      </c>
    </row>
    <row r="51">
      <c r="A51" s="63" t="inlineStr">
        <is>
          <t xml:space="preserve">Neighbour</t>
        </is>
      </c>
      <c r="B51" s="62" t="str">
        <f>INDEX('Zhuravlev Distances'!$B$4:$H$4,B52)</f>
        <v>S₆</v>
      </c>
      <c r="C51" s="62" t="str">
        <f>INDEX('Zhuravlev Distances'!$B$4:$H$4,C52)</f>
        <v>S₇</v>
      </c>
      <c r="D51" s="62" t="str">
        <f>INDEX('Zhuravlev Distances'!$B$4:$H$4,D52)</f>
        <v>S₃</v>
      </c>
      <c r="E51" s="62" t="str">
        <f>INDEX('Zhuravlev Distances'!$B$4:$H$4,E52)</f>
        <v>S₂</v>
      </c>
      <c r="F51" s="62" t="str">
        <f>INDEX('Zhuravlev Distances'!$B$4:$H$4,F52)</f>
        <v>S₁</v>
      </c>
      <c r="G51" s="62" t="str">
        <f>INDEX('Zhuravlev Distances'!$B$4:$H$4,G52)</f>
        <v>S₅</v>
      </c>
    </row>
    <row r="52">
      <c r="A52" s="63" t="inlineStr">
        <is>
          <t xml:space="preserve">Index in the dataset</t>
        </is>
      </c>
      <c r="B52" s="78">
        <f>MATCH(B$50,$B$8:$H$8,0)</f>
        <v>6</v>
      </c>
      <c r="C52" s="78">
        <f>MATCH(C$50,$B$8:$H$8,0)</f>
        <v>7</v>
      </c>
      <c r="D52" s="78">
        <f>MATCH(D$50,$B$8:$H$8,0)</f>
        <v>3</v>
      </c>
      <c r="E52" s="78">
        <f>MATCH(E$50,$B$8:$H$8,0)</f>
        <v>2</v>
      </c>
      <c r="F52" s="78">
        <f>MATCH(F$50,$B$8:$H$8,0)</f>
        <v>1</v>
      </c>
      <c r="G52" s="78">
        <f>MATCH(G$50,$B$8:$H$8,0)</f>
        <v>5</v>
      </c>
    </row>
    <row r="53">
      <c r="A53" s="63" t="inlineStr">
        <is>
          <t xml:space="preserve">ρ(S₄, neighbour)</t>
        </is>
      </c>
      <c r="B53" s="73">
        <f>INDEX('Zhuravlev Distances'!$B$8:$H$8,B52)</f>
        <v>3.7071187508</v>
      </c>
      <c r="C53" s="73">
        <f>INDEX('Zhuravlev Distances'!$B$8:$H$8,C52)</f>
        <v>3.9109813746</v>
      </c>
      <c r="D53" s="73">
        <f>INDEX('Zhuravlev Distances'!$B$8:$H$8,D52)</f>
        <v>6.2175670209</v>
      </c>
      <c r="E53" s="73">
        <f>INDEX('Zhuravlev Distances'!$B$8:$H$8,E52)</f>
        <v>6.3691657565</v>
      </c>
      <c r="F53" s="73">
        <f>INDEX('Zhuravlev Distances'!$B$8:$H$8,F52)</f>
        <v>6.6272117335</v>
      </c>
      <c r="G53" s="73">
        <f>INDEX('Zhuravlev Distances'!$B$8:$H$8,G52)</f>
        <v>7.8491221835</v>
      </c>
    </row>
    <row r="54">
      <c r="A54" s="63" t="inlineStr">
        <is>
          <t xml:space="preserve">Class</t>
        </is>
      </c>
      <c r="B54" s="68">
        <f>INDEX('Dataset'!$P$5:$P$11,B52)</f>
        <v>1</v>
      </c>
      <c r="C54" s="68">
        <f>INDEX('Dataset'!$P$5:$P$11,C52)</f>
        <v>1</v>
      </c>
      <c r="D54" s="68">
        <f>INDEX('Dataset'!$P$5:$P$11,D52)</f>
        <v>1</v>
      </c>
      <c r="E54" s="68">
        <f>INDEX('Dataset'!$P$5:$P$11,E52)</f>
        <v>2</v>
      </c>
      <c r="F54" s="68">
        <f>INDEX('Dataset'!$P$5:$P$11,F52)</f>
        <v>2</v>
      </c>
      <c r="G54" s="68">
        <f>INDEX('Dataset'!$P$5:$P$11,G52)</f>
        <v>2</v>
      </c>
    </row>
    <row r="55">
      <c r="A55" s="63" t="inlineStr">
        <is>
          <t xml:space="preserve">Own class (1) — same class as S₄</t>
        </is>
      </c>
      <c r="B55" s="76">
        <f>IF(B54='Dataset'!$P$8,1,0)</f>
        <v>0</v>
      </c>
      <c r="C55" s="76">
        <f>IF(C54='Dataset'!$P$8,1,0)</f>
        <v>0</v>
      </c>
      <c r="D55" s="76">
        <f>IF(D54='Dataset'!$P$8,1,0)</f>
        <v>0</v>
      </c>
      <c r="E55" s="76">
        <f>IF(E54='Dataset'!$P$8,1,0)</f>
        <v>1</v>
      </c>
      <c r="F55" s="76">
        <f>IF(F54='Dataset'!$P$8,1,0)</f>
        <v>1</v>
      </c>
      <c r="G55" s="76">
        <f>IF(G54='Dataset'!$P$8,1,0)</f>
        <v>1</v>
      </c>
    </row>
    <row r="56">
      <c r="A56" s="63" t="inlineStr">
        <is>
          <t xml:space="preserve">Enemy (1) — the other class</t>
        </is>
      </c>
      <c r="B56" s="76">
        <f>1-B55</f>
        <v>1</v>
      </c>
      <c r="C56" s="76">
        <f>1-C55</f>
        <v>1</v>
      </c>
      <c r="D56" s="76">
        <f>1-D55</f>
        <v>1</v>
      </c>
      <c r="E56" s="76">
        <f>1-E55</f>
        <v>0</v>
      </c>
      <c r="F56" s="76">
        <f>1-F55</f>
        <v>0</v>
      </c>
      <c r="G56" s="76">
        <f>1-G55</f>
        <v>0</v>
      </c>
    </row>
    <row r="57">
      <c r="A57" s="63" t="inlineStr">
        <is>
          <t xml:space="preserve">Nearest enemy → r(Sᵢ)</t>
        </is>
      </c>
      <c r="B57" s="79" t="str">
        <f>IF(B$50=IFERROR(MATCH(1,$B$56:$G$56,0),0),"r","")</f>
        <v>r</v>
      </c>
      <c r="C57" s="79" t="str">
        <f>IF(C$50=IFERROR(MATCH(1,$B$56:$G$56,0),0),"r","")</f>
        <v/>
      </c>
      <c r="D57" s="79" t="str">
        <f>IF(D$50=IFERROR(MATCH(1,$B$56:$G$56,0),0),"r","")</f>
        <v/>
      </c>
      <c r="E57" s="79" t="str">
        <f>IF(E$50=IFERROR(MATCH(1,$B$56:$G$56,0),0),"r","")</f>
        <v/>
      </c>
      <c r="F57" s="79" t="str">
        <f>IF(F$50=IFERROR(MATCH(1,$B$56:$G$56,0),0),"r","")</f>
        <v/>
      </c>
      <c r="G57" s="79" t="str">
        <f>IF(G$50=IFERROR(MATCH(1,$B$56:$G$56,0),0),"r","")</f>
        <v/>
      </c>
    </row>
    <row r="58">
      <c r="A58" s="63" t="inlineStr">
        <is>
          <t xml:space="preserve">Own class inside the enemy sphere: ρ &lt; r(Sᵢ)</t>
        </is>
      </c>
      <c r="B58" s="76">
        <f>IF(AND(B55=1,B53&lt;'ERDR Characteristics'!$D$8),1,0)</f>
        <v>0</v>
      </c>
      <c r="C58" s="76">
        <f>IF(AND(C55=1,C53&lt;'ERDR Characteristics'!$D$8),1,0)</f>
        <v>0</v>
      </c>
      <c r="D58" s="76">
        <f>IF(AND(D55=1,D53&lt;'ERDR Characteristics'!$D$8),1,0)</f>
        <v>0</v>
      </c>
      <c r="E58" s="76">
        <f>IF(AND(E55=1,E53&lt;'ERDR Characteristics'!$D$8),1,0)</f>
        <v>0</v>
      </c>
      <c r="F58" s="76">
        <f>IF(AND(F55=1,F53&lt;'ERDR Characteristics'!$D$8),1,0)</f>
        <v>0</v>
      </c>
      <c r="G58" s="76">
        <f>IF(AND(G55=1,G53&lt;'ERDR Characteristics'!$D$8),1,0)</f>
        <v>0</v>
      </c>
    </row>
    <row r="59">
      <c r="A59" s="63" t="inlineStr">
        <is>
          <t xml:space="preserve">k-th neighbour → z(Sᵢ, k)</t>
        </is>
      </c>
      <c r="B59" s="79" t="str">
        <f>IF(B$50='Parameters'!$B$12,"z","")</f>
        <v/>
      </c>
      <c r="C59" s="79" t="str">
        <f>IF(C$50='Parameters'!$B$12,"z","")</f>
        <v/>
      </c>
      <c r="D59" s="79" t="str">
        <f>IF(D$50='Parameters'!$B$12,"z","")</f>
        <v>z</v>
      </c>
      <c r="E59" s="79" t="str">
        <f>IF(E$50='Parameters'!$B$12,"z","")</f>
        <v/>
      </c>
      <c r="F59" s="79" t="str">
        <f>IF(F$50='Parameters'!$B$12,"z","")</f>
        <v/>
      </c>
      <c r="G59" s="79" t="str">
        <f>IF(G$50='Parameters'!$B$12,"z","")</f>
        <v/>
      </c>
    </row>
    <row r="60"/>
    <row r="61">
      <c r="A61" s="59" t="str">
        <f>"S₅  ·  class "&amp;'Dataset'!$P$9&amp;"  ·  neighbours by ascending ρ  ·  r = "&amp;TEXT('ERDR Characteristics'!$D$9,"0.0000")&amp;",  z = "&amp;TEXT('ERDR Characteristics'!$H$9,"0.0000")&amp;",  g = "&amp;'ERDR Characteristics'!$E$9</f>
        <v>S₅  ·  class 2  ·  neighbours by ascending ρ  ·  r = 7.1117,  z = 7.1117,  g = 3</v>
      </c>
      <c r="B61" s="59"/>
      <c r="C61" s="59"/>
      <c r="D61" s="59"/>
      <c r="E61" s="59"/>
      <c r="F61" s="59"/>
      <c r="G61" s="59"/>
    </row>
    <row r="62">
      <c r="A62" s="60" t="inlineStr">
        <is>
          <t xml:space="preserve">Rank</t>
        </is>
      </c>
      <c r="B62" s="60">
        <v>1</v>
      </c>
      <c r="C62" s="60">
        <v>2</v>
      </c>
      <c r="D62" s="60">
        <v>3</v>
      </c>
      <c r="E62" s="60">
        <v>4</v>
      </c>
      <c r="F62" s="60">
        <v>5</v>
      </c>
      <c r="G62" s="60">
        <v>6</v>
      </c>
    </row>
    <row r="63">
      <c r="A63" s="63" t="inlineStr">
        <is>
          <t xml:space="preserve">Neighbour</t>
        </is>
      </c>
      <c r="B63" s="62" t="str">
        <f>INDEX('Zhuravlev Distances'!$B$4:$H$4,B64)</f>
        <v>S₁</v>
      </c>
      <c r="C63" s="62" t="str">
        <f>INDEX('Zhuravlev Distances'!$B$4:$H$4,C64)</f>
        <v>S₂</v>
      </c>
      <c r="D63" s="62" t="str">
        <f>INDEX('Zhuravlev Distances'!$B$4:$H$4,D64)</f>
        <v>S₇</v>
      </c>
      <c r="E63" s="62" t="str">
        <f>INDEX('Zhuravlev Distances'!$B$4:$H$4,E64)</f>
        <v>S₃</v>
      </c>
      <c r="F63" s="62" t="str">
        <f>INDEX('Zhuravlev Distances'!$B$4:$H$4,F64)</f>
        <v>S₄</v>
      </c>
      <c r="G63" s="62" t="str">
        <f>INDEX('Zhuravlev Distances'!$B$4:$H$4,G64)</f>
        <v>S₆</v>
      </c>
    </row>
    <row r="64">
      <c r="A64" s="63" t="inlineStr">
        <is>
          <t xml:space="preserve">Index in the dataset</t>
        </is>
      </c>
      <c r="B64" s="78">
        <f>MATCH(B$62,$B$9:$H$9,0)</f>
        <v>1</v>
      </c>
      <c r="C64" s="78">
        <f>MATCH(C$62,$B$9:$H$9,0)</f>
        <v>2</v>
      </c>
      <c r="D64" s="78">
        <f>MATCH(D$62,$B$9:$H$9,0)</f>
        <v>7</v>
      </c>
      <c r="E64" s="78">
        <f>MATCH(E$62,$B$9:$H$9,0)</f>
        <v>3</v>
      </c>
      <c r="F64" s="78">
        <f>MATCH(F$62,$B$9:$H$9,0)</f>
        <v>4</v>
      </c>
      <c r="G64" s="78">
        <f>MATCH(G$62,$B$9:$H$9,0)</f>
        <v>6</v>
      </c>
    </row>
    <row r="65">
      <c r="A65" s="63" t="inlineStr">
        <is>
          <t xml:space="preserve">ρ(S₅, neighbour)</t>
        </is>
      </c>
      <c r="B65" s="73">
        <f>INDEX('Zhuravlev Distances'!$B$9:$H$9,B64)</f>
        <v>4.8565209225</v>
      </c>
      <c r="C65" s="73">
        <f>INDEX('Zhuravlev Distances'!$B$9:$H$9,C64)</f>
        <v>6.104089157</v>
      </c>
      <c r="D65" s="73">
        <f>INDEX('Zhuravlev Distances'!$B$9:$H$9,D64)</f>
        <v>7.1117040273</v>
      </c>
      <c r="E65" s="73">
        <f>INDEX('Zhuravlev Distances'!$B$9:$H$9,E64)</f>
        <v>7.3117496807</v>
      </c>
      <c r="F65" s="73">
        <f>INDEX('Zhuravlev Distances'!$B$9:$H$9,F64)</f>
        <v>7.8491221835</v>
      </c>
      <c r="G65" s="73">
        <f>INDEX('Zhuravlev Distances'!$B$9:$H$9,G64)</f>
        <v>9.0234774016</v>
      </c>
    </row>
    <row r="66">
      <c r="A66" s="63" t="inlineStr">
        <is>
          <t xml:space="preserve">Class</t>
        </is>
      </c>
      <c r="B66" s="68">
        <f>INDEX('Dataset'!$P$5:$P$11,B64)</f>
        <v>2</v>
      </c>
      <c r="C66" s="68">
        <f>INDEX('Dataset'!$P$5:$P$11,C64)</f>
        <v>2</v>
      </c>
      <c r="D66" s="68">
        <f>INDEX('Dataset'!$P$5:$P$11,D64)</f>
        <v>1</v>
      </c>
      <c r="E66" s="68">
        <f>INDEX('Dataset'!$P$5:$P$11,E64)</f>
        <v>1</v>
      </c>
      <c r="F66" s="68">
        <f>INDEX('Dataset'!$P$5:$P$11,F64)</f>
        <v>2</v>
      </c>
      <c r="G66" s="68">
        <f>INDEX('Dataset'!$P$5:$P$11,G64)</f>
        <v>1</v>
      </c>
    </row>
    <row r="67">
      <c r="A67" s="63" t="inlineStr">
        <is>
          <t xml:space="preserve">Own class (1) — same class as S₅</t>
        </is>
      </c>
      <c r="B67" s="76">
        <f>IF(B66='Dataset'!$P$9,1,0)</f>
        <v>1</v>
      </c>
      <c r="C67" s="76">
        <f>IF(C66='Dataset'!$P$9,1,0)</f>
        <v>1</v>
      </c>
      <c r="D67" s="76">
        <f>IF(D66='Dataset'!$P$9,1,0)</f>
        <v>0</v>
      </c>
      <c r="E67" s="76">
        <f>IF(E66='Dataset'!$P$9,1,0)</f>
        <v>0</v>
      </c>
      <c r="F67" s="76">
        <f>IF(F66='Dataset'!$P$9,1,0)</f>
        <v>1</v>
      </c>
      <c r="G67" s="76">
        <f>IF(G66='Dataset'!$P$9,1,0)</f>
        <v>0</v>
      </c>
    </row>
    <row r="68">
      <c r="A68" s="63" t="inlineStr">
        <is>
          <t xml:space="preserve">Enemy (1) — the other class</t>
        </is>
      </c>
      <c r="B68" s="76">
        <f>1-B67</f>
        <v>0</v>
      </c>
      <c r="C68" s="76">
        <f>1-C67</f>
        <v>0</v>
      </c>
      <c r="D68" s="76">
        <f>1-D67</f>
        <v>1</v>
      </c>
      <c r="E68" s="76">
        <f>1-E67</f>
        <v>1</v>
      </c>
      <c r="F68" s="76">
        <f>1-F67</f>
        <v>0</v>
      </c>
      <c r="G68" s="76">
        <f>1-G67</f>
        <v>1</v>
      </c>
    </row>
    <row r="69">
      <c r="A69" s="63" t="inlineStr">
        <is>
          <t xml:space="preserve">Nearest enemy → r(Sᵢ)</t>
        </is>
      </c>
      <c r="B69" s="79" t="str">
        <f>IF(B$62=IFERROR(MATCH(1,$B$68:$G$68,0),0),"r","")</f>
        <v/>
      </c>
      <c r="C69" s="79" t="str">
        <f>IF(C$62=IFERROR(MATCH(1,$B$68:$G$68,0),0),"r","")</f>
        <v/>
      </c>
      <c r="D69" s="79" t="str">
        <f>IF(D$62=IFERROR(MATCH(1,$B$68:$G$68,0),0),"r","")</f>
        <v>r</v>
      </c>
      <c r="E69" s="79" t="str">
        <f>IF(E$62=IFERROR(MATCH(1,$B$68:$G$68,0),0),"r","")</f>
        <v/>
      </c>
      <c r="F69" s="79" t="str">
        <f>IF(F$62=IFERROR(MATCH(1,$B$68:$G$68,0),0),"r","")</f>
        <v/>
      </c>
      <c r="G69" s="79" t="str">
        <f>IF(G$62=IFERROR(MATCH(1,$B$68:$G$68,0),0),"r","")</f>
        <v/>
      </c>
    </row>
    <row r="70">
      <c r="A70" s="63" t="inlineStr">
        <is>
          <t xml:space="preserve">Own class inside the enemy sphere: ρ &lt; r(Sᵢ)</t>
        </is>
      </c>
      <c r="B70" s="76">
        <f>IF(AND(B67=1,B65&lt;'ERDR Characteristics'!$D$9),1,0)</f>
        <v>1</v>
      </c>
      <c r="C70" s="76">
        <f>IF(AND(C67=1,C65&lt;'ERDR Characteristics'!$D$9),1,0)</f>
        <v>1</v>
      </c>
      <c r="D70" s="76">
        <f>IF(AND(D67=1,D65&lt;'ERDR Characteristics'!$D$9),1,0)</f>
        <v>0</v>
      </c>
      <c r="E70" s="76">
        <f>IF(AND(E67=1,E65&lt;'ERDR Characteristics'!$D$9),1,0)</f>
        <v>0</v>
      </c>
      <c r="F70" s="76">
        <f>IF(AND(F67=1,F65&lt;'ERDR Characteristics'!$D$9),1,0)</f>
        <v>0</v>
      </c>
      <c r="G70" s="76">
        <f>IF(AND(G67=1,G65&lt;'ERDR Characteristics'!$D$9),1,0)</f>
        <v>0</v>
      </c>
    </row>
    <row r="71">
      <c r="A71" s="63" t="inlineStr">
        <is>
          <t xml:space="preserve">k-th neighbour → z(Sᵢ, k)</t>
        </is>
      </c>
      <c r="B71" s="79" t="str">
        <f>IF(B$62='Parameters'!$B$12,"z","")</f>
        <v/>
      </c>
      <c r="C71" s="79" t="str">
        <f>IF(C$62='Parameters'!$B$12,"z","")</f>
        <v/>
      </c>
      <c r="D71" s="79" t="str">
        <f>IF(D$62='Parameters'!$B$12,"z","")</f>
        <v>z</v>
      </c>
      <c r="E71" s="79" t="str">
        <f>IF(E$62='Parameters'!$B$12,"z","")</f>
        <v/>
      </c>
      <c r="F71" s="79" t="str">
        <f>IF(F$62='Parameters'!$B$12,"z","")</f>
        <v/>
      </c>
      <c r="G71" s="79" t="str">
        <f>IF(G$62='Parameters'!$B$12,"z","")</f>
        <v/>
      </c>
    </row>
    <row r="72"/>
    <row r="73">
      <c r="A73" s="59" t="str">
        <f>"S₆  ·  class "&amp;'Dataset'!$P$10&amp;"  ·  neighbours by ascending ρ  ·  r = "&amp;TEXT('ERDR Characteristics'!$D$10,"0.0000")&amp;",  z = "&amp;TEXT('ERDR Characteristics'!$H$10,"0.0000")&amp;",  g = "&amp;'ERDR Characteristics'!$E$10</f>
        <v>S₆  ·  class 1  ·  neighbours by ascending ρ  ·  r = 3.7071,  z = 5.2173,  g = 1</v>
      </c>
      <c r="B73" s="59"/>
      <c r="C73" s="59"/>
      <c r="D73" s="59"/>
      <c r="E73" s="59"/>
      <c r="F73" s="59"/>
      <c r="G73" s="59"/>
    </row>
    <row r="74">
      <c r="A74" s="60" t="inlineStr">
        <is>
          <t xml:space="preserve">Rank</t>
        </is>
      </c>
      <c r="B74" s="60">
        <v>1</v>
      </c>
      <c r="C74" s="60">
        <v>2</v>
      </c>
      <c r="D74" s="60">
        <v>3</v>
      </c>
      <c r="E74" s="60">
        <v>4</v>
      </c>
      <c r="F74" s="60">
        <v>5</v>
      </c>
      <c r="G74" s="60">
        <v>6</v>
      </c>
    </row>
    <row r="75">
      <c r="A75" s="63" t="inlineStr">
        <is>
          <t xml:space="preserve">Neighbour</t>
        </is>
      </c>
      <c r="B75" s="62" t="str">
        <f>INDEX('Zhuravlev Distances'!$B$4:$H$4,B76)</f>
        <v>S₄</v>
      </c>
      <c r="C75" s="62" t="str">
        <f>INDEX('Zhuravlev Distances'!$B$4:$H$4,C76)</f>
        <v>S₇</v>
      </c>
      <c r="D75" s="62" t="str">
        <f>INDEX('Zhuravlev Distances'!$B$4:$H$4,D76)</f>
        <v>S₃</v>
      </c>
      <c r="E75" s="62" t="str">
        <f>INDEX('Zhuravlev Distances'!$B$4:$H$4,E76)</f>
        <v>S₁</v>
      </c>
      <c r="F75" s="62" t="str">
        <f>INDEX('Zhuravlev Distances'!$B$4:$H$4,F76)</f>
        <v>S₂</v>
      </c>
      <c r="G75" s="62" t="str">
        <f>INDEX('Zhuravlev Distances'!$B$4:$H$4,G76)</f>
        <v>S₅</v>
      </c>
    </row>
    <row r="76">
      <c r="A76" s="63" t="inlineStr">
        <is>
          <t xml:space="preserve">Index in the dataset</t>
        </is>
      </c>
      <c r="B76" s="78">
        <f>MATCH(B$74,$B$10:$H$10,0)</f>
        <v>4</v>
      </c>
      <c r="C76" s="78">
        <f>MATCH(C$74,$B$10:$H$10,0)</f>
        <v>7</v>
      </c>
      <c r="D76" s="78">
        <f>MATCH(D$74,$B$10:$H$10,0)</f>
        <v>3</v>
      </c>
      <c r="E76" s="78">
        <f>MATCH(E$74,$B$10:$H$10,0)</f>
        <v>1</v>
      </c>
      <c r="F76" s="78">
        <f>MATCH(F$74,$B$10:$H$10,0)</f>
        <v>2</v>
      </c>
      <c r="G76" s="78">
        <f>MATCH(G$74,$B$10:$H$10,0)</f>
        <v>5</v>
      </c>
    </row>
    <row r="77">
      <c r="A77" s="63" t="inlineStr">
        <is>
          <t xml:space="preserve">ρ(S₆, neighbour)</t>
        </is>
      </c>
      <c r="B77" s="73">
        <f>INDEX('Zhuravlev Distances'!$B$10:$H$10,B76)</f>
        <v>3.7071187508</v>
      </c>
      <c r="C77" s="73">
        <f>INDEX('Zhuravlev Distances'!$B$10:$H$10,C76)</f>
        <v>5.0314314939</v>
      </c>
      <c r="D77" s="73">
        <f>INDEX('Zhuravlev Distances'!$B$10:$H$10,D76)</f>
        <v>5.2172783643</v>
      </c>
      <c r="E77" s="73">
        <f>INDEX('Zhuravlev Distances'!$B$10:$H$10,E76)</f>
        <v>6.8015669516</v>
      </c>
      <c r="F77" s="73">
        <f>INDEX('Zhuravlev Distances'!$B$10:$H$10,F76)</f>
        <v>8.742951174</v>
      </c>
      <c r="G77" s="73">
        <f>INDEX('Zhuravlev Distances'!$B$10:$H$10,G76)</f>
        <v>9.0234774016</v>
      </c>
    </row>
    <row r="78">
      <c r="A78" s="63" t="inlineStr">
        <is>
          <t xml:space="preserve">Class</t>
        </is>
      </c>
      <c r="B78" s="68">
        <f>INDEX('Dataset'!$P$5:$P$11,B76)</f>
        <v>2</v>
      </c>
      <c r="C78" s="68">
        <f>INDEX('Dataset'!$P$5:$P$11,C76)</f>
        <v>1</v>
      </c>
      <c r="D78" s="68">
        <f>INDEX('Dataset'!$P$5:$P$11,D76)</f>
        <v>1</v>
      </c>
      <c r="E78" s="68">
        <f>INDEX('Dataset'!$P$5:$P$11,E76)</f>
        <v>2</v>
      </c>
      <c r="F78" s="68">
        <f>INDEX('Dataset'!$P$5:$P$11,F76)</f>
        <v>2</v>
      </c>
      <c r="G78" s="68">
        <f>INDEX('Dataset'!$P$5:$P$11,G76)</f>
        <v>2</v>
      </c>
    </row>
    <row r="79">
      <c r="A79" s="63" t="inlineStr">
        <is>
          <t xml:space="preserve">Own class (1) — same class as S₆</t>
        </is>
      </c>
      <c r="B79" s="76">
        <f>IF(B78='Dataset'!$P$10,1,0)</f>
        <v>0</v>
      </c>
      <c r="C79" s="76">
        <f>IF(C78='Dataset'!$P$10,1,0)</f>
        <v>1</v>
      </c>
      <c r="D79" s="76">
        <f>IF(D78='Dataset'!$P$10,1,0)</f>
        <v>1</v>
      </c>
      <c r="E79" s="76">
        <f>IF(E78='Dataset'!$P$10,1,0)</f>
        <v>0</v>
      </c>
      <c r="F79" s="76">
        <f>IF(F78='Dataset'!$P$10,1,0)</f>
        <v>0</v>
      </c>
      <c r="G79" s="76">
        <f>IF(G78='Dataset'!$P$10,1,0)</f>
        <v>0</v>
      </c>
    </row>
    <row r="80">
      <c r="A80" s="63" t="inlineStr">
        <is>
          <t xml:space="preserve">Enemy (1) — the other class</t>
        </is>
      </c>
      <c r="B80" s="76">
        <f>1-B79</f>
        <v>1</v>
      </c>
      <c r="C80" s="76">
        <f>1-C79</f>
        <v>0</v>
      </c>
      <c r="D80" s="76">
        <f>1-D79</f>
        <v>0</v>
      </c>
      <c r="E80" s="76">
        <f>1-E79</f>
        <v>1</v>
      </c>
      <c r="F80" s="76">
        <f>1-F79</f>
        <v>1</v>
      </c>
      <c r="G80" s="76">
        <f>1-G79</f>
        <v>1</v>
      </c>
    </row>
    <row r="81">
      <c r="A81" s="63" t="inlineStr">
        <is>
          <t xml:space="preserve">Nearest enemy → r(Sᵢ)</t>
        </is>
      </c>
      <c r="B81" s="79" t="str">
        <f>IF(B$74=IFERROR(MATCH(1,$B$80:$G$80,0),0),"r","")</f>
        <v>r</v>
      </c>
      <c r="C81" s="79" t="str">
        <f>IF(C$74=IFERROR(MATCH(1,$B$80:$G$80,0),0),"r","")</f>
        <v/>
      </c>
      <c r="D81" s="79" t="str">
        <f>IF(D$74=IFERROR(MATCH(1,$B$80:$G$80,0),0),"r","")</f>
        <v/>
      </c>
      <c r="E81" s="79" t="str">
        <f>IF(E$74=IFERROR(MATCH(1,$B$80:$G$80,0),0),"r","")</f>
        <v/>
      </c>
      <c r="F81" s="79" t="str">
        <f>IF(F$74=IFERROR(MATCH(1,$B$80:$G$80,0),0),"r","")</f>
        <v/>
      </c>
      <c r="G81" s="79" t="str">
        <f>IF(G$74=IFERROR(MATCH(1,$B$80:$G$80,0),0),"r","")</f>
        <v/>
      </c>
    </row>
    <row r="82">
      <c r="A82" s="63" t="inlineStr">
        <is>
          <t xml:space="preserve">Own class inside the enemy sphere: ρ &lt; r(Sᵢ)</t>
        </is>
      </c>
      <c r="B82" s="76">
        <f>IF(AND(B79=1,B77&lt;'ERDR Characteristics'!$D$10),1,0)</f>
        <v>0</v>
      </c>
      <c r="C82" s="76">
        <f>IF(AND(C79=1,C77&lt;'ERDR Characteristics'!$D$10),1,0)</f>
        <v>0</v>
      </c>
      <c r="D82" s="76">
        <f>IF(AND(D79=1,D77&lt;'ERDR Characteristics'!$D$10),1,0)</f>
        <v>0</v>
      </c>
      <c r="E82" s="76">
        <f>IF(AND(E79=1,E77&lt;'ERDR Characteristics'!$D$10),1,0)</f>
        <v>0</v>
      </c>
      <c r="F82" s="76">
        <f>IF(AND(F79=1,F77&lt;'ERDR Characteristics'!$D$10),1,0)</f>
        <v>0</v>
      </c>
      <c r="G82" s="76">
        <f>IF(AND(G79=1,G77&lt;'ERDR Characteristics'!$D$10),1,0)</f>
        <v>0</v>
      </c>
    </row>
    <row r="83">
      <c r="A83" s="63" t="inlineStr">
        <is>
          <t xml:space="preserve">k-th neighbour → z(Sᵢ, k)</t>
        </is>
      </c>
      <c r="B83" s="79" t="str">
        <f>IF(B$74='Parameters'!$B$12,"z","")</f>
        <v/>
      </c>
      <c r="C83" s="79" t="str">
        <f>IF(C$74='Parameters'!$B$12,"z","")</f>
        <v/>
      </c>
      <c r="D83" s="79" t="str">
        <f>IF(D$74='Parameters'!$B$12,"z","")</f>
        <v>z</v>
      </c>
      <c r="E83" s="79" t="str">
        <f>IF(E$74='Parameters'!$B$12,"z","")</f>
        <v/>
      </c>
      <c r="F83" s="79" t="str">
        <f>IF(F$74='Parameters'!$B$12,"z","")</f>
        <v/>
      </c>
      <c r="G83" s="79" t="str">
        <f>IF(G$74='Parameters'!$B$12,"z","")</f>
        <v/>
      </c>
    </row>
    <row r="84"/>
    <row r="85">
      <c r="A85" s="59" t="str">
        <f>"S₇  ·  class "&amp;'Dataset'!$P$11&amp;"  ·  neighbours by ascending ρ  ·  r = "&amp;TEXT('ERDR Characteristics'!$D$11,"0.0000")&amp;",  z = "&amp;TEXT('ERDR Characteristics'!$H$11,"0.0000")&amp;",  g = "&amp;'ERDR Characteristics'!$E$11</f>
        <v>S₇  ·  class 1  ·  neighbours by ascending ρ  ·  r = 3.9110,  z = 5.0314,  g = 2</v>
      </c>
      <c r="B85" s="59"/>
      <c r="C85" s="59"/>
      <c r="D85" s="59"/>
      <c r="E85" s="59"/>
      <c r="F85" s="59"/>
      <c r="G85" s="59"/>
    </row>
    <row r="86">
      <c r="A86" s="60" t="inlineStr">
        <is>
          <t xml:space="preserve">Rank</t>
        </is>
      </c>
      <c r="B86" s="60">
        <v>1</v>
      </c>
      <c r="C86" s="60">
        <v>2</v>
      </c>
      <c r="D86" s="60">
        <v>3</v>
      </c>
      <c r="E86" s="60">
        <v>4</v>
      </c>
      <c r="F86" s="60">
        <v>5</v>
      </c>
      <c r="G86" s="60">
        <v>6</v>
      </c>
    </row>
    <row r="87">
      <c r="A87" s="63" t="inlineStr">
        <is>
          <t xml:space="preserve">Neighbour</t>
        </is>
      </c>
      <c r="B87" s="62" t="str">
        <f>INDEX('Zhuravlev Distances'!$B$4:$H$4,B88)</f>
        <v>S₃</v>
      </c>
      <c r="C87" s="62" t="str">
        <f>INDEX('Zhuravlev Distances'!$B$4:$H$4,C88)</f>
        <v>S₄</v>
      </c>
      <c r="D87" s="62" t="str">
        <f>INDEX('Zhuravlev Distances'!$B$4:$H$4,D88)</f>
        <v>S₆</v>
      </c>
      <c r="E87" s="62" t="str">
        <f>INDEX('Zhuravlev Distances'!$B$4:$H$4,E88)</f>
        <v>S₁</v>
      </c>
      <c r="F87" s="62" t="str">
        <f>INDEX('Zhuravlev Distances'!$B$4:$H$4,F88)</f>
        <v>S₅</v>
      </c>
      <c r="G87" s="62" t="str">
        <f>INDEX('Zhuravlev Distances'!$B$4:$H$4,G88)</f>
        <v>S₂</v>
      </c>
    </row>
    <row r="88">
      <c r="A88" s="63" t="inlineStr">
        <is>
          <t xml:space="preserve">Index in the dataset</t>
        </is>
      </c>
      <c r="B88" s="78">
        <f>MATCH(B$86,$B$11:$H$11,0)</f>
        <v>3</v>
      </c>
      <c r="C88" s="78">
        <f>MATCH(C$86,$B$11:$H$11,0)</f>
        <v>4</v>
      </c>
      <c r="D88" s="78">
        <f>MATCH(D$86,$B$11:$H$11,0)</f>
        <v>6</v>
      </c>
      <c r="E88" s="78">
        <f>MATCH(E$86,$B$11:$H$11,0)</f>
        <v>1</v>
      </c>
      <c r="F88" s="78">
        <f>MATCH(F$86,$B$11:$H$11,0)</f>
        <v>5</v>
      </c>
      <c r="G88" s="78">
        <f>MATCH(G$86,$B$11:$H$11,0)</f>
        <v>2</v>
      </c>
    </row>
    <row r="89">
      <c r="A89" s="63" t="inlineStr">
        <is>
          <t xml:space="preserve">ρ(S₇, neighbour)</t>
        </is>
      </c>
      <c r="B89" s="73">
        <f>INDEX('Zhuravlev Distances'!$B$11:$H$11,B88)</f>
        <v>2.7849754107</v>
      </c>
      <c r="C89" s="73">
        <f>INDEX('Zhuravlev Distances'!$B$11:$H$11,C88)</f>
        <v>3.9109813746</v>
      </c>
      <c r="D89" s="73">
        <f>INDEX('Zhuravlev Distances'!$B$11:$H$11,D88)</f>
        <v>5.0314314939</v>
      </c>
      <c r="E89" s="73">
        <f>INDEX('Zhuravlev Distances'!$B$11:$H$11,E88)</f>
        <v>5.8897935773</v>
      </c>
      <c r="F89" s="73">
        <f>INDEX('Zhuravlev Distances'!$B$11:$H$11,F88)</f>
        <v>7.1117040273</v>
      </c>
      <c r="G89" s="73">
        <f>INDEX('Zhuravlev Distances'!$B$11:$H$11,G88)</f>
        <v>7.7855937542</v>
      </c>
    </row>
    <row r="90">
      <c r="A90" s="63" t="inlineStr">
        <is>
          <t xml:space="preserve">Class</t>
        </is>
      </c>
      <c r="B90" s="68">
        <f>INDEX('Dataset'!$P$5:$P$11,B88)</f>
        <v>1</v>
      </c>
      <c r="C90" s="68">
        <f>INDEX('Dataset'!$P$5:$P$11,C88)</f>
        <v>2</v>
      </c>
      <c r="D90" s="68">
        <f>INDEX('Dataset'!$P$5:$P$11,D88)</f>
        <v>1</v>
      </c>
      <c r="E90" s="68">
        <f>INDEX('Dataset'!$P$5:$P$11,E88)</f>
        <v>2</v>
      </c>
      <c r="F90" s="68">
        <f>INDEX('Dataset'!$P$5:$P$11,F88)</f>
        <v>2</v>
      </c>
      <c r="G90" s="68">
        <f>INDEX('Dataset'!$P$5:$P$11,G88)</f>
        <v>2</v>
      </c>
    </row>
    <row r="91">
      <c r="A91" s="63" t="inlineStr">
        <is>
          <t xml:space="preserve">Own class (1) — same class as S₇</t>
        </is>
      </c>
      <c r="B91" s="76">
        <f>IF(B90='Dataset'!$P$11,1,0)</f>
        <v>1</v>
      </c>
      <c r="C91" s="76">
        <f>IF(C90='Dataset'!$P$11,1,0)</f>
        <v>0</v>
      </c>
      <c r="D91" s="76">
        <f>IF(D90='Dataset'!$P$11,1,0)</f>
        <v>1</v>
      </c>
      <c r="E91" s="76">
        <f>IF(E90='Dataset'!$P$11,1,0)</f>
        <v>0</v>
      </c>
      <c r="F91" s="76">
        <f>IF(F90='Dataset'!$P$11,1,0)</f>
        <v>0</v>
      </c>
      <c r="G91" s="76">
        <f>IF(G90='Dataset'!$P$11,1,0)</f>
        <v>0</v>
      </c>
    </row>
    <row r="92">
      <c r="A92" s="63" t="inlineStr">
        <is>
          <t xml:space="preserve">Enemy (1) — the other class</t>
        </is>
      </c>
      <c r="B92" s="76">
        <f>1-B91</f>
        <v>0</v>
      </c>
      <c r="C92" s="76">
        <f>1-C91</f>
        <v>1</v>
      </c>
      <c r="D92" s="76">
        <f>1-D91</f>
        <v>0</v>
      </c>
      <c r="E92" s="76">
        <f>1-E91</f>
        <v>1</v>
      </c>
      <c r="F92" s="76">
        <f>1-F91</f>
        <v>1</v>
      </c>
      <c r="G92" s="76">
        <f>1-G91</f>
        <v>1</v>
      </c>
    </row>
    <row r="93">
      <c r="A93" s="63" t="inlineStr">
        <is>
          <t xml:space="preserve">Nearest enemy → r(Sᵢ)</t>
        </is>
      </c>
      <c r="B93" s="79" t="str">
        <f>IF(B$86=IFERROR(MATCH(1,$B$92:$G$92,0),0),"r","")</f>
        <v/>
      </c>
      <c r="C93" s="79" t="str">
        <f>IF(C$86=IFERROR(MATCH(1,$B$92:$G$92,0),0),"r","")</f>
        <v>r</v>
      </c>
      <c r="D93" s="79" t="str">
        <f>IF(D$86=IFERROR(MATCH(1,$B$92:$G$92,0),0),"r","")</f>
        <v/>
      </c>
      <c r="E93" s="79" t="str">
        <f>IF(E$86=IFERROR(MATCH(1,$B$92:$G$92,0),0),"r","")</f>
        <v/>
      </c>
      <c r="F93" s="79" t="str">
        <f>IF(F$86=IFERROR(MATCH(1,$B$92:$G$92,0),0),"r","")</f>
        <v/>
      </c>
      <c r="G93" s="79" t="str">
        <f>IF(G$86=IFERROR(MATCH(1,$B$92:$G$92,0),0),"r","")</f>
        <v/>
      </c>
    </row>
    <row r="94">
      <c r="A94" s="63" t="inlineStr">
        <is>
          <t xml:space="preserve">Own class inside the enemy sphere: ρ &lt; r(Sᵢ)</t>
        </is>
      </c>
      <c r="B94" s="76">
        <f>IF(AND(B91=1,B89&lt;'ERDR Characteristics'!$D$11),1,0)</f>
        <v>1</v>
      </c>
      <c r="C94" s="76">
        <f>IF(AND(C91=1,C89&lt;'ERDR Characteristics'!$D$11),1,0)</f>
        <v>0</v>
      </c>
      <c r="D94" s="76">
        <f>IF(AND(D91=1,D89&lt;'ERDR Characteristics'!$D$11),1,0)</f>
        <v>0</v>
      </c>
      <c r="E94" s="76">
        <f>IF(AND(E91=1,E89&lt;'ERDR Characteristics'!$D$11),1,0)</f>
        <v>0</v>
      </c>
      <c r="F94" s="76">
        <f>IF(AND(F91=1,F89&lt;'ERDR Characteristics'!$D$11),1,0)</f>
        <v>0</v>
      </c>
      <c r="G94" s="76">
        <f>IF(AND(G91=1,G89&lt;'ERDR Characteristics'!$D$11),1,0)</f>
        <v>0</v>
      </c>
    </row>
    <row r="95">
      <c r="A95" s="63" t="inlineStr">
        <is>
          <t xml:space="preserve">k-th neighbour → z(Sᵢ, k)</t>
        </is>
      </c>
      <c r="B95" s="79" t="str">
        <f>IF(B$86='Parameters'!$B$12,"z","")</f>
        <v/>
      </c>
      <c r="C95" s="79" t="str">
        <f>IF(C$86='Parameters'!$B$12,"z","")</f>
        <v/>
      </c>
      <c r="D95" s="79" t="str">
        <f>IF(D$86='Parameters'!$B$12,"z","")</f>
        <v>z</v>
      </c>
      <c r="E95" s="79" t="str">
        <f>IF(E$86='Parameters'!$B$12,"z","")</f>
        <v/>
      </c>
      <c r="F95" s="79" t="str">
        <f>IF(F$86='Parameters'!$B$12,"z","")</f>
        <v/>
      </c>
      <c r="G95" s="79" t="str">
        <f>IF(G$86='Parameters'!$B$12,"z","")</f>
        <v/>
      </c>
    </row>
    <row r="96"/>
    <row r="97">
      <c r="A97" s="100" t="inlineStr">
        <is>
          <t xml:space="preserve">Ranks use the Step 0 distances: rank = 1 + #{objects closer than Sⱼ} + #{objects at the same distance with a smaller index}; the target itself is excluded.</t>
        </is>
      </c>
    </row>
    <row r="98">
      <c r="A98" s="100" t="inlineStr">
        <is>
          <t xml:space="preserve">r(Sᵢ) is the distance at the first enemy (“r”); z(Sᵢ, k) is the distance at rank k (“z”, k from the Parameters sheet); g(Sᵢ) = 1 (Sᵢ itself) + the 1s of the green row.</t>
        </is>
      </c>
    </row>
    <row r="99">
      <c r="A99" s="100" t="inlineStr">
        <is>
          <t xml:space="preserve">When the nearest enemy sits exactly at rank k, z = r and d = 0 — the source of the ties that Step 2 resolves by r and then by index.</t>
        </is>
      </c>
    </row>
  </sheetData>
  <mergeCells count="9">
    <mergeCell ref="A1:H1"/>
    <mergeCell ref="A3:H3"/>
    <mergeCell ref="A13:G13"/>
    <mergeCell ref="A25:G25"/>
    <mergeCell ref="A37:G37"/>
    <mergeCell ref="A49:G49"/>
    <mergeCell ref="A61:G61"/>
    <mergeCell ref="A73:G73"/>
    <mergeCell ref="A85:G85"/>
  </mergeCells>
  <conditionalFormatting sqref="B19:G19">
    <cfRule type="cellIs" dxfId="0" priority="1" operator="equal">
      <formula>1</formula>
    </cfRule>
  </conditionalFormatting>
  <conditionalFormatting sqref="B20:G20">
    <cfRule type="cellIs" dxfId="6" priority="2" operator="equal">
      <formula>1</formula>
    </cfRule>
  </conditionalFormatting>
  <conditionalFormatting sqref="B22:G22">
    <cfRule type="cellIs" dxfId="0" priority="3" operator="equal">
      <formula>1</formula>
    </cfRule>
  </conditionalFormatting>
  <conditionalFormatting sqref="B21:G21">
    <cfRule type="expression" dxfId="1" priority="4">
      <formula>B21&lt;&gt;""</formula>
    </cfRule>
  </conditionalFormatting>
  <conditionalFormatting sqref="B23:G23">
    <cfRule type="expression" dxfId="1" priority="5">
      <formula>B23&lt;&gt;""</formula>
    </cfRule>
  </conditionalFormatting>
  <conditionalFormatting sqref="B31:G31">
    <cfRule type="cellIs" dxfId="0" priority="6" operator="equal">
      <formula>1</formula>
    </cfRule>
  </conditionalFormatting>
  <conditionalFormatting sqref="B32:G32">
    <cfRule type="cellIs" dxfId="6" priority="7" operator="equal">
      <formula>1</formula>
    </cfRule>
  </conditionalFormatting>
  <conditionalFormatting sqref="B34:G34">
    <cfRule type="cellIs" dxfId="0" priority="8" operator="equal">
      <formula>1</formula>
    </cfRule>
  </conditionalFormatting>
  <conditionalFormatting sqref="B33:G33">
    <cfRule type="expression" dxfId="1" priority="9">
      <formula>B33&lt;&gt;""</formula>
    </cfRule>
  </conditionalFormatting>
  <conditionalFormatting sqref="B35:G35">
    <cfRule type="expression" dxfId="1" priority="10">
      <formula>B35&lt;&gt;""</formula>
    </cfRule>
  </conditionalFormatting>
  <conditionalFormatting sqref="B43:G43">
    <cfRule type="cellIs" dxfId="0" priority="11" operator="equal">
      <formula>1</formula>
    </cfRule>
  </conditionalFormatting>
  <conditionalFormatting sqref="B44:G44">
    <cfRule type="cellIs" dxfId="6" priority="12" operator="equal">
      <formula>1</formula>
    </cfRule>
  </conditionalFormatting>
  <conditionalFormatting sqref="B46:G46">
    <cfRule type="cellIs" dxfId="0" priority="13" operator="equal">
      <formula>1</formula>
    </cfRule>
  </conditionalFormatting>
  <conditionalFormatting sqref="B45:G45">
    <cfRule type="expression" dxfId="1" priority="14">
      <formula>B45&lt;&gt;""</formula>
    </cfRule>
  </conditionalFormatting>
  <conditionalFormatting sqref="B47:G47">
    <cfRule type="expression" dxfId="1" priority="15">
      <formula>B47&lt;&gt;""</formula>
    </cfRule>
  </conditionalFormatting>
  <conditionalFormatting sqref="B55:G55">
    <cfRule type="cellIs" dxfId="0" priority="16" operator="equal">
      <formula>1</formula>
    </cfRule>
  </conditionalFormatting>
  <conditionalFormatting sqref="B56:G56">
    <cfRule type="cellIs" dxfId="6" priority="17" operator="equal">
      <formula>1</formula>
    </cfRule>
  </conditionalFormatting>
  <conditionalFormatting sqref="B58:G58">
    <cfRule type="cellIs" dxfId="0" priority="18" operator="equal">
      <formula>1</formula>
    </cfRule>
  </conditionalFormatting>
  <conditionalFormatting sqref="B57:G57">
    <cfRule type="expression" dxfId="1" priority="19">
      <formula>B57&lt;&gt;""</formula>
    </cfRule>
  </conditionalFormatting>
  <conditionalFormatting sqref="B59:G59">
    <cfRule type="expression" dxfId="1" priority="20">
      <formula>B59&lt;&gt;""</formula>
    </cfRule>
  </conditionalFormatting>
  <conditionalFormatting sqref="B67:G67">
    <cfRule type="cellIs" dxfId="0" priority="21" operator="equal">
      <formula>1</formula>
    </cfRule>
  </conditionalFormatting>
  <conditionalFormatting sqref="B68:G68">
    <cfRule type="cellIs" dxfId="6" priority="22" operator="equal">
      <formula>1</formula>
    </cfRule>
  </conditionalFormatting>
  <conditionalFormatting sqref="B70:G70">
    <cfRule type="cellIs" dxfId="0" priority="23" operator="equal">
      <formula>1</formula>
    </cfRule>
  </conditionalFormatting>
  <conditionalFormatting sqref="B69:G69">
    <cfRule type="expression" dxfId="1" priority="24">
      <formula>B69&lt;&gt;""</formula>
    </cfRule>
  </conditionalFormatting>
  <conditionalFormatting sqref="B71:G71">
    <cfRule type="expression" dxfId="1" priority="25">
      <formula>B71&lt;&gt;""</formula>
    </cfRule>
  </conditionalFormatting>
  <conditionalFormatting sqref="B79:G79">
    <cfRule type="cellIs" dxfId="0" priority="26" operator="equal">
      <formula>1</formula>
    </cfRule>
  </conditionalFormatting>
  <conditionalFormatting sqref="B80:G80">
    <cfRule type="cellIs" dxfId="6" priority="27" operator="equal">
      <formula>1</formula>
    </cfRule>
  </conditionalFormatting>
  <conditionalFormatting sqref="B82:G82">
    <cfRule type="cellIs" dxfId="0" priority="28" operator="equal">
      <formula>1</formula>
    </cfRule>
  </conditionalFormatting>
  <conditionalFormatting sqref="B81:G81">
    <cfRule type="expression" dxfId="1" priority="29">
      <formula>B81&lt;&gt;""</formula>
    </cfRule>
  </conditionalFormatting>
  <conditionalFormatting sqref="B83:G83">
    <cfRule type="expression" dxfId="1" priority="30">
      <formula>B83&lt;&gt;""</formula>
    </cfRule>
  </conditionalFormatting>
  <conditionalFormatting sqref="B91:G91">
    <cfRule type="cellIs" dxfId="0" priority="31" operator="equal">
      <formula>1</formula>
    </cfRule>
  </conditionalFormatting>
  <conditionalFormatting sqref="B92:G92">
    <cfRule type="cellIs" dxfId="6" priority="32" operator="equal">
      <formula>1</formula>
    </cfRule>
  </conditionalFormatting>
  <conditionalFormatting sqref="B94:G94">
    <cfRule type="cellIs" dxfId="0" priority="33" operator="equal">
      <formula>1</formula>
    </cfRule>
  </conditionalFormatting>
  <conditionalFormatting sqref="B93:G93">
    <cfRule type="expression" dxfId="1" priority="34">
      <formula>B93&lt;&gt;""</formula>
    </cfRule>
  </conditionalFormatting>
  <conditionalFormatting sqref="B95:G95">
    <cfRule type="expression" dxfId="1" priority="35">
      <formula>B95&lt;&gt;""</formula>
    </cfRule>
  </conditionalFormatting>
  <printOptions horizontalCentered="1"/>
  <pageMargins left="0.4" right="0.4" top="0.7" bottom="0.6" header="0.3" footer="0.3"/>
  <pageSetup paperSize="9" orientation="landscape" fitToWidth="1" fitToHeight="0"/>
  <headerFooter>
    <oddHeader>&amp;L&amp;"Calibri,Bold"&amp;9ERDR Algorithm — Heart-Disease (7, 13, 2) selected from Heart-Disease (270, 13, 2)&amp;R&amp;"Calibri,Regular"&amp;9&amp;A</oddHeader>
    <oddFooter>&amp;C&amp;"Calibri,Regular"&amp;9Page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C55A11"/>
    <pageSetUpPr fitToPage="1"/>
  </sheetPr>
  <dimension ref="A1:M28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18.77734375" customWidth="1"/>
    <col min="2" max="2" width="9.77734375" customWidth="1"/>
    <col min="3" max="3" width="15.77734375" customWidth="1"/>
    <col min="4" max="5" width="11.77734375" customWidth="1"/>
    <col min="6" max="6" width="12.77734375" customWidth="1"/>
    <col min="7" max="7" width="13.77734375" customWidth="1"/>
    <col min="8" max="10" width="11.77734375" customWidth="1"/>
    <col min="11" max="11" width="16.77734375" customWidth="1"/>
    <col min="12" max="12" width="40.77734375" customWidth="1"/>
    <col min="13" max="13" width="58.77734375" customWidth="1"/>
  </cols>
  <sheetData>
    <row r="1" ht="22" customHeight="1">
      <c r="A1" s="57" t="inlineStr">
        <is>
          <t xml:space="preserve">ERDR Step 1 · Auxiliary functions of every object — r(Sᵢ), g(Sᵢ), z(Sᵢ, k), d(Sᵢ) and the Step 2 priority position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</row>
    <row r="2"/>
    <row r="3">
      <c r="A3" s="58" t="inlineStr">
        <is>
          <t xml:space="preserve">r = nearest-enemy distance  ·  g = own-class objects strictly inside the enemy sphere (Sᵢ counts)  ·  z = distance to the k-th neighbour  ·  d = |z − r| / (z + r)</t>
        </is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</row>
    <row r="4" ht="48" customHeight="1">
      <c r="A4" s="60" t="inlineStr">
        <is>
          <t xml:space="preserve">№</t>
        </is>
      </c>
      <c r="B4" s="60" t="inlineStr">
        <is>
          <t xml:space="preserve">Class</t>
        </is>
      </c>
      <c r="C4" s="60" t="inlineStr">
        <is>
          <t xml:space="preserve">Nearest enemy</t>
        </is>
      </c>
      <c r="D4" s="60" t="inlineStr">
        <is>
          <t xml:space="preserve">r(Sᵢ)</t>
        </is>
      </c>
      <c r="E4" s="60" t="inlineStr">
        <is>
          <t xml:space="preserve">g(Sᵢ)</t>
        </is>
      </c>
      <c r="F4" s="60" t="inlineStr">
        <is>
          <t xml:space="preserve">Rank of the nearest enemy</t>
        </is>
      </c>
      <c r="G4" s="60" t="inlineStr">
        <is>
          <t xml:space="preserve">k-th neighbour</t>
        </is>
      </c>
      <c r="H4" s="60" t="inlineStr">
        <is>
          <t xml:space="preserve">z(Sᵢ, k)</t>
        </is>
      </c>
      <c r="I4" s="60" t="inlineStr">
        <is>
          <t xml:space="preserve">z − r</t>
        </is>
      </c>
      <c r="J4" s="60" t="inlineStr">
        <is>
          <t xml:space="preserve">d(Sᵢ)</t>
        </is>
      </c>
      <c r="K4" s="60" t="inlineStr">
        <is>
          <t xml:space="preserve">Priority position (Step 2)</t>
        </is>
      </c>
      <c r="L4" s="60" t="inlineStr">
        <is>
          <t xml:space="preserve">Own-class objects inside the sphere (Sᵢ, r(Sᵢ))</t>
        </is>
      </c>
      <c r="M4" s="60" t="inlineStr">
        <is>
          <t xml:space="preserve">Note</t>
        </is>
      </c>
    </row>
    <row r="5">
      <c r="A5" s="62" t="inlineStr">
        <is>
          <t xml:space="preserve">S₁</t>
        </is>
      </c>
      <c r="B5" s="68">
        <f>'Dataset'!P5</f>
        <v>2</v>
      </c>
      <c r="C5" s="62" t="str">
        <f>IFERROR(INDEX('Sorted Neighbors'!$B$15:$G$15,MATCH(1,'Sorted Neighbors'!$B$20:$G$20,0)),"— (one class only)")</f>
        <v>S₃</v>
      </c>
      <c r="D5" s="81">
        <f>IFERROR(INDEX('Sorted Neighbors'!$B$17:$G$17,MATCH(1,'Sorted Neighbors'!$B$20:$G$20,0)),0)</f>
        <v>5.60708061</v>
      </c>
      <c r="E5" s="80">
        <f>1+SUM('Sorted Neighbors'!$B$22:$G$22)</f>
        <v>3</v>
      </c>
      <c r="F5" s="77">
        <f>IFERROR(MATCH(1,'Sorted Neighbors'!$B$20:$G$20,0),"—")</f>
        <v>3</v>
      </c>
      <c r="G5" s="62" t="str">
        <f>IF('Parameters'!$B$12&lt;='Parameters'!$B$5-1,INDEX('Sorted Neighbors'!$B$15:$G$15,'Parameters'!$B$12),"—")</f>
        <v>S₃</v>
      </c>
      <c r="H5" s="81">
        <f>IF('Parameters'!$B$12&lt;='Parameters'!$B$5-1,INDEX('Sorted Neighbors'!$B$17:$G$17,'Parameters'!$B$12),0)</f>
        <v>5.60708061</v>
      </c>
      <c r="I5" s="73">
        <f>H5-D5</f>
        <v>0</v>
      </c>
      <c r="J5" s="91">
        <f>IF(H5+D5=0,0,ROUND(ABS(H5-D5)/(H5+D5),10))</f>
        <v>0</v>
      </c>
      <c r="K5" s="77">
        <f>1+SUMPRODUCT(($J$5:$J$11&lt;J5)+($J$5:$J$11=J5)*($D$5:$D$11&lt;D5)+($J$5:$J$11=J5)*($D$5:$D$11=D5)*(ROW($J$5:$J$11)&lt;ROW(J5)))</f>
        <v>1</v>
      </c>
      <c r="L5" s="101" t="str">
        <f>A5&amp;" (itself)"&amp;IF('Sorted Neighbors'!B22=1,", "&amp;'Sorted Neighbors'!B15,"")&amp;IF('Sorted Neighbors'!C22=1,", "&amp;'Sorted Neighbors'!C15,"")&amp;IF('Sorted Neighbors'!D22=1,", "&amp;'Sorted Neighbors'!D15,"")&amp;IF('Sorted Neighbors'!E22=1,", "&amp;'Sorted Neighbors'!E15,"")&amp;IF('Sorted Neighbors'!F22=1,", "&amp;'Sorted Neighbors'!F15,"")&amp;IF('Sorted Neighbors'!G22=1,", "&amp;'Sorted Neighbors'!G15,"")</f>
        <v>S₁ (itself), S₂, S₅</v>
      </c>
      <c r="M5" s="101" t="str">
        <f>IF(J5=0,"z = r: the nearest enemy is the k-th neighbour → d = 0",IF(E5=1,"g = 1: no own-class object inside the enemy sphere",""))</f>
        <v>z = r: the nearest enemy is the k-th neighbour → d = 0</v>
      </c>
    </row>
    <row r="6">
      <c r="A6" s="62" t="inlineStr">
        <is>
          <t xml:space="preserve">S₂</t>
        </is>
      </c>
      <c r="B6" s="68">
        <f>'Dataset'!P6</f>
        <v>2</v>
      </c>
      <c r="C6" s="62" t="str">
        <f>IFERROR(INDEX('Sorted Neighbors'!$B$27:$G$27,MATCH(1,'Sorted Neighbors'!$B$32:$G$32,0)),"— (one class only)")</f>
        <v>S₃</v>
      </c>
      <c r="D6" s="81">
        <f>IFERROR(INDEX('Sorted Neighbors'!$B$29:$G$29,MATCH(1,'Sorted Neighbors'!$B$32:$G$32,0)),0)</f>
        <v>7.4699698919</v>
      </c>
      <c r="E6" s="80">
        <f>1+SUM('Sorted Neighbors'!$B$34:$G$34)</f>
        <v>4</v>
      </c>
      <c r="F6" s="77">
        <f>IFERROR(MATCH(1,'Sorted Neighbors'!$B$32:$G$32,0),"—")</f>
        <v>4</v>
      </c>
      <c r="G6" s="62" t="str">
        <f>IF('Parameters'!$B$12&lt;='Parameters'!$B$5-1,INDEX('Sorted Neighbors'!$B$27:$G$27,'Parameters'!$B$12),"—")</f>
        <v>S₄</v>
      </c>
      <c r="H6" s="81">
        <f>IF('Parameters'!$B$12&lt;='Parameters'!$B$5-1,INDEX('Sorted Neighbors'!$B$29:$G$29,'Parameters'!$B$12),0)</f>
        <v>6.3691657565</v>
      </c>
      <c r="I6" s="73">
        <f>H6-D6</f>
        <v>-1.1008041354</v>
      </c>
      <c r="J6" s="91">
        <f>IF(H6+D6=0,0,ROUND(ABS(H6-D6)/(H6+D6),10))</f>
        <v>0.0795428388</v>
      </c>
      <c r="K6" s="77">
        <f>1+SUMPRODUCT(($J$5:$J$11&lt;J6)+($J$5:$J$11=J6)*($D$5:$D$11&lt;D6)+($J$5:$J$11=J6)*($D$5:$D$11=D6)*(ROW($J$5:$J$11)&lt;ROW(J6)))</f>
        <v>4</v>
      </c>
      <c r="L6" s="101" t="str">
        <f>A6&amp;" (itself)"&amp;IF('Sorted Neighbors'!B34=1,", "&amp;'Sorted Neighbors'!B27,"")&amp;IF('Sorted Neighbors'!C34=1,", "&amp;'Sorted Neighbors'!C27,"")&amp;IF('Sorted Neighbors'!D34=1,", "&amp;'Sorted Neighbors'!D27,"")&amp;IF('Sorted Neighbors'!E34=1,", "&amp;'Sorted Neighbors'!E27,"")&amp;IF('Sorted Neighbors'!F34=1,", "&amp;'Sorted Neighbors'!F27,"")&amp;IF('Sorted Neighbors'!G34=1,", "&amp;'Sorted Neighbors'!G27,"")</f>
        <v>S₂ (itself), S₁, S₅, S₄</v>
      </c>
      <c r="M6" s="101" t="str">
        <f>IF(J6=0,"z = r: the nearest enemy is the k-th neighbour → d = 0",IF(E6=1,"g = 1: no own-class object inside the enemy sphere",""))</f>
        <v/>
      </c>
    </row>
    <row r="7">
      <c r="A7" s="62" t="inlineStr">
        <is>
          <t xml:space="preserve">S₃</t>
        </is>
      </c>
      <c r="B7" s="68">
        <f>'Dataset'!P7</f>
        <v>1</v>
      </c>
      <c r="C7" s="62" t="str">
        <f>IFERROR(INDEX('Sorted Neighbors'!$B$39:$G$39,MATCH(1,'Sorted Neighbors'!$B$44:$G$44,0)),"— (one class only)")</f>
        <v>S₁</v>
      </c>
      <c r="D7" s="81">
        <f>IFERROR(INDEX('Sorted Neighbors'!$B$41:$G$41,MATCH(1,'Sorted Neighbors'!$B$44:$G$44,0)),0)</f>
        <v>5.60708061</v>
      </c>
      <c r="E7" s="80">
        <f>1+SUM('Sorted Neighbors'!$B$46:$G$46)</f>
        <v>3</v>
      </c>
      <c r="F7" s="77">
        <f>IFERROR(MATCH(1,'Sorted Neighbors'!$B$44:$G$44,0),"—")</f>
        <v>3</v>
      </c>
      <c r="G7" s="62" t="str">
        <f>IF('Parameters'!$B$12&lt;='Parameters'!$B$5-1,INDEX('Sorted Neighbors'!$B$39:$G$39,'Parameters'!$B$12),"—")</f>
        <v>S₁</v>
      </c>
      <c r="H7" s="81">
        <f>IF('Parameters'!$B$12&lt;='Parameters'!$B$5-1,INDEX('Sorted Neighbors'!$B$41:$G$41,'Parameters'!$B$12),0)</f>
        <v>5.60708061</v>
      </c>
      <c r="I7" s="73">
        <f>H7-D7</f>
        <v>0</v>
      </c>
      <c r="J7" s="91">
        <f>IF(H7+D7=0,0,ROUND(ABS(H7-D7)/(H7+D7),10))</f>
        <v>0</v>
      </c>
      <c r="K7" s="77">
        <f>1+SUMPRODUCT(($J$5:$J$11&lt;J7)+($J$5:$J$11=J7)*($D$5:$D$11&lt;D7)+($J$5:$J$11=J7)*($D$5:$D$11=D7)*(ROW($J$5:$J$11)&lt;ROW(J7)))</f>
        <v>2</v>
      </c>
      <c r="L7" s="101" t="str">
        <f>A7&amp;" (itself)"&amp;IF('Sorted Neighbors'!B46=1,", "&amp;'Sorted Neighbors'!B39,"")&amp;IF('Sorted Neighbors'!C46=1,", "&amp;'Sorted Neighbors'!C39,"")&amp;IF('Sorted Neighbors'!D46=1,", "&amp;'Sorted Neighbors'!D39,"")&amp;IF('Sorted Neighbors'!E46=1,", "&amp;'Sorted Neighbors'!E39,"")&amp;IF('Sorted Neighbors'!F46=1,", "&amp;'Sorted Neighbors'!F39,"")&amp;IF('Sorted Neighbors'!G46=1,", "&amp;'Sorted Neighbors'!G39,"")</f>
        <v>S₃ (itself), S₇, S₆</v>
      </c>
      <c r="M7" s="101" t="str">
        <f>IF(J7=0,"z = r: the nearest enemy is the k-th neighbour → d = 0",IF(E7=1,"g = 1: no own-class object inside the enemy sphere",""))</f>
        <v>z = r: the nearest enemy is the k-th neighbour → d = 0</v>
      </c>
    </row>
    <row r="8">
      <c r="A8" s="62" t="inlineStr">
        <is>
          <t xml:space="preserve">S₄</t>
        </is>
      </c>
      <c r="B8" s="68">
        <f>'Dataset'!P8</f>
        <v>2</v>
      </c>
      <c r="C8" s="62" t="str">
        <f>IFERROR(INDEX('Sorted Neighbors'!$B$51:$G$51,MATCH(1,'Sorted Neighbors'!$B$56:$G$56,0)),"— (one class only)")</f>
        <v>S₆</v>
      </c>
      <c r="D8" s="81">
        <f>IFERROR(INDEX('Sorted Neighbors'!$B$53:$G$53,MATCH(1,'Sorted Neighbors'!$B$56:$G$56,0)),0)</f>
        <v>3.7071187508</v>
      </c>
      <c r="E8" s="80">
        <f>1+SUM('Sorted Neighbors'!$B$58:$G$58)</f>
        <v>1</v>
      </c>
      <c r="F8" s="77">
        <f>IFERROR(MATCH(1,'Sorted Neighbors'!$B$56:$G$56,0),"—")</f>
        <v>1</v>
      </c>
      <c r="G8" s="62" t="str">
        <f>IF('Parameters'!$B$12&lt;='Parameters'!$B$5-1,INDEX('Sorted Neighbors'!$B$51:$G$51,'Parameters'!$B$12),"—")</f>
        <v>S₃</v>
      </c>
      <c r="H8" s="81">
        <f>IF('Parameters'!$B$12&lt;='Parameters'!$B$5-1,INDEX('Sorted Neighbors'!$B$53:$G$53,'Parameters'!$B$12),0)</f>
        <v>6.2175670209</v>
      </c>
      <c r="I8" s="73">
        <f>H8-D8</f>
        <v>2.5104482701</v>
      </c>
      <c r="J8" s="91">
        <f>IF(H8+D8=0,0,ROUND(ABS(H8-D8)/(H8+D8),10))</f>
        <v>0.2529498997</v>
      </c>
      <c r="K8" s="77">
        <f>1+SUMPRODUCT(($J$5:$J$11&lt;J8)+($J$5:$J$11=J8)*($D$5:$D$11&lt;D8)+($J$5:$J$11=J8)*($D$5:$D$11=D8)*(ROW($J$5:$J$11)&lt;ROW(J8)))</f>
        <v>7</v>
      </c>
      <c r="L8" s="101" t="str">
        <f>A8&amp;" (itself)"&amp;IF('Sorted Neighbors'!B58=1,", "&amp;'Sorted Neighbors'!B51,"")&amp;IF('Sorted Neighbors'!C58=1,", "&amp;'Sorted Neighbors'!C51,"")&amp;IF('Sorted Neighbors'!D58=1,", "&amp;'Sorted Neighbors'!D51,"")&amp;IF('Sorted Neighbors'!E58=1,", "&amp;'Sorted Neighbors'!E51,"")&amp;IF('Sorted Neighbors'!F58=1,", "&amp;'Sorted Neighbors'!F51,"")&amp;IF('Sorted Neighbors'!G58=1,", "&amp;'Sorted Neighbors'!G51,"")</f>
        <v>S₄ (itself)</v>
      </c>
      <c r="M8" s="101" t="str">
        <f>IF(J8=0,"z = r: the nearest enemy is the k-th neighbour → d = 0",IF(E8=1,"g = 1: no own-class object inside the enemy sphere",""))</f>
        <v>g = 1: no own-class object inside the enemy sphere</v>
      </c>
    </row>
    <row r="9">
      <c r="A9" s="62" t="inlineStr">
        <is>
          <t xml:space="preserve">S₅</t>
        </is>
      </c>
      <c r="B9" s="68">
        <f>'Dataset'!P9</f>
        <v>2</v>
      </c>
      <c r="C9" s="62" t="str">
        <f>IFERROR(INDEX('Sorted Neighbors'!$B$63:$G$63,MATCH(1,'Sorted Neighbors'!$B$68:$G$68,0)),"— (one class only)")</f>
        <v>S₇</v>
      </c>
      <c r="D9" s="81">
        <f>IFERROR(INDEX('Sorted Neighbors'!$B$65:$G$65,MATCH(1,'Sorted Neighbors'!$B$68:$G$68,0)),0)</f>
        <v>7.1117040273</v>
      </c>
      <c r="E9" s="80">
        <f>1+SUM('Sorted Neighbors'!$B$70:$G$70)</f>
        <v>3</v>
      </c>
      <c r="F9" s="77">
        <f>IFERROR(MATCH(1,'Sorted Neighbors'!$B$68:$G$68,0),"—")</f>
        <v>3</v>
      </c>
      <c r="G9" s="62" t="str">
        <f>IF('Parameters'!$B$12&lt;='Parameters'!$B$5-1,INDEX('Sorted Neighbors'!$B$63:$G$63,'Parameters'!$B$12),"—")</f>
        <v>S₇</v>
      </c>
      <c r="H9" s="81">
        <f>IF('Parameters'!$B$12&lt;='Parameters'!$B$5-1,INDEX('Sorted Neighbors'!$B$65:$G$65,'Parameters'!$B$12),0)</f>
        <v>7.1117040273</v>
      </c>
      <c r="I9" s="73">
        <f>H9-D9</f>
        <v>0</v>
      </c>
      <c r="J9" s="91">
        <f>IF(H9+D9=0,0,ROUND(ABS(H9-D9)/(H9+D9),10))</f>
        <v>0</v>
      </c>
      <c r="K9" s="77">
        <f>1+SUMPRODUCT(($J$5:$J$11&lt;J9)+($J$5:$J$11=J9)*($D$5:$D$11&lt;D9)+($J$5:$J$11=J9)*($D$5:$D$11=D9)*(ROW($J$5:$J$11)&lt;ROW(J9)))</f>
        <v>3</v>
      </c>
      <c r="L9" s="101" t="str">
        <f>A9&amp;" (itself)"&amp;IF('Sorted Neighbors'!B70=1,", "&amp;'Sorted Neighbors'!B63,"")&amp;IF('Sorted Neighbors'!C70=1,", "&amp;'Sorted Neighbors'!C63,"")&amp;IF('Sorted Neighbors'!D70=1,", "&amp;'Sorted Neighbors'!D63,"")&amp;IF('Sorted Neighbors'!E70=1,", "&amp;'Sorted Neighbors'!E63,"")&amp;IF('Sorted Neighbors'!F70=1,", "&amp;'Sorted Neighbors'!F63,"")&amp;IF('Sorted Neighbors'!G70=1,", "&amp;'Sorted Neighbors'!G63,"")</f>
        <v>S₅ (itself), S₁, S₂</v>
      </c>
      <c r="M9" s="101" t="str">
        <f>IF(J9=0,"z = r: the nearest enemy is the k-th neighbour → d = 0",IF(E9=1,"g = 1: no own-class object inside the enemy sphere",""))</f>
        <v>z = r: the nearest enemy is the k-th neighbour → d = 0</v>
      </c>
    </row>
    <row r="10">
      <c r="A10" s="62" t="inlineStr">
        <is>
          <t xml:space="preserve">S₆</t>
        </is>
      </c>
      <c r="B10" s="68">
        <f>'Dataset'!P10</f>
        <v>1</v>
      </c>
      <c r="C10" s="62" t="str">
        <f>IFERROR(INDEX('Sorted Neighbors'!$B$75:$G$75,MATCH(1,'Sorted Neighbors'!$B$80:$G$80,0)),"— (one class only)")</f>
        <v>S₄</v>
      </c>
      <c r="D10" s="81">
        <f>IFERROR(INDEX('Sorted Neighbors'!$B$77:$G$77,MATCH(1,'Sorted Neighbors'!$B$80:$G$80,0)),0)</f>
        <v>3.7071187508</v>
      </c>
      <c r="E10" s="80">
        <f>1+SUM('Sorted Neighbors'!$B$82:$G$82)</f>
        <v>1</v>
      </c>
      <c r="F10" s="77">
        <f>IFERROR(MATCH(1,'Sorted Neighbors'!$B$80:$G$80,0),"—")</f>
        <v>1</v>
      </c>
      <c r="G10" s="62" t="str">
        <f>IF('Parameters'!$B$12&lt;='Parameters'!$B$5-1,INDEX('Sorted Neighbors'!$B$75:$G$75,'Parameters'!$B$12),"—")</f>
        <v>S₃</v>
      </c>
      <c r="H10" s="81">
        <f>IF('Parameters'!$B$12&lt;='Parameters'!$B$5-1,INDEX('Sorted Neighbors'!$B$77:$G$77,'Parameters'!$B$12),0)</f>
        <v>5.2172783643</v>
      </c>
      <c r="I10" s="73">
        <f>H10-D10</f>
        <v>1.5101596135</v>
      </c>
      <c r="J10" s="91">
        <f>IF(H10+D10=0,0,ROUND(ABS(H10-D10)/(H10+D10),10))</f>
        <v>0.1692169896</v>
      </c>
      <c r="K10" s="77">
        <f>1+SUMPRODUCT(($J$5:$J$11&lt;J10)+($J$5:$J$11=J10)*($D$5:$D$11&lt;D10)+($J$5:$J$11=J10)*($D$5:$D$11=D10)*(ROW($J$5:$J$11)&lt;ROW(J10)))</f>
        <v>6</v>
      </c>
      <c r="L10" s="101" t="str">
        <f>A10&amp;" (itself)"&amp;IF('Sorted Neighbors'!B82=1,", "&amp;'Sorted Neighbors'!B75,"")&amp;IF('Sorted Neighbors'!C82=1,", "&amp;'Sorted Neighbors'!C75,"")&amp;IF('Sorted Neighbors'!D82=1,", "&amp;'Sorted Neighbors'!D75,"")&amp;IF('Sorted Neighbors'!E82=1,", "&amp;'Sorted Neighbors'!E75,"")&amp;IF('Sorted Neighbors'!F82=1,", "&amp;'Sorted Neighbors'!F75,"")&amp;IF('Sorted Neighbors'!G82=1,", "&amp;'Sorted Neighbors'!G75,"")</f>
        <v>S₆ (itself)</v>
      </c>
      <c r="M10" s="101" t="str">
        <f>IF(J10=0,"z = r: the nearest enemy is the k-th neighbour → d = 0",IF(E10=1,"g = 1: no own-class object inside the enemy sphere",""))</f>
        <v>g = 1: no own-class object inside the enemy sphere</v>
      </c>
    </row>
    <row r="11">
      <c r="A11" s="62" t="inlineStr">
        <is>
          <t xml:space="preserve">S₇</t>
        </is>
      </c>
      <c r="B11" s="68">
        <f>'Dataset'!P11</f>
        <v>1</v>
      </c>
      <c r="C11" s="62" t="str">
        <f>IFERROR(INDEX('Sorted Neighbors'!$B$87:$G$87,MATCH(1,'Sorted Neighbors'!$B$92:$G$92,0)),"— (one class only)")</f>
        <v>S₄</v>
      </c>
      <c r="D11" s="81">
        <f>IFERROR(INDEX('Sorted Neighbors'!$B$89:$G$89,MATCH(1,'Sorted Neighbors'!$B$92:$G$92,0)),0)</f>
        <v>3.9109813746</v>
      </c>
      <c r="E11" s="80">
        <f>1+SUM('Sorted Neighbors'!$B$94:$G$94)</f>
        <v>2</v>
      </c>
      <c r="F11" s="77">
        <f>IFERROR(MATCH(1,'Sorted Neighbors'!$B$92:$G$92,0),"—")</f>
        <v>2</v>
      </c>
      <c r="G11" s="62" t="str">
        <f>IF('Parameters'!$B$12&lt;='Parameters'!$B$5-1,INDEX('Sorted Neighbors'!$B$87:$G$87,'Parameters'!$B$12),"—")</f>
        <v>S₆</v>
      </c>
      <c r="H11" s="81">
        <f>IF('Parameters'!$B$12&lt;='Parameters'!$B$5-1,INDEX('Sorted Neighbors'!$B$89:$G$89,'Parameters'!$B$12),0)</f>
        <v>5.0314314939</v>
      </c>
      <c r="I11" s="73">
        <f>H11-D11</f>
        <v>1.1204501193</v>
      </c>
      <c r="J11" s="91">
        <f>IF(H11+D11=0,0,ROUND(ABS(H11-D11)/(H11+D11),10))</f>
        <v>0.1252961741</v>
      </c>
      <c r="K11" s="77">
        <f>1+SUMPRODUCT(($J$5:$J$11&lt;J11)+($J$5:$J$11=J11)*($D$5:$D$11&lt;D11)+($J$5:$J$11=J11)*($D$5:$D$11=D11)*(ROW($J$5:$J$11)&lt;ROW(J11)))</f>
        <v>5</v>
      </c>
      <c r="L11" s="101" t="str">
        <f>A11&amp;" (itself)"&amp;IF('Sorted Neighbors'!B94=1,", "&amp;'Sorted Neighbors'!B87,"")&amp;IF('Sorted Neighbors'!C94=1,", "&amp;'Sorted Neighbors'!C87,"")&amp;IF('Sorted Neighbors'!D94=1,", "&amp;'Sorted Neighbors'!D87,"")&amp;IF('Sorted Neighbors'!E94=1,", "&amp;'Sorted Neighbors'!E87,"")&amp;IF('Sorted Neighbors'!F94=1,", "&amp;'Sorted Neighbors'!F87,"")&amp;IF('Sorted Neighbors'!G94=1,", "&amp;'Sorted Neighbors'!G87,"")</f>
        <v>S₇ (itself), S₃</v>
      </c>
      <c r="M11" s="101" t="str">
        <f>IF(J11=0,"z = r: the nearest enemy is the k-th neighbour → d = 0",IF(E11=1,"g = 1: no own-class object inside the enemy sphere",""))</f>
        <v/>
      </c>
    </row>
    <row r="12"/>
    <row r="13"/>
    <row r="14">
      <c r="A14" s="58" t="inlineStr">
        <is>
          <t xml:space="preserve">Enemy spheres · M(i, j) = 1 when Sⱼ has the class of Sᵢ and ρ(Sᵢ, Sⱼ) &lt; r(Sᵢ) · row sum = g(Sᵢ)</t>
        </is>
      </c>
      <c r="B14" s="58"/>
      <c r="C14" s="58"/>
      <c r="D14" s="58"/>
      <c r="E14" s="58"/>
      <c r="F14" s="58"/>
      <c r="G14" s="58"/>
      <c r="H14" s="58"/>
      <c r="I14" s="58"/>
    </row>
    <row r="15">
      <c r="A15" s="60" t="inlineStr">
        <is>
          <t xml:space="preserve">Sphere of Sᵢ \ Sⱼ</t>
        </is>
      </c>
      <c r="B15" s="60" t="inlineStr">
        <is>
          <t xml:space="preserve">S₁</t>
        </is>
      </c>
      <c r="C15" s="60" t="inlineStr">
        <is>
          <t xml:space="preserve">S₂</t>
        </is>
      </c>
      <c r="D15" s="60" t="inlineStr">
        <is>
          <t xml:space="preserve">S₃</t>
        </is>
      </c>
      <c r="E15" s="60" t="inlineStr">
        <is>
          <t xml:space="preserve">S₄</t>
        </is>
      </c>
      <c r="F15" s="60" t="inlineStr">
        <is>
          <t xml:space="preserve">S₅</t>
        </is>
      </c>
      <c r="G15" s="60" t="inlineStr">
        <is>
          <t xml:space="preserve">S₆</t>
        </is>
      </c>
      <c r="H15" s="60" t="inlineStr">
        <is>
          <t xml:space="preserve">S₇</t>
        </is>
      </c>
      <c r="I15" s="60" t="inlineStr">
        <is>
          <t xml:space="preserve">Row sum = g(Sᵢ)</t>
        </is>
      </c>
    </row>
    <row r="16">
      <c r="A16" s="62" t="inlineStr">
        <is>
          <t xml:space="preserve">S₁</t>
        </is>
      </c>
      <c r="B16" s="76">
        <f>IF(AND('Dataset'!$P$5='Dataset'!$P$5,'Zhuravlev Distances'!B$5&lt;$D$5),1,0)</f>
        <v>1</v>
      </c>
      <c r="C16" s="76">
        <f>IF(AND('Dataset'!$P$6='Dataset'!$P$5,'Zhuravlev Distances'!C$5&lt;$D$5),1,0)</f>
        <v>1</v>
      </c>
      <c r="D16" s="76">
        <f>IF(AND('Dataset'!$P$7='Dataset'!$P$5,'Zhuravlev Distances'!D$5&lt;$D$5),1,0)</f>
        <v>0</v>
      </c>
      <c r="E16" s="76">
        <f>IF(AND('Dataset'!$P$8='Dataset'!$P$5,'Zhuravlev Distances'!E$5&lt;$D$5),1,0)</f>
        <v>0</v>
      </c>
      <c r="F16" s="76">
        <f>IF(AND('Dataset'!$P$9='Dataset'!$P$5,'Zhuravlev Distances'!F$5&lt;$D$5),1,0)</f>
        <v>1</v>
      </c>
      <c r="G16" s="76">
        <f>IF(AND('Dataset'!$P$10='Dataset'!$P$5,'Zhuravlev Distances'!G$5&lt;$D$5),1,0)</f>
        <v>0</v>
      </c>
      <c r="H16" s="76">
        <f>IF(AND('Dataset'!$P$11='Dataset'!$P$5,'Zhuravlev Distances'!H$5&lt;$D$5),1,0)</f>
        <v>0</v>
      </c>
      <c r="I16" s="80">
        <f>SUM(B16:H16)</f>
        <v>3</v>
      </c>
    </row>
    <row r="17">
      <c r="A17" s="62" t="inlineStr">
        <is>
          <t xml:space="preserve">S₂</t>
        </is>
      </c>
      <c r="B17" s="76">
        <f>IF(AND('Dataset'!$P$5='Dataset'!$P$6,'Zhuravlev Distances'!B$6&lt;$D$6),1,0)</f>
        <v>1</v>
      </c>
      <c r="C17" s="76">
        <f>IF(AND('Dataset'!$P$6='Dataset'!$P$6,'Zhuravlev Distances'!C$6&lt;$D$6),1,0)</f>
        <v>1</v>
      </c>
      <c r="D17" s="76">
        <f>IF(AND('Dataset'!$P$7='Dataset'!$P$6,'Zhuravlev Distances'!D$6&lt;$D$6),1,0)</f>
        <v>0</v>
      </c>
      <c r="E17" s="76">
        <f>IF(AND('Dataset'!$P$8='Dataset'!$P$6,'Zhuravlev Distances'!E$6&lt;$D$6),1,0)</f>
        <v>1</v>
      </c>
      <c r="F17" s="76">
        <f>IF(AND('Dataset'!$P$9='Dataset'!$P$6,'Zhuravlev Distances'!F$6&lt;$D$6),1,0)</f>
        <v>1</v>
      </c>
      <c r="G17" s="76">
        <f>IF(AND('Dataset'!$P$10='Dataset'!$P$6,'Zhuravlev Distances'!G$6&lt;$D$6),1,0)</f>
        <v>0</v>
      </c>
      <c r="H17" s="76">
        <f>IF(AND('Dataset'!$P$11='Dataset'!$P$6,'Zhuravlev Distances'!H$6&lt;$D$6),1,0)</f>
        <v>0</v>
      </c>
      <c r="I17" s="80">
        <f>SUM(B17:H17)</f>
        <v>4</v>
      </c>
    </row>
    <row r="18">
      <c r="A18" s="62" t="inlineStr">
        <is>
          <t xml:space="preserve">S₃</t>
        </is>
      </c>
      <c r="B18" s="76">
        <f>IF(AND('Dataset'!$P$5='Dataset'!$P$7,'Zhuravlev Distances'!B$7&lt;$D$7),1,0)</f>
        <v>0</v>
      </c>
      <c r="C18" s="76">
        <f>IF(AND('Dataset'!$P$6='Dataset'!$P$7,'Zhuravlev Distances'!C$7&lt;$D$7),1,0)</f>
        <v>0</v>
      </c>
      <c r="D18" s="76">
        <f>IF(AND('Dataset'!$P$7='Dataset'!$P$7,'Zhuravlev Distances'!D$7&lt;$D$7),1,0)</f>
        <v>1</v>
      </c>
      <c r="E18" s="76">
        <f>IF(AND('Dataset'!$P$8='Dataset'!$P$7,'Zhuravlev Distances'!E$7&lt;$D$7),1,0)</f>
        <v>0</v>
      </c>
      <c r="F18" s="76">
        <f>IF(AND('Dataset'!$P$9='Dataset'!$P$7,'Zhuravlev Distances'!F$7&lt;$D$7),1,0)</f>
        <v>0</v>
      </c>
      <c r="G18" s="76">
        <f>IF(AND('Dataset'!$P$10='Dataset'!$P$7,'Zhuravlev Distances'!G$7&lt;$D$7),1,0)</f>
        <v>1</v>
      </c>
      <c r="H18" s="76">
        <f>IF(AND('Dataset'!$P$11='Dataset'!$P$7,'Zhuravlev Distances'!H$7&lt;$D$7),1,0)</f>
        <v>1</v>
      </c>
      <c r="I18" s="80">
        <f>SUM(B18:H18)</f>
        <v>3</v>
      </c>
    </row>
    <row r="19">
      <c r="A19" s="62" t="inlineStr">
        <is>
          <t xml:space="preserve">S₄</t>
        </is>
      </c>
      <c r="B19" s="76">
        <f>IF(AND('Dataset'!$P$5='Dataset'!$P$8,'Zhuravlev Distances'!B$8&lt;$D$8),1,0)</f>
        <v>0</v>
      </c>
      <c r="C19" s="76">
        <f>IF(AND('Dataset'!$P$6='Dataset'!$P$8,'Zhuravlev Distances'!C$8&lt;$D$8),1,0)</f>
        <v>0</v>
      </c>
      <c r="D19" s="76">
        <f>IF(AND('Dataset'!$P$7='Dataset'!$P$8,'Zhuravlev Distances'!D$8&lt;$D$8),1,0)</f>
        <v>0</v>
      </c>
      <c r="E19" s="76">
        <f>IF(AND('Dataset'!$P$8='Dataset'!$P$8,'Zhuravlev Distances'!E$8&lt;$D$8),1,0)</f>
        <v>1</v>
      </c>
      <c r="F19" s="76">
        <f>IF(AND('Dataset'!$P$9='Dataset'!$P$8,'Zhuravlev Distances'!F$8&lt;$D$8),1,0)</f>
        <v>0</v>
      </c>
      <c r="G19" s="76">
        <f>IF(AND('Dataset'!$P$10='Dataset'!$P$8,'Zhuravlev Distances'!G$8&lt;$D$8),1,0)</f>
        <v>0</v>
      </c>
      <c r="H19" s="76">
        <f>IF(AND('Dataset'!$P$11='Dataset'!$P$8,'Zhuravlev Distances'!H$8&lt;$D$8),1,0)</f>
        <v>0</v>
      </c>
      <c r="I19" s="80">
        <f>SUM(B19:H19)</f>
        <v>1</v>
      </c>
    </row>
    <row r="20">
      <c r="A20" s="62" t="inlineStr">
        <is>
          <t xml:space="preserve">S₅</t>
        </is>
      </c>
      <c r="B20" s="76">
        <f>IF(AND('Dataset'!$P$5='Dataset'!$P$9,'Zhuravlev Distances'!B$9&lt;$D$9),1,0)</f>
        <v>1</v>
      </c>
      <c r="C20" s="76">
        <f>IF(AND('Dataset'!$P$6='Dataset'!$P$9,'Zhuravlev Distances'!C$9&lt;$D$9),1,0)</f>
        <v>1</v>
      </c>
      <c r="D20" s="76">
        <f>IF(AND('Dataset'!$P$7='Dataset'!$P$9,'Zhuravlev Distances'!D$9&lt;$D$9),1,0)</f>
        <v>0</v>
      </c>
      <c r="E20" s="76">
        <f>IF(AND('Dataset'!$P$8='Dataset'!$P$9,'Zhuravlev Distances'!E$9&lt;$D$9),1,0)</f>
        <v>0</v>
      </c>
      <c r="F20" s="76">
        <f>IF(AND('Dataset'!$P$9='Dataset'!$P$9,'Zhuravlev Distances'!F$9&lt;$D$9),1,0)</f>
        <v>1</v>
      </c>
      <c r="G20" s="76">
        <f>IF(AND('Dataset'!$P$10='Dataset'!$P$9,'Zhuravlev Distances'!G$9&lt;$D$9),1,0)</f>
        <v>0</v>
      </c>
      <c r="H20" s="76">
        <f>IF(AND('Dataset'!$P$11='Dataset'!$P$9,'Zhuravlev Distances'!H$9&lt;$D$9),1,0)</f>
        <v>0</v>
      </c>
      <c r="I20" s="80">
        <f>SUM(B20:H20)</f>
        <v>3</v>
      </c>
    </row>
    <row r="21">
      <c r="A21" s="62" t="inlineStr">
        <is>
          <t xml:space="preserve">S₆</t>
        </is>
      </c>
      <c r="B21" s="76">
        <f>IF(AND('Dataset'!$P$5='Dataset'!$P$10,'Zhuravlev Distances'!B$10&lt;$D$10),1,0)</f>
        <v>0</v>
      </c>
      <c r="C21" s="76">
        <f>IF(AND('Dataset'!$P$6='Dataset'!$P$10,'Zhuravlev Distances'!C$10&lt;$D$10),1,0)</f>
        <v>0</v>
      </c>
      <c r="D21" s="76">
        <f>IF(AND('Dataset'!$P$7='Dataset'!$P$10,'Zhuravlev Distances'!D$10&lt;$D$10),1,0)</f>
        <v>0</v>
      </c>
      <c r="E21" s="76">
        <f>IF(AND('Dataset'!$P$8='Dataset'!$P$10,'Zhuravlev Distances'!E$10&lt;$D$10),1,0)</f>
        <v>0</v>
      </c>
      <c r="F21" s="76">
        <f>IF(AND('Dataset'!$P$9='Dataset'!$P$10,'Zhuravlev Distances'!F$10&lt;$D$10),1,0)</f>
        <v>0</v>
      </c>
      <c r="G21" s="76">
        <f>IF(AND('Dataset'!$P$10='Dataset'!$P$10,'Zhuravlev Distances'!G$10&lt;$D$10),1,0)</f>
        <v>1</v>
      </c>
      <c r="H21" s="76">
        <f>IF(AND('Dataset'!$P$11='Dataset'!$P$10,'Zhuravlev Distances'!H$10&lt;$D$10),1,0)</f>
        <v>0</v>
      </c>
      <c r="I21" s="80">
        <f>SUM(B21:H21)</f>
        <v>1</v>
      </c>
    </row>
    <row r="22">
      <c r="A22" s="62" t="inlineStr">
        <is>
          <t xml:space="preserve">S₇</t>
        </is>
      </c>
      <c r="B22" s="76">
        <f>IF(AND('Dataset'!$P$5='Dataset'!$P$11,'Zhuravlev Distances'!B$11&lt;$D$11),1,0)</f>
        <v>0</v>
      </c>
      <c r="C22" s="76">
        <f>IF(AND('Dataset'!$P$6='Dataset'!$P$11,'Zhuravlev Distances'!C$11&lt;$D$11),1,0)</f>
        <v>0</v>
      </c>
      <c r="D22" s="76">
        <f>IF(AND('Dataset'!$P$7='Dataset'!$P$11,'Zhuravlev Distances'!D$11&lt;$D$11),1,0)</f>
        <v>1</v>
      </c>
      <c r="E22" s="76">
        <f>IF(AND('Dataset'!$P$8='Dataset'!$P$11,'Zhuravlev Distances'!E$11&lt;$D$11),1,0)</f>
        <v>0</v>
      </c>
      <c r="F22" s="76">
        <f>IF(AND('Dataset'!$P$9='Dataset'!$P$11,'Zhuravlev Distances'!F$11&lt;$D$11),1,0)</f>
        <v>0</v>
      </c>
      <c r="G22" s="76">
        <f>IF(AND('Dataset'!$P$10='Dataset'!$P$11,'Zhuravlev Distances'!G$11&lt;$D$11),1,0)</f>
        <v>0</v>
      </c>
      <c r="H22" s="76">
        <f>IF(AND('Dataset'!$P$11='Dataset'!$P$11,'Zhuravlev Distances'!H$11&lt;$D$11),1,0)</f>
        <v>1</v>
      </c>
      <c r="I22" s="80">
        <f>SUM(B22:H22)</f>
        <v>2</v>
      </c>
    </row>
    <row r="23">
      <c r="A23" s="63" t="inlineStr">
        <is>
          <t xml:space="preserve">Spheres with Sⱼ</t>
        </is>
      </c>
      <c r="B23" s="77">
        <f>SUM(B16:B22)</f>
        <v>3</v>
      </c>
      <c r="C23" s="77">
        <f>SUM(C16:C22)</f>
        <v>3</v>
      </c>
      <c r="D23" s="77">
        <f>SUM(D16:D22)</f>
        <v>2</v>
      </c>
      <c r="E23" s="77">
        <f>SUM(E16:E22)</f>
        <v>2</v>
      </c>
      <c r="F23" s="77">
        <f>SUM(F16:F22)</f>
        <v>3</v>
      </c>
      <c r="G23" s="77">
        <f>SUM(G16:G22)</f>
        <v>2</v>
      </c>
      <c r="H23" s="77">
        <f>SUM(H16:H22)</f>
        <v>2</v>
      </c>
    </row>
    <row r="24"/>
    <row r="25">
      <c r="A25" s="100" t="inlineStr">
        <is>
          <t xml:space="preserve">g(Sᵢ) counts Sᵢ itself (ρ(Sᵢ, Sᵢ) = 0 &lt; r(Sᵢ)); the article confirms it: “g(Sⱼ) = 1 (т.е. Sⱼ остался единственным объектом в своей r(Sⱼ)-окрестности)”.</t>
        </is>
      </c>
    </row>
    <row r="26">
      <c r="A26" s="100" t="inlineStr">
        <is>
          <t xml:space="preserve">d(Sᵢ) is small when the k-th neighbour lies as far as the nearest enemy; d = 0 when the enemy itself is the k-th neighbour.</t>
        </is>
      </c>
    </row>
    <row r="27">
      <c r="A27" s="100" t="inlineStr">
        <is>
          <t xml:space="preserve">Priority position = 1 + #{objects before Sᵢ by (d, r, index)} — the static Step 2 order; the queue of every iteration is this order restricted to unprocessed objects of F.</t>
        </is>
      </c>
    </row>
    <row r="28">
      <c r="A28" s="100" t="inlineStr">
        <is>
          <t xml:space="preserve">Rows of M show who is inside the sphere of Sᵢ; when Sⱼ is selected, the column of Sⱼ shows whose spheres contain it — Step 4 keeps those that are still in F, have g &gt; 1 and are allowed by readings A and B.</t>
        </is>
      </c>
    </row>
  </sheetData>
  <mergeCells count="3">
    <mergeCell ref="A1:M1"/>
    <mergeCell ref="A3:M3"/>
    <mergeCell ref="A14:I14"/>
  </mergeCells>
  <conditionalFormatting sqref="E5:E11">
    <cfRule type="cellIs" dxfId="6" priority="1" operator="equal">
      <formula>1</formula>
    </cfRule>
  </conditionalFormatting>
  <conditionalFormatting sqref="J5:J11">
    <cfRule type="cellIs" dxfId="1" priority="2" operator="equal">
      <formula>0</formula>
    </cfRule>
  </conditionalFormatting>
  <conditionalFormatting sqref="B16:H22">
    <cfRule type="cellIs" dxfId="0" priority="3" operator="equal">
      <formula>1</formula>
    </cfRule>
  </conditionalFormatting>
  <printOptions horizontalCentered="1"/>
  <pageMargins left="0.4" right="0.4" top="0.7" bottom="0.6" header="0.3" footer="0.3"/>
  <pageSetup paperSize="9" orientation="landscape" fitToWidth="1" fitToHeight="0"/>
  <headerFooter>
    <oddHeader>&amp;L&amp;"Calibri,Bold"&amp;9ERDR Algorithm — Heart-Disease (7, 13, 2) selected from Heart-Disease (270, 13, 2)&amp;R&amp;"Calibri,Regular"&amp;9&amp;A</oddHeader>
    <oddFooter>&amp;C&amp;"Calibri,Regular"&amp;9Page &amp;P of &amp;N</oddFooter>
  </headerFooter>
  <drawing r:id="rIdDr1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C55A11"/>
    <pageSetUpPr fitToPage="1"/>
  </sheetPr>
  <dimension ref="A1:N121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9.77734375" customWidth="1"/>
    <col min="2" max="2" width="8.77734375" customWidth="1"/>
    <col min="3" max="3" width="13.77734375" customWidth="1"/>
    <col min="4" max="4" width="14.77734375" customWidth="1"/>
    <col min="5" max="8" width="13.77734375" customWidth="1"/>
    <col min="9" max="9" width="12.77734375" customWidth="1"/>
    <col min="10" max="10" width="9.77734375" customWidth="1"/>
    <col min="11" max="11" width="15.77734375" customWidth="1"/>
    <col min="12" max="12" width="14.77734375" customWidth="1"/>
    <col min="13" max="13" width="40.77734375" customWidth="1"/>
    <col min="14" max="14" width="52.77734375" customWidth="1"/>
  </cols>
  <sheetData>
    <row r="1" ht="22" customHeight="1">
      <c r="A1" s="57" t="inlineStr">
        <is>
          <t xml:space="preserve">ERDR Step 1 · Hyperspheres of every object — the enemy sphere (Sᵢ, r(Sᵢ)) with its g(Sᵢ) members, the k-sphere (Sᵢ, z(Sᵢ, k)), and d(Sᵢ) as the gap between the two radii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/>
    <row r="3">
      <c r="A3" s="58" t="inlineStr">
        <is>
          <t xml:space="preserve">Enemy sphere (Sᵢ, r(Sᵢ)) — open sphere through the nearest enemy; only own-class objects strictly inside are counted (Sᵢ itself included)</t>
        </is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</row>
    <row r="4" ht="48" customHeight="1">
      <c r="A4" s="60" t="inlineStr">
        <is>
          <t xml:space="preserve">№</t>
        </is>
      </c>
      <c r="B4" s="60" t="inlineStr">
        <is>
          <t xml:space="preserve">Class</t>
        </is>
      </c>
      <c r="C4" s="60" t="inlineStr">
        <is>
          <t xml:space="preserve">r(Sᵢ) · radius</t>
        </is>
      </c>
      <c r="D4" s="60" t="inlineStr">
        <is>
          <t xml:space="preserve">Nearest enemy (on the sphere)</t>
        </is>
      </c>
      <c r="E4" s="60" t="inlineStr">
        <is>
          <t xml:space="preserve">Own class strictly inside (Sᵢ excluded)</t>
        </is>
      </c>
      <c r="F4" s="60" t="inlineStr">
        <is>
          <t xml:space="preserve">Own class on the sphere (ρ = r, not counted)</t>
        </is>
      </c>
      <c r="G4" s="60" t="inlineStr">
        <is>
          <t xml:space="preserve">Enemies strictly inside</t>
        </is>
      </c>
      <c r="H4" s="60" t="inlineStr">
        <is>
          <t xml:space="preserve">Enemies on the sphere</t>
        </is>
      </c>
      <c r="I4" s="60" t="inlineStr">
        <is>
          <t xml:space="preserve">g(Sᵢ) = 1 + inside</t>
        </is>
      </c>
      <c r="J4" s="60" t="inlineStr">
        <is>
          <t xml:space="preserve">= Step 1</t>
        </is>
      </c>
      <c r="K4" s="60" t="inlineStr">
        <is>
          <t xml:space="preserve">Closed count as in ML 7.20 (ρ ≤ r, all classes)</t>
        </is>
      </c>
      <c r="L4" s="60" t="inlineStr">
        <is>
          <t xml:space="preserve">7.20 count − objects on the sphere = g</t>
        </is>
      </c>
      <c r="M4" s="60" t="inlineStr">
        <is>
          <t xml:space="preserve">Members of the enemy sphere (g)</t>
        </is>
      </c>
      <c r="N4" s="60" t="inlineStr">
        <is>
          <t xml:space="preserve">Reading</t>
        </is>
      </c>
    </row>
    <row r="5">
      <c r="A5" s="62" t="inlineStr">
        <is>
          <t xml:space="preserve">S₁</t>
        </is>
      </c>
      <c r="B5" s="68">
        <f>'Dataset'!$P$5</f>
        <v>2</v>
      </c>
      <c r="C5" s="81">
        <f>'ERDR Characteristics'!$D$5</f>
        <v>5.60708061</v>
      </c>
      <c r="D5" s="62" t="str">
        <f>'ERDR Characteristics'!$C$5</f>
        <v>S₃</v>
      </c>
      <c r="E5" s="76">
        <f>SUMPRODUCT(('Hypersphere Data'!$B$13:$H$13='Dataset'!$P$5)*('Zhuravlev Distances'!$B$5:$H$5&lt;C5))-1</f>
        <v>2</v>
      </c>
      <c r="F5" s="76">
        <f>SUMPRODUCT(('Hypersphere Data'!$B$13:$H$13='Dataset'!$P$5)*('Zhuravlev Distances'!$B$5:$H$5=C5))</f>
        <v>0</v>
      </c>
      <c r="G5" s="76">
        <f>SUMPRODUCT(('Hypersphere Data'!$B$13:$H$13&lt;&gt;'Dataset'!$P$5)*('Zhuravlev Distances'!$B$5:$H$5&lt;C5))</f>
        <v>0</v>
      </c>
      <c r="H5" s="76">
        <f>SUMPRODUCT(('Hypersphere Data'!$B$13:$H$13&lt;&gt;'Dataset'!$P$5)*('Zhuravlev Distances'!$B$5:$H$5=C5))</f>
        <v>1</v>
      </c>
      <c r="I5" s="80">
        <f>1+E5</f>
        <v>3</v>
      </c>
      <c r="J5" s="95">
        <f>IF(I5='ERDR Characteristics'!$E$5,1,0)</f>
        <v>1</v>
      </c>
      <c r="K5" s="76">
        <f>SUMPRODUCT(--('Zhuravlev Distances'!$B$5:$H$5&lt;=C5))</f>
        <v>4</v>
      </c>
      <c r="L5" s="95">
        <f>IF(K5-F5-H5=I5,1,0)</f>
        <v>1</v>
      </c>
      <c r="M5" s="101" t="str">
        <f>'ERDR Characteristics'!$L$5</f>
        <v>S₁ (itself), S₂, S₅</v>
      </c>
      <c r="N5" s="101" t="str">
        <f>IF(I5=1,"border object — it can never cover another object",IF(F5&gt;0,"dense; own-class objects on the sphere are not counted","dense: "&amp;E5&amp;" own-class object"&amp;IF(E5=1,"","s")&amp;" inside"))</f>
        <v>dense: 2 own-class objects inside</v>
      </c>
    </row>
    <row r="6">
      <c r="A6" s="62" t="inlineStr">
        <is>
          <t xml:space="preserve">S₂</t>
        </is>
      </c>
      <c r="B6" s="68">
        <f>'Dataset'!$P$6</f>
        <v>2</v>
      </c>
      <c r="C6" s="81">
        <f>'ERDR Characteristics'!$D$6</f>
        <v>7.4699698919</v>
      </c>
      <c r="D6" s="62" t="str">
        <f>'ERDR Characteristics'!$C$6</f>
        <v>S₃</v>
      </c>
      <c r="E6" s="76">
        <f>SUMPRODUCT(('Hypersphere Data'!$B$13:$H$13='Dataset'!$P$6)*('Zhuravlev Distances'!$B$6:$H$6&lt;C6))-1</f>
        <v>3</v>
      </c>
      <c r="F6" s="76">
        <f>SUMPRODUCT(('Hypersphere Data'!$B$13:$H$13='Dataset'!$P$6)*('Zhuravlev Distances'!$B$6:$H$6=C6))</f>
        <v>0</v>
      </c>
      <c r="G6" s="76">
        <f>SUMPRODUCT(('Hypersphere Data'!$B$13:$H$13&lt;&gt;'Dataset'!$P$6)*('Zhuravlev Distances'!$B$6:$H$6&lt;C6))</f>
        <v>0</v>
      </c>
      <c r="H6" s="76">
        <f>SUMPRODUCT(('Hypersphere Data'!$B$13:$H$13&lt;&gt;'Dataset'!$P$6)*('Zhuravlev Distances'!$B$6:$H$6=C6))</f>
        <v>1</v>
      </c>
      <c r="I6" s="80">
        <f>1+E6</f>
        <v>4</v>
      </c>
      <c r="J6" s="95">
        <f>IF(I6='ERDR Characteristics'!$E$6,1,0)</f>
        <v>1</v>
      </c>
      <c r="K6" s="76">
        <f>SUMPRODUCT(--('Zhuravlev Distances'!$B$6:$H$6&lt;=C6))</f>
        <v>5</v>
      </c>
      <c r="L6" s="95">
        <f>IF(K6-F6-H6=I6,1,0)</f>
        <v>1</v>
      </c>
      <c r="M6" s="101" t="str">
        <f>'ERDR Characteristics'!$L$6</f>
        <v>S₂ (itself), S₁, S₅, S₄</v>
      </c>
      <c r="N6" s="101" t="str">
        <f>IF(I6=1,"border object — it can never cover another object",IF(F6&gt;0,"dense; own-class objects on the sphere are not counted","dense: "&amp;E6&amp;" own-class object"&amp;IF(E6=1,"","s")&amp;" inside"))</f>
        <v>dense: 3 own-class objects inside</v>
      </c>
    </row>
    <row r="7">
      <c r="A7" s="62" t="inlineStr">
        <is>
          <t xml:space="preserve">S₃</t>
        </is>
      </c>
      <c r="B7" s="68">
        <f>'Dataset'!$P$7</f>
        <v>1</v>
      </c>
      <c r="C7" s="81">
        <f>'ERDR Characteristics'!$D$7</f>
        <v>5.60708061</v>
      </c>
      <c r="D7" s="62" t="str">
        <f>'ERDR Characteristics'!$C$7</f>
        <v>S₁</v>
      </c>
      <c r="E7" s="76">
        <f>SUMPRODUCT(('Hypersphere Data'!$B$13:$H$13='Dataset'!$P$7)*('Zhuravlev Distances'!$B$7:$H$7&lt;C7))-1</f>
        <v>2</v>
      </c>
      <c r="F7" s="76">
        <f>SUMPRODUCT(('Hypersphere Data'!$B$13:$H$13='Dataset'!$P$7)*('Zhuravlev Distances'!$B$7:$H$7=C7))</f>
        <v>0</v>
      </c>
      <c r="G7" s="76">
        <f>SUMPRODUCT(('Hypersphere Data'!$B$13:$H$13&lt;&gt;'Dataset'!$P$7)*('Zhuravlev Distances'!$B$7:$H$7&lt;C7))</f>
        <v>0</v>
      </c>
      <c r="H7" s="76">
        <f>SUMPRODUCT(('Hypersphere Data'!$B$13:$H$13&lt;&gt;'Dataset'!$P$7)*('Zhuravlev Distances'!$B$7:$H$7=C7))</f>
        <v>1</v>
      </c>
      <c r="I7" s="80">
        <f>1+E7</f>
        <v>3</v>
      </c>
      <c r="J7" s="95">
        <f>IF(I7='ERDR Characteristics'!$E$7,1,0)</f>
        <v>1</v>
      </c>
      <c r="K7" s="76">
        <f>SUMPRODUCT(--('Zhuravlev Distances'!$B$7:$H$7&lt;=C7))</f>
        <v>4</v>
      </c>
      <c r="L7" s="95">
        <f>IF(K7-F7-H7=I7,1,0)</f>
        <v>1</v>
      </c>
      <c r="M7" s="101" t="str">
        <f>'ERDR Characteristics'!$L$7</f>
        <v>S₃ (itself), S₇, S₆</v>
      </c>
      <c r="N7" s="101" t="str">
        <f>IF(I7=1,"border object — it can never cover another object",IF(F7&gt;0,"dense; own-class objects on the sphere are not counted","dense: "&amp;E7&amp;" own-class object"&amp;IF(E7=1,"","s")&amp;" inside"))</f>
        <v>dense: 2 own-class objects inside</v>
      </c>
    </row>
    <row r="8">
      <c r="A8" s="62" t="inlineStr">
        <is>
          <t xml:space="preserve">S₄</t>
        </is>
      </c>
      <c r="B8" s="68">
        <f>'Dataset'!$P$8</f>
        <v>2</v>
      </c>
      <c r="C8" s="81">
        <f>'ERDR Characteristics'!$D$8</f>
        <v>3.7071187508</v>
      </c>
      <c r="D8" s="62" t="str">
        <f>'ERDR Characteristics'!$C$8</f>
        <v>S₆</v>
      </c>
      <c r="E8" s="76">
        <f>SUMPRODUCT(('Hypersphere Data'!$B$13:$H$13='Dataset'!$P$8)*('Zhuravlev Distances'!$B$8:$H$8&lt;C8))-1</f>
        <v>0</v>
      </c>
      <c r="F8" s="76">
        <f>SUMPRODUCT(('Hypersphere Data'!$B$13:$H$13='Dataset'!$P$8)*('Zhuravlev Distances'!$B$8:$H$8=C8))</f>
        <v>0</v>
      </c>
      <c r="G8" s="76">
        <f>SUMPRODUCT(('Hypersphere Data'!$B$13:$H$13&lt;&gt;'Dataset'!$P$8)*('Zhuravlev Distances'!$B$8:$H$8&lt;C8))</f>
        <v>0</v>
      </c>
      <c r="H8" s="76">
        <f>SUMPRODUCT(('Hypersphere Data'!$B$13:$H$13&lt;&gt;'Dataset'!$P$8)*('Zhuravlev Distances'!$B$8:$H$8=C8))</f>
        <v>1</v>
      </c>
      <c r="I8" s="80">
        <f>1+E8</f>
        <v>1</v>
      </c>
      <c r="J8" s="95">
        <f>IF(I8='ERDR Characteristics'!$E$8,1,0)</f>
        <v>1</v>
      </c>
      <c r="K8" s="76">
        <f>SUMPRODUCT(--('Zhuravlev Distances'!$B$8:$H$8&lt;=C8))</f>
        <v>2</v>
      </c>
      <c r="L8" s="95">
        <f>IF(K8-F8-H8=I8,1,0)</f>
        <v>1</v>
      </c>
      <c r="M8" s="101" t="str">
        <f>'ERDR Characteristics'!$L$8</f>
        <v>S₄ (itself)</v>
      </c>
      <c r="N8" s="101" t="str">
        <f>IF(I8=1,"border object — it can never cover another object",IF(F8&gt;0,"dense; own-class objects on the sphere are not counted","dense: "&amp;E8&amp;" own-class object"&amp;IF(E8=1,"","s")&amp;" inside"))</f>
        <v>border object — it can never cover another object</v>
      </c>
    </row>
    <row r="9">
      <c r="A9" s="62" t="inlineStr">
        <is>
          <t xml:space="preserve">S₅</t>
        </is>
      </c>
      <c r="B9" s="68">
        <f>'Dataset'!$P$9</f>
        <v>2</v>
      </c>
      <c r="C9" s="81">
        <f>'ERDR Characteristics'!$D$9</f>
        <v>7.1117040273</v>
      </c>
      <c r="D9" s="62" t="str">
        <f>'ERDR Characteristics'!$C$9</f>
        <v>S₇</v>
      </c>
      <c r="E9" s="76">
        <f>SUMPRODUCT(('Hypersphere Data'!$B$13:$H$13='Dataset'!$P$9)*('Zhuravlev Distances'!$B$9:$H$9&lt;C9))-1</f>
        <v>2</v>
      </c>
      <c r="F9" s="76">
        <f>SUMPRODUCT(('Hypersphere Data'!$B$13:$H$13='Dataset'!$P$9)*('Zhuravlev Distances'!$B$9:$H$9=C9))</f>
        <v>0</v>
      </c>
      <c r="G9" s="76">
        <f>SUMPRODUCT(('Hypersphere Data'!$B$13:$H$13&lt;&gt;'Dataset'!$P$9)*('Zhuravlev Distances'!$B$9:$H$9&lt;C9))</f>
        <v>0</v>
      </c>
      <c r="H9" s="76">
        <f>SUMPRODUCT(('Hypersphere Data'!$B$13:$H$13&lt;&gt;'Dataset'!$P$9)*('Zhuravlev Distances'!$B$9:$H$9=C9))</f>
        <v>1</v>
      </c>
      <c r="I9" s="80">
        <f>1+E9</f>
        <v>3</v>
      </c>
      <c r="J9" s="95">
        <f>IF(I9='ERDR Characteristics'!$E$9,1,0)</f>
        <v>1</v>
      </c>
      <c r="K9" s="76">
        <f>SUMPRODUCT(--('Zhuravlev Distances'!$B$9:$H$9&lt;=C9))</f>
        <v>4</v>
      </c>
      <c r="L9" s="95">
        <f>IF(K9-F9-H9=I9,1,0)</f>
        <v>1</v>
      </c>
      <c r="M9" s="101" t="str">
        <f>'ERDR Characteristics'!$L$9</f>
        <v>S₅ (itself), S₁, S₂</v>
      </c>
      <c r="N9" s="101" t="str">
        <f>IF(I9=1,"border object — it can never cover another object",IF(F9&gt;0,"dense; own-class objects on the sphere are not counted","dense: "&amp;E9&amp;" own-class object"&amp;IF(E9=1,"","s")&amp;" inside"))</f>
        <v>dense: 2 own-class objects inside</v>
      </c>
    </row>
    <row r="10">
      <c r="A10" s="62" t="inlineStr">
        <is>
          <t xml:space="preserve">S₆</t>
        </is>
      </c>
      <c r="B10" s="68">
        <f>'Dataset'!$P$10</f>
        <v>1</v>
      </c>
      <c r="C10" s="81">
        <f>'ERDR Characteristics'!$D$10</f>
        <v>3.7071187508</v>
      </c>
      <c r="D10" s="62" t="str">
        <f>'ERDR Characteristics'!$C$10</f>
        <v>S₄</v>
      </c>
      <c r="E10" s="76">
        <f>SUMPRODUCT(('Hypersphere Data'!$B$13:$H$13='Dataset'!$P$10)*('Zhuravlev Distances'!$B$10:$H$10&lt;C10))-1</f>
        <v>0</v>
      </c>
      <c r="F10" s="76">
        <f>SUMPRODUCT(('Hypersphere Data'!$B$13:$H$13='Dataset'!$P$10)*('Zhuravlev Distances'!$B$10:$H$10=C10))</f>
        <v>0</v>
      </c>
      <c r="G10" s="76">
        <f>SUMPRODUCT(('Hypersphere Data'!$B$13:$H$13&lt;&gt;'Dataset'!$P$10)*('Zhuravlev Distances'!$B$10:$H$10&lt;C10))</f>
        <v>0</v>
      </c>
      <c r="H10" s="76">
        <f>SUMPRODUCT(('Hypersphere Data'!$B$13:$H$13&lt;&gt;'Dataset'!$P$10)*('Zhuravlev Distances'!$B$10:$H$10=C10))</f>
        <v>1</v>
      </c>
      <c r="I10" s="80">
        <f>1+E10</f>
        <v>1</v>
      </c>
      <c r="J10" s="95">
        <f>IF(I10='ERDR Characteristics'!$E$10,1,0)</f>
        <v>1</v>
      </c>
      <c r="K10" s="76">
        <f>SUMPRODUCT(--('Zhuravlev Distances'!$B$10:$H$10&lt;=C10))</f>
        <v>2</v>
      </c>
      <c r="L10" s="95">
        <f>IF(K10-F10-H10=I10,1,0)</f>
        <v>1</v>
      </c>
      <c r="M10" s="101" t="str">
        <f>'ERDR Characteristics'!$L$10</f>
        <v>S₆ (itself)</v>
      </c>
      <c r="N10" s="101" t="str">
        <f>IF(I10=1,"border object — it can never cover another object",IF(F10&gt;0,"dense; own-class objects on the sphere are not counted","dense: "&amp;E10&amp;" own-class object"&amp;IF(E10=1,"","s")&amp;" inside"))</f>
        <v>border object — it can never cover another object</v>
      </c>
    </row>
    <row r="11">
      <c r="A11" s="62" t="inlineStr">
        <is>
          <t xml:space="preserve">S₇</t>
        </is>
      </c>
      <c r="B11" s="68">
        <f>'Dataset'!$P$11</f>
        <v>1</v>
      </c>
      <c r="C11" s="81">
        <f>'ERDR Characteristics'!$D$11</f>
        <v>3.9109813746</v>
      </c>
      <c r="D11" s="62" t="str">
        <f>'ERDR Characteristics'!$C$11</f>
        <v>S₄</v>
      </c>
      <c r="E11" s="76">
        <f>SUMPRODUCT(('Hypersphere Data'!$B$13:$H$13='Dataset'!$P$11)*('Zhuravlev Distances'!$B$11:$H$11&lt;C11))-1</f>
        <v>1</v>
      </c>
      <c r="F11" s="76">
        <f>SUMPRODUCT(('Hypersphere Data'!$B$13:$H$13='Dataset'!$P$11)*('Zhuravlev Distances'!$B$11:$H$11=C11))</f>
        <v>0</v>
      </c>
      <c r="G11" s="76">
        <f>SUMPRODUCT(('Hypersphere Data'!$B$13:$H$13&lt;&gt;'Dataset'!$P$11)*('Zhuravlev Distances'!$B$11:$H$11&lt;C11))</f>
        <v>0</v>
      </c>
      <c r="H11" s="76">
        <f>SUMPRODUCT(('Hypersphere Data'!$B$13:$H$13&lt;&gt;'Dataset'!$P$11)*('Zhuravlev Distances'!$B$11:$H$11=C11))</f>
        <v>1</v>
      </c>
      <c r="I11" s="80">
        <f>1+E11</f>
        <v>2</v>
      </c>
      <c r="J11" s="95">
        <f>IF(I11='ERDR Characteristics'!$E$11,1,0)</f>
        <v>1</v>
      </c>
      <c r="K11" s="76">
        <f>SUMPRODUCT(--('Zhuravlev Distances'!$B$11:$H$11&lt;=C11))</f>
        <v>3</v>
      </c>
      <c r="L11" s="95">
        <f>IF(K11-F11-H11=I11,1,0)</f>
        <v>1</v>
      </c>
      <c r="M11" s="101" t="str">
        <f>'ERDR Characteristics'!$L$11</f>
        <v>S₇ (itself), S₃</v>
      </c>
      <c r="N11" s="101" t="str">
        <f>IF(I11=1,"border object — it can never cover another object",IF(F11&gt;0,"dense; own-class objects on the sphere are not counted","dense: "&amp;E11&amp;" own-class object"&amp;IF(E11=1,"","s")&amp;" inside"))</f>
        <v>dense: 1 own-class object inside</v>
      </c>
    </row>
    <row r="12"/>
    <row r="13">
      <c r="A13" s="58" t="inlineStr">
        <is>
          <t xml:space="preserve">k-sphere (Sᵢ, z(Sᵢ, k)) against the enemy sphere — d(Sᵢ) = |z − r| / (z + r) depends only on the ratio q of the two radii: d = (1 − q) / (1 + q)</t>
        </is>
      </c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</row>
    <row r="14" ht="48" customHeight="1">
      <c r="A14" s="60" t="inlineStr">
        <is>
          <t xml:space="preserve">№</t>
        </is>
      </c>
      <c r="B14" s="60" t="inlineStr">
        <is>
          <t xml:space="preserve">Class</t>
        </is>
      </c>
      <c r="C14" s="60" t="inlineStr">
        <is>
          <t xml:space="preserve">k-th neighbour (on the k-sphere)</t>
        </is>
      </c>
      <c r="D14" s="60" t="inlineStr">
        <is>
          <t xml:space="preserve">z(Sᵢ, k) · radius</t>
        </is>
      </c>
      <c r="E14" s="60" t="inlineStr">
        <is>
          <t xml:space="preserve">r(Sᵢ) · radius</t>
        </is>
      </c>
      <c r="F14" s="60" t="inlineStr">
        <is>
          <t xml:space="preserve">Neighbours in the k-sphere (ρ ≤ z)</t>
        </is>
      </c>
      <c r="G14" s="60" t="inlineStr">
        <is>
          <t xml:space="preserve">… of the own class</t>
        </is>
      </c>
      <c r="H14" s="60" t="inlineStr">
        <is>
          <t xml:space="preserve">… enemies</t>
        </is>
      </c>
      <c r="I14" s="60" t="inlineStr">
        <is>
          <t xml:space="preserve">Rank e of the nearest enemy</t>
        </is>
      </c>
      <c r="J14" s="60" t="inlineStr">
        <is>
          <t xml:space="preserve">q = min(r, z) / max(r, z)</t>
        </is>
      </c>
      <c r="K14" s="60" t="inlineStr">
        <is>
          <t xml:space="preserve">d = (1 − q) / (1 + q)</t>
        </is>
      </c>
      <c r="L14" s="60" t="inlineStr">
        <is>
          <t xml:space="preserve">= Step 1</t>
        </is>
      </c>
      <c r="M14" s="60" t="inlineStr">
        <is>
          <t xml:space="preserve">Relation of the two spheres</t>
        </is>
      </c>
      <c r="N14" s="60" t="inlineStr">
        <is>
          <t xml:space="preserve">What it means for ERDR</t>
        </is>
      </c>
    </row>
    <row r="15">
      <c r="A15" s="62" t="inlineStr">
        <is>
          <t xml:space="preserve">S₁</t>
        </is>
      </c>
      <c r="B15" s="68">
        <f>'Dataset'!$P$5</f>
        <v>2</v>
      </c>
      <c r="C15" s="62" t="str">
        <f>'ERDR Characteristics'!$G$5</f>
        <v>S₃</v>
      </c>
      <c r="D15" s="81">
        <f>'ERDR Characteristics'!$H$5</f>
        <v>5.60708061</v>
      </c>
      <c r="E15" s="81">
        <f>'ERDR Characteristics'!$D$5</f>
        <v>5.60708061</v>
      </c>
      <c r="F15" s="76">
        <f>SUMPRODUCT(--('Zhuravlev Distances'!$B$5:$H$5&lt;=D15))-1</f>
        <v>3</v>
      </c>
      <c r="G15" s="76">
        <f>SUMPRODUCT(('Hypersphere Data'!$B$13:$H$13='Dataset'!$P$5)*('Zhuravlev Distances'!$B$5:$H$5&lt;=D15))-1</f>
        <v>2</v>
      </c>
      <c r="H15" s="76">
        <f>F15-G15</f>
        <v>1</v>
      </c>
      <c r="I15" s="77">
        <f>'ERDR Characteristics'!$F$5</f>
        <v>3</v>
      </c>
      <c r="J15" s="73">
        <f>IF(MAX(D15,E15)=0,1,MIN(D15,E15)/MAX(D15,E15))</f>
        <v>1</v>
      </c>
      <c r="K15" s="91">
        <f>ROUND((1-J15)/(1+J15),10)</f>
        <v>0</v>
      </c>
      <c r="L15" s="95">
        <f>IF(ABS(K15-'ERDR Characteristics'!$J$5)&lt;0.000000001,1,0)</f>
        <v>1</v>
      </c>
      <c r="M15" s="101" t="str">
        <f>IF(D15&lt;E15,"z &lt; r · k-sphere inside the enemy sphere",IF(D15=E15,"z = r · the two spheres coincide","z &gt; r · the enemy lies inside the k-sphere"))</f>
        <v>z = r · the two spheres coincide</v>
      </c>
      <c r="N15" s="101" t="str">
        <f>IF(D15=E15,IF(I15='Parameters'!$B$12,"e = k: the nearest enemy is the k-th neighbour → d = 0","tie at distance r: the k-th neighbour is on the enemy sphere → d = 0"),IF(D15&lt;E15,"e &gt; k: the k nearest are own class → g ≥ k + 1","e &lt; k: the enemy comes before the k-th → g ≤ k − 1"))</f>
        <v>e = k: the nearest enemy is the k-th neighbour → d = 0</v>
      </c>
    </row>
    <row r="16">
      <c r="A16" s="62" t="inlineStr">
        <is>
          <t xml:space="preserve">S₂</t>
        </is>
      </c>
      <c r="B16" s="68">
        <f>'Dataset'!$P$6</f>
        <v>2</v>
      </c>
      <c r="C16" s="62" t="str">
        <f>'ERDR Characteristics'!$G$6</f>
        <v>S₄</v>
      </c>
      <c r="D16" s="81">
        <f>'ERDR Characteristics'!$H$6</f>
        <v>6.3691657565</v>
      </c>
      <c r="E16" s="81">
        <f>'ERDR Characteristics'!$D$6</f>
        <v>7.4699698919</v>
      </c>
      <c r="F16" s="76">
        <f>SUMPRODUCT(--('Zhuravlev Distances'!$B$6:$H$6&lt;=D16))-1</f>
        <v>3</v>
      </c>
      <c r="G16" s="76">
        <f>SUMPRODUCT(('Hypersphere Data'!$B$13:$H$13='Dataset'!$P$6)*('Zhuravlev Distances'!$B$6:$H$6&lt;=D16))-1</f>
        <v>3</v>
      </c>
      <c r="H16" s="76">
        <f>F16-G16</f>
        <v>0</v>
      </c>
      <c r="I16" s="77">
        <f>'ERDR Characteristics'!$F$6</f>
        <v>4</v>
      </c>
      <c r="J16" s="73">
        <f>IF(MAX(D16,E16)=0,1,MIN(D16,E16)/MAX(D16,E16))</f>
        <v>0.852636067972155</v>
      </c>
      <c r="K16" s="91">
        <f>ROUND((1-J16)/(1+J16),10)</f>
        <v>0.0795428388</v>
      </c>
      <c r="L16" s="95">
        <f>IF(ABS(K16-'ERDR Characteristics'!$J$6)&lt;0.000000001,1,0)</f>
        <v>1</v>
      </c>
      <c r="M16" s="101" t="str">
        <f>IF(D16&lt;E16,"z &lt; r · k-sphere inside the enemy sphere",IF(D16=E16,"z = r · the two spheres coincide","z &gt; r · the enemy lies inside the k-sphere"))</f>
        <v>z &lt; r · k-sphere inside the enemy sphere</v>
      </c>
      <c r="N16" s="101" t="str">
        <f>IF(D16=E16,IF(I16='Parameters'!$B$12,"e = k: the nearest enemy is the k-th neighbour → d = 0","tie at distance r: the k-th neighbour is on the enemy sphere → d = 0"),IF(D16&lt;E16,"e &gt; k: the k nearest are own class → g ≥ k + 1","e &lt; k: the enemy comes before the k-th → g ≤ k − 1"))</f>
        <v>e &gt; k: the k nearest are own class → g ≥ k + 1</v>
      </c>
    </row>
    <row r="17">
      <c r="A17" s="62" t="inlineStr">
        <is>
          <t xml:space="preserve">S₃</t>
        </is>
      </c>
      <c r="B17" s="68">
        <f>'Dataset'!$P$7</f>
        <v>1</v>
      </c>
      <c r="C17" s="62" t="str">
        <f>'ERDR Characteristics'!$G$7</f>
        <v>S₁</v>
      </c>
      <c r="D17" s="81">
        <f>'ERDR Characteristics'!$H$7</f>
        <v>5.60708061</v>
      </c>
      <c r="E17" s="81">
        <f>'ERDR Characteristics'!$D$7</f>
        <v>5.60708061</v>
      </c>
      <c r="F17" s="76">
        <f>SUMPRODUCT(--('Zhuravlev Distances'!$B$7:$H$7&lt;=D17))-1</f>
        <v>3</v>
      </c>
      <c r="G17" s="76">
        <f>SUMPRODUCT(('Hypersphere Data'!$B$13:$H$13='Dataset'!$P$7)*('Zhuravlev Distances'!$B$7:$H$7&lt;=D17))-1</f>
        <v>2</v>
      </c>
      <c r="H17" s="76">
        <f>F17-G17</f>
        <v>1</v>
      </c>
      <c r="I17" s="77">
        <f>'ERDR Characteristics'!$F$7</f>
        <v>3</v>
      </c>
      <c r="J17" s="73">
        <f>IF(MAX(D17,E17)=0,1,MIN(D17,E17)/MAX(D17,E17))</f>
        <v>1</v>
      </c>
      <c r="K17" s="91">
        <f>ROUND((1-J17)/(1+J17),10)</f>
        <v>0</v>
      </c>
      <c r="L17" s="95">
        <f>IF(ABS(K17-'ERDR Characteristics'!$J$7)&lt;0.000000001,1,0)</f>
        <v>1</v>
      </c>
      <c r="M17" s="101" t="str">
        <f>IF(D17&lt;E17,"z &lt; r · k-sphere inside the enemy sphere",IF(D17=E17,"z = r · the two spheres coincide","z &gt; r · the enemy lies inside the k-sphere"))</f>
        <v>z = r · the two spheres coincide</v>
      </c>
      <c r="N17" s="101" t="str">
        <f>IF(D17=E17,IF(I17='Parameters'!$B$12,"e = k: the nearest enemy is the k-th neighbour → d = 0","tie at distance r: the k-th neighbour is on the enemy sphere → d = 0"),IF(D17&lt;E17,"e &gt; k: the k nearest are own class → g ≥ k + 1","e &lt; k: the enemy comes before the k-th → g ≤ k − 1"))</f>
        <v>e = k: the nearest enemy is the k-th neighbour → d = 0</v>
      </c>
    </row>
    <row r="18">
      <c r="A18" s="62" t="inlineStr">
        <is>
          <t xml:space="preserve">S₄</t>
        </is>
      </c>
      <c r="B18" s="68">
        <f>'Dataset'!$P$8</f>
        <v>2</v>
      </c>
      <c r="C18" s="62" t="str">
        <f>'ERDR Characteristics'!$G$8</f>
        <v>S₃</v>
      </c>
      <c r="D18" s="81">
        <f>'ERDR Characteristics'!$H$8</f>
        <v>6.2175670209</v>
      </c>
      <c r="E18" s="81">
        <f>'ERDR Characteristics'!$D$8</f>
        <v>3.7071187508</v>
      </c>
      <c r="F18" s="76">
        <f>SUMPRODUCT(--('Zhuravlev Distances'!$B$8:$H$8&lt;=D18))-1</f>
        <v>3</v>
      </c>
      <c r="G18" s="76">
        <f>SUMPRODUCT(('Hypersphere Data'!$B$13:$H$13='Dataset'!$P$8)*('Zhuravlev Distances'!$B$8:$H$8&lt;=D18))-1</f>
        <v>0</v>
      </c>
      <c r="H18" s="76">
        <f>F18-G18</f>
        <v>3</v>
      </c>
      <c r="I18" s="77">
        <f>'ERDR Characteristics'!$F$8</f>
        <v>1</v>
      </c>
      <c r="J18" s="73">
        <f>IF(MAX(D18,E18)=0,1,MIN(D18,E18)/MAX(D18,E18))</f>
        <v>0.596233018210938</v>
      </c>
      <c r="K18" s="91">
        <f>ROUND((1-J18)/(1+J18),10)</f>
        <v>0.2529498997</v>
      </c>
      <c r="L18" s="95">
        <f>IF(ABS(K18-'ERDR Characteristics'!$J$8)&lt;0.000000001,1,0)</f>
        <v>1</v>
      </c>
      <c r="M18" s="101" t="str">
        <f>IF(D18&lt;E18,"z &lt; r · k-sphere inside the enemy sphere",IF(D18=E18,"z = r · the two spheres coincide","z &gt; r · the enemy lies inside the k-sphere"))</f>
        <v>z &gt; r · the enemy lies inside the k-sphere</v>
      </c>
      <c r="N18" s="101" t="str">
        <f>IF(D18=E18,IF(I18='Parameters'!$B$12,"e = k: the nearest enemy is the k-th neighbour → d = 0","tie at distance r: the k-th neighbour is on the enemy sphere → d = 0"),IF(D18&lt;E18,"e &gt; k: the k nearest are own class → g ≥ k + 1","e &lt; k: the enemy comes before the k-th → g ≤ k − 1"))</f>
        <v>e &lt; k: the enemy comes before the k-th → g ≤ k − 1</v>
      </c>
    </row>
    <row r="19">
      <c r="A19" s="62" t="inlineStr">
        <is>
          <t xml:space="preserve">S₅</t>
        </is>
      </c>
      <c r="B19" s="68">
        <f>'Dataset'!$P$9</f>
        <v>2</v>
      </c>
      <c r="C19" s="62" t="str">
        <f>'ERDR Characteristics'!$G$9</f>
        <v>S₇</v>
      </c>
      <c r="D19" s="81">
        <f>'ERDR Characteristics'!$H$9</f>
        <v>7.1117040273</v>
      </c>
      <c r="E19" s="81">
        <f>'ERDR Characteristics'!$D$9</f>
        <v>7.1117040273</v>
      </c>
      <c r="F19" s="76">
        <f>SUMPRODUCT(--('Zhuravlev Distances'!$B$9:$H$9&lt;=D19))-1</f>
        <v>3</v>
      </c>
      <c r="G19" s="76">
        <f>SUMPRODUCT(('Hypersphere Data'!$B$13:$H$13='Dataset'!$P$9)*('Zhuravlev Distances'!$B$9:$H$9&lt;=D19))-1</f>
        <v>2</v>
      </c>
      <c r="H19" s="76">
        <f>F19-G19</f>
        <v>1</v>
      </c>
      <c r="I19" s="77">
        <f>'ERDR Characteristics'!$F$9</f>
        <v>3</v>
      </c>
      <c r="J19" s="73">
        <f>IF(MAX(D19,E19)=0,1,MIN(D19,E19)/MAX(D19,E19))</f>
        <v>1</v>
      </c>
      <c r="K19" s="91">
        <f>ROUND((1-J19)/(1+J19),10)</f>
        <v>0</v>
      </c>
      <c r="L19" s="95">
        <f>IF(ABS(K19-'ERDR Characteristics'!$J$9)&lt;0.000000001,1,0)</f>
        <v>1</v>
      </c>
      <c r="M19" s="101" t="str">
        <f>IF(D19&lt;E19,"z &lt; r · k-sphere inside the enemy sphere",IF(D19=E19,"z = r · the two spheres coincide","z &gt; r · the enemy lies inside the k-sphere"))</f>
        <v>z = r · the two spheres coincide</v>
      </c>
      <c r="N19" s="101" t="str">
        <f>IF(D19=E19,IF(I19='Parameters'!$B$12,"e = k: the nearest enemy is the k-th neighbour → d = 0","tie at distance r: the k-th neighbour is on the enemy sphere → d = 0"),IF(D19&lt;E19,"e &gt; k: the k nearest are own class → g ≥ k + 1","e &lt; k: the enemy comes before the k-th → g ≤ k − 1"))</f>
        <v>e = k: the nearest enemy is the k-th neighbour → d = 0</v>
      </c>
    </row>
    <row r="20">
      <c r="A20" s="62" t="inlineStr">
        <is>
          <t xml:space="preserve">S₆</t>
        </is>
      </c>
      <c r="B20" s="68">
        <f>'Dataset'!$P$10</f>
        <v>1</v>
      </c>
      <c r="C20" s="62" t="str">
        <f>'ERDR Characteristics'!$G$10</f>
        <v>S₃</v>
      </c>
      <c r="D20" s="81">
        <f>'ERDR Characteristics'!$H$10</f>
        <v>5.2172783643</v>
      </c>
      <c r="E20" s="81">
        <f>'ERDR Characteristics'!$D$10</f>
        <v>3.7071187508</v>
      </c>
      <c r="F20" s="76">
        <f>SUMPRODUCT(--('Zhuravlev Distances'!$B$10:$H$10&lt;=D20))-1</f>
        <v>3</v>
      </c>
      <c r="G20" s="76">
        <f>SUMPRODUCT(('Hypersphere Data'!$B$13:$H$13='Dataset'!$P$10)*('Zhuravlev Distances'!$B$10:$H$10&lt;=D20))-1</f>
        <v>2</v>
      </c>
      <c r="H20" s="76">
        <f>F20-G20</f>
        <v>1</v>
      </c>
      <c r="I20" s="77">
        <f>'ERDR Characteristics'!$F$10</f>
        <v>1</v>
      </c>
      <c r="J20" s="73">
        <f>IF(MAX(D20,E20)=0,1,MIN(D20,E20)/MAX(D20,E20))</f>
        <v>0.710546474990966</v>
      </c>
      <c r="K20" s="91">
        <f>ROUND((1-J20)/(1+J20),10)</f>
        <v>0.1692169896</v>
      </c>
      <c r="L20" s="95">
        <f>IF(ABS(K20-'ERDR Characteristics'!$J$10)&lt;0.000000001,1,0)</f>
        <v>1</v>
      </c>
      <c r="M20" s="101" t="str">
        <f>IF(D20&lt;E20,"z &lt; r · k-sphere inside the enemy sphere",IF(D20=E20,"z = r · the two spheres coincide","z &gt; r · the enemy lies inside the k-sphere"))</f>
        <v>z &gt; r · the enemy lies inside the k-sphere</v>
      </c>
      <c r="N20" s="101" t="str">
        <f>IF(D20=E20,IF(I20='Parameters'!$B$12,"e = k: the nearest enemy is the k-th neighbour → d = 0","tie at distance r: the k-th neighbour is on the enemy sphere → d = 0"),IF(D20&lt;E20,"e &gt; k: the k nearest are own class → g ≥ k + 1","e &lt; k: the enemy comes before the k-th → g ≤ k − 1"))</f>
        <v>e &lt; k: the enemy comes before the k-th → g ≤ k − 1</v>
      </c>
    </row>
    <row r="21">
      <c r="A21" s="62" t="inlineStr">
        <is>
          <t xml:space="preserve">S₇</t>
        </is>
      </c>
      <c r="B21" s="68">
        <f>'Dataset'!$P$11</f>
        <v>1</v>
      </c>
      <c r="C21" s="62" t="str">
        <f>'ERDR Characteristics'!$G$11</f>
        <v>S₆</v>
      </c>
      <c r="D21" s="81">
        <f>'ERDR Characteristics'!$H$11</f>
        <v>5.0314314939</v>
      </c>
      <c r="E21" s="81">
        <f>'ERDR Characteristics'!$D$11</f>
        <v>3.9109813746</v>
      </c>
      <c r="F21" s="76">
        <f>SUMPRODUCT(--('Zhuravlev Distances'!$B$11:$H$11&lt;=D21))-1</f>
        <v>3</v>
      </c>
      <c r="G21" s="76">
        <f>SUMPRODUCT(('Hypersphere Data'!$B$13:$H$13='Dataset'!$P$11)*('Zhuravlev Distances'!$B$11:$H$11&lt;=D21))-1</f>
        <v>2</v>
      </c>
      <c r="H21" s="76">
        <f>F21-G21</f>
        <v>1</v>
      </c>
      <c r="I21" s="77">
        <f>'ERDR Characteristics'!$F$11</f>
        <v>2</v>
      </c>
      <c r="J21" s="73">
        <f>IF(MAX(D21,E21)=0,1,MIN(D21,E21)/MAX(D21,E21))</f>
        <v>0.777309872814842</v>
      </c>
      <c r="K21" s="91">
        <f>ROUND((1-J21)/(1+J21),10)</f>
        <v>0.1252961741</v>
      </c>
      <c r="L21" s="95">
        <f>IF(ABS(K21-'ERDR Characteristics'!$J$11)&lt;0.000000001,1,0)</f>
        <v>1</v>
      </c>
      <c r="M21" s="101" t="str">
        <f>IF(D21&lt;E21,"z &lt; r · k-sphere inside the enemy sphere",IF(D21=E21,"z = r · the two spheres coincide","z &gt; r · the enemy lies inside the k-sphere"))</f>
        <v>z &gt; r · the enemy lies inside the k-sphere</v>
      </c>
      <c r="N21" s="101" t="str">
        <f>IF(D21=E21,IF(I21='Parameters'!$B$12,"e = k: the nearest enemy is the k-th neighbour → d = 0","tie at distance r: the k-th neighbour is on the enemy sphere → d = 0"),IF(D21&lt;E21,"e &gt; k: the k nearest are own class → g ≥ k + 1","e &lt; k: the enemy comes before the k-th → g ≤ k − 1"))</f>
        <v>e &lt; k: the enemy comes before the k-th → g ≤ k − 1</v>
      </c>
    </row>
    <row r="22"/>
    <row r="23">
      <c r="A23" s="58" t="inlineStr">
        <is>
          <t xml:space="preserve">Forward and inverse view — the sphere of Sᵢ counts its own members (g); the spheres that contain Sᵢ are the ones that can put their owners in L when Sᵢ is selected</t>
        </is>
      </c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</row>
    <row r="24" ht="48" customHeight="1">
      <c r="A24" s="60" t="inlineStr">
        <is>
          <t xml:space="preserve">№</t>
        </is>
      </c>
      <c r="B24" s="60" t="inlineStr">
        <is>
          <t xml:space="preserve">Class</t>
        </is>
      </c>
      <c r="C24" s="60" t="inlineStr">
        <is>
          <t xml:space="preserve">g(Sᵢ)</t>
        </is>
      </c>
      <c r="D24" s="60" t="inlineStr">
        <is>
          <t xml:space="preserve">Spheres that contain Sᵢ — own-class Sⱼ with ρ(Sⱼ, Sᵢ) &lt; r(Sⱼ) (column of the sphere matrix)</t>
        </is>
      </c>
      <c r="E24" s="60"/>
      <c r="F24" s="60"/>
      <c r="G24" s="60"/>
      <c r="H24" s="60" t="inlineStr">
        <is>
          <t xml:space="preserve">Number</t>
        </is>
      </c>
      <c r="I24" s="60" t="inlineStr">
        <is>
          <t xml:space="preserve">Selected in iteration</t>
        </is>
      </c>
      <c r="J24" s="60" t="inlineStr">
        <is>
          <t xml:space="preserve">L when Sᵢ was selected (Step 4)</t>
        </is>
      </c>
      <c r="K24" s="60"/>
      <c r="L24" s="60"/>
      <c r="M24" s="60" t="inlineStr">
        <is>
          <t xml:space="preserve">|L| then</t>
        </is>
      </c>
      <c r="N24" s="60" t="inlineStr">
        <is>
          <t xml:space="preserve">Change from the start</t>
        </is>
      </c>
    </row>
    <row r="25">
      <c r="A25" s="62" t="inlineStr">
        <is>
          <t xml:space="preserve">S₁</t>
        </is>
      </c>
      <c r="B25" s="68">
        <f>'Dataset'!$P$5</f>
        <v>2</v>
      </c>
      <c r="C25" s="80">
        <f>'ERDR Characteristics'!$E$5</f>
        <v>3</v>
      </c>
      <c r="D25" s="101" t="str">
        <f>MID(IF('ERDR Characteristics'!B$16=1,", S₁ (itself)","")&amp;IF('ERDR Characteristics'!B$17=1,", S₂","")&amp;IF('ERDR Characteristics'!B$18=1,", S₃","")&amp;IF('ERDR Characteristics'!B$19=1,", S₄","")&amp;IF('ERDR Characteristics'!B$20=1,", S₅","")&amp;IF('ERDR Characteristics'!B$21=1,", S₆","")&amp;IF('ERDR Characteristics'!B$22=1,", S₇",""),3,300)</f>
        <v>S₁ (itself), S₂, S₅</v>
      </c>
      <c r="E25" s="101"/>
      <c r="F25" s="101"/>
      <c r="G25" s="101"/>
      <c r="H25" s="77">
        <f>'ERDR Characteristics'!B$23</f>
        <v>3</v>
      </c>
      <c r="I25" s="77">
        <f>'Training &amp; Validation'!$E$5</f>
        <v>1</v>
      </c>
      <c r="J25" s="85" t="str">
        <f>IF(ISNUMBER(I25),INDEX('ERDR Iterations'!$K:$K,5+26*(I25-1)+8),"— never selected")</f>
        <v>{S₁, S₂, S₅}</v>
      </c>
      <c r="K25" s="85"/>
      <c r="L25" s="85"/>
      <c r="M25" s="77">
        <f>IF(ISNUMBER(I25),INDEX('ERDR Iterations'!$K:$K,5+26*(I25-1)+9),"—")</f>
        <v>3</v>
      </c>
      <c r="N25" s="101" t="str">
        <f>IF(NOT(ISNUMBER(I25)),"moved to D by Step 5 before its turn",IF(M25&lt;(H25-IF(OR(C25=1,'Parameters'!$B$24=2),1,0)),(H25-IF(OR(C25=1,'Parameters'!$B$24=2),1,0))&amp;" possible at the start — covering objects left F"&amp;IF('Parameters'!$B$25=2," or were processed (B = 2)"," first"),"the same spheres as at the start"))</f>
        <v>the same spheres as at the start</v>
      </c>
    </row>
    <row r="26">
      <c r="A26" s="62" t="inlineStr">
        <is>
          <t xml:space="preserve">S₂</t>
        </is>
      </c>
      <c r="B26" s="68">
        <f>'Dataset'!$P$6</f>
        <v>2</v>
      </c>
      <c r="C26" s="80">
        <f>'ERDR Characteristics'!$E$6</f>
        <v>4</v>
      </c>
      <c r="D26" s="101" t="str">
        <f>MID(IF('ERDR Characteristics'!C$16=1,", S₁","")&amp;IF('ERDR Characteristics'!C$17=1,", S₂ (itself)","")&amp;IF('ERDR Characteristics'!C$18=1,", S₃","")&amp;IF('ERDR Characteristics'!C$19=1,", S₄","")&amp;IF('ERDR Characteristics'!C$20=1,", S₅","")&amp;IF('ERDR Characteristics'!C$21=1,", S₆","")&amp;IF('ERDR Characteristics'!C$22=1,", S₇",""),3,300)</f>
        <v>S₁, S₂ (itself), S₅</v>
      </c>
      <c r="E26" s="101"/>
      <c r="F26" s="101"/>
      <c r="G26" s="101"/>
      <c r="H26" s="77">
        <f>'ERDR Characteristics'!C$23</f>
        <v>3</v>
      </c>
      <c r="I26" s="77">
        <f>'Training &amp; Validation'!$E$6</f>
        <v>4</v>
      </c>
      <c r="J26" s="85" t="str">
        <f>IF(ISNUMBER(I26),INDEX('ERDR Iterations'!$K:$K,5+26*(I26-1)+8),"— never selected")</f>
        <v>{S₂}</v>
      </c>
      <c r="K26" s="85"/>
      <c r="L26" s="85"/>
      <c r="M26" s="77">
        <f>IF(ISNUMBER(I26),INDEX('ERDR Iterations'!$K:$K,5+26*(I26-1)+9),"—")</f>
        <v>1</v>
      </c>
      <c r="N26" s="101" t="str">
        <f>IF(NOT(ISNUMBER(I26)),"moved to D by Step 5 before its turn",IF(M26&lt;(H26-IF(OR(C26=1,'Parameters'!$B$24=2),1,0)),(H26-IF(OR(C26=1,'Parameters'!$B$24=2),1,0))&amp;" possible at the start — covering objects left F"&amp;IF('Parameters'!$B$25=2," or were processed (B = 2)"," first"),"the same spheres as at the start"))</f>
        <v>3 possible at the start — covering objects left F first</v>
      </c>
    </row>
    <row r="27">
      <c r="A27" s="62" t="inlineStr">
        <is>
          <t xml:space="preserve">S₃</t>
        </is>
      </c>
      <c r="B27" s="68">
        <f>'Dataset'!$P$7</f>
        <v>1</v>
      </c>
      <c r="C27" s="80">
        <f>'ERDR Characteristics'!$E$7</f>
        <v>3</v>
      </c>
      <c r="D27" s="101" t="str">
        <f>MID(IF('ERDR Characteristics'!D$16=1,", S₁","")&amp;IF('ERDR Characteristics'!D$17=1,", S₂","")&amp;IF('ERDR Characteristics'!D$18=1,", S₃ (itself)","")&amp;IF('ERDR Characteristics'!D$19=1,", S₄","")&amp;IF('ERDR Characteristics'!D$20=1,", S₅","")&amp;IF('ERDR Characteristics'!D$21=1,", S₆","")&amp;IF('ERDR Characteristics'!D$22=1,", S₇",""),3,300)</f>
        <v>S₃ (itself), S₇</v>
      </c>
      <c r="E27" s="101"/>
      <c r="F27" s="101"/>
      <c r="G27" s="101"/>
      <c r="H27" s="77">
        <f>'ERDR Characteristics'!D$23</f>
        <v>2</v>
      </c>
      <c r="I27" s="77">
        <f>'Training &amp; Validation'!$E$7</f>
        <v>2</v>
      </c>
      <c r="J27" s="85" t="str">
        <f>IF(ISNUMBER(I27),INDEX('ERDR Iterations'!$K:$K,5+26*(I27-1)+8),"— never selected")</f>
        <v>{S₃, S₇}</v>
      </c>
      <c r="K27" s="85"/>
      <c r="L27" s="85"/>
      <c r="M27" s="77">
        <f>IF(ISNUMBER(I27),INDEX('ERDR Iterations'!$K:$K,5+26*(I27-1)+9),"—")</f>
        <v>2</v>
      </c>
      <c r="N27" s="101" t="str">
        <f>IF(NOT(ISNUMBER(I27)),"moved to D by Step 5 before its turn",IF(M27&lt;(H27-IF(OR(C27=1,'Parameters'!$B$24=2),1,0)),(H27-IF(OR(C27=1,'Parameters'!$B$24=2),1,0))&amp;" possible at the start — covering objects left F"&amp;IF('Parameters'!$B$25=2," or were processed (B = 2)"," first"),"the same spheres as at the start"))</f>
        <v>the same spheres as at the start</v>
      </c>
    </row>
    <row r="28">
      <c r="A28" s="62" t="inlineStr">
        <is>
          <t xml:space="preserve">S₄</t>
        </is>
      </c>
      <c r="B28" s="68">
        <f>'Dataset'!$P$8</f>
        <v>2</v>
      </c>
      <c r="C28" s="80">
        <f>'ERDR Characteristics'!$E$8</f>
        <v>1</v>
      </c>
      <c r="D28" s="101" t="str">
        <f>MID(IF('ERDR Characteristics'!E$16=1,", S₁","")&amp;IF('ERDR Characteristics'!E$17=1,", S₂","")&amp;IF('ERDR Characteristics'!E$18=1,", S₃","")&amp;IF('ERDR Characteristics'!E$19=1,", S₄ (itself)","")&amp;IF('ERDR Characteristics'!E$20=1,", S₅","")&amp;IF('ERDR Characteristics'!E$21=1,", S₆","")&amp;IF('ERDR Characteristics'!E$22=1,", S₇",""),3,300)</f>
        <v>S₂, S₄ (itself)</v>
      </c>
      <c r="E28" s="101"/>
      <c r="F28" s="101"/>
      <c r="G28" s="101"/>
      <c r="H28" s="77">
        <f>'ERDR Characteristics'!E$23</f>
        <v>2</v>
      </c>
      <c r="I28" s="77">
        <f>'Training &amp; Validation'!$E$8</f>
        <v>6</v>
      </c>
      <c r="J28" s="85" t="str">
        <f>IF(ISNUMBER(I28),INDEX('ERDR Iterations'!$K:$K,5+26*(I28-1)+8),"— never selected")</f>
        <v>∅</v>
      </c>
      <c r="K28" s="85"/>
      <c r="L28" s="85"/>
      <c r="M28" s="77">
        <f>IF(ISNUMBER(I28),INDEX('ERDR Iterations'!$K:$K,5+26*(I28-1)+9),"—")</f>
        <v>0</v>
      </c>
      <c r="N28" s="101" t="str">
        <f>IF(NOT(ISNUMBER(I28)),"moved to D by Step 5 before its turn",IF(M28&lt;(H28-IF(OR(C28=1,'Parameters'!$B$24=2),1,0)),(H28-IF(OR(C28=1,'Parameters'!$B$24=2),1,0))&amp;" possible at the start — covering objects left F"&amp;IF('Parameters'!$B$25=2," or were processed (B = 2)"," first"),"the same spheres as at the start"))</f>
        <v>1 possible at the start — covering objects left F first</v>
      </c>
    </row>
    <row r="29">
      <c r="A29" s="62" t="inlineStr">
        <is>
          <t xml:space="preserve">S₅</t>
        </is>
      </c>
      <c r="B29" s="68">
        <f>'Dataset'!$P$9</f>
        <v>2</v>
      </c>
      <c r="C29" s="80">
        <f>'ERDR Characteristics'!$E$9</f>
        <v>3</v>
      </c>
      <c r="D29" s="101" t="str">
        <f>MID(IF('ERDR Characteristics'!F$16=1,", S₁","")&amp;IF('ERDR Characteristics'!F$17=1,", S₂","")&amp;IF('ERDR Characteristics'!F$18=1,", S₃","")&amp;IF('ERDR Characteristics'!F$19=1,", S₄","")&amp;IF('ERDR Characteristics'!F$20=1,", S₅ (itself)","")&amp;IF('ERDR Characteristics'!F$21=1,", S₆","")&amp;IF('ERDR Characteristics'!F$22=1,", S₇",""),3,300)</f>
        <v>S₁, S₂, S₅ (itself)</v>
      </c>
      <c r="E29" s="101"/>
      <c r="F29" s="101"/>
      <c r="G29" s="101"/>
      <c r="H29" s="77">
        <f>'ERDR Characteristics'!F$23</f>
        <v>3</v>
      </c>
      <c r="I29" s="77">
        <f>'Training &amp; Validation'!$E$9</f>
        <v>3</v>
      </c>
      <c r="J29" s="85" t="str">
        <f>IF(ISNUMBER(I29),INDEX('ERDR Iterations'!$K:$K,5+26*(I29-1)+8),"— never selected")</f>
        <v>{S₁, S₂, S₅}</v>
      </c>
      <c r="K29" s="85"/>
      <c r="L29" s="85"/>
      <c r="M29" s="77">
        <f>IF(ISNUMBER(I29),INDEX('ERDR Iterations'!$K:$K,5+26*(I29-1)+9),"—")</f>
        <v>3</v>
      </c>
      <c r="N29" s="101" t="str">
        <f>IF(NOT(ISNUMBER(I29)),"moved to D by Step 5 before its turn",IF(M29&lt;(H29-IF(OR(C29=1,'Parameters'!$B$24=2),1,0)),(H29-IF(OR(C29=1,'Parameters'!$B$24=2),1,0))&amp;" possible at the start — covering objects left F"&amp;IF('Parameters'!$B$25=2," or were processed (B = 2)"," first"),"the same spheres as at the start"))</f>
        <v>the same spheres as at the start</v>
      </c>
    </row>
    <row r="30">
      <c r="A30" s="62" t="inlineStr">
        <is>
          <t xml:space="preserve">S₆</t>
        </is>
      </c>
      <c r="B30" s="68">
        <f>'Dataset'!$P$10</f>
        <v>1</v>
      </c>
      <c r="C30" s="80">
        <f>'ERDR Characteristics'!$E$10</f>
        <v>1</v>
      </c>
      <c r="D30" s="101" t="str">
        <f>MID(IF('ERDR Characteristics'!G$16=1,", S₁","")&amp;IF('ERDR Characteristics'!G$17=1,", S₂","")&amp;IF('ERDR Characteristics'!G$18=1,", S₃","")&amp;IF('ERDR Characteristics'!G$19=1,", S₄","")&amp;IF('ERDR Characteristics'!G$20=1,", S₅","")&amp;IF('ERDR Characteristics'!G$21=1,", S₆ (itself)","")&amp;IF('ERDR Characteristics'!G$22=1,", S₇",""),3,300)</f>
        <v>S₃, S₆ (itself)</v>
      </c>
      <c r="E30" s="101"/>
      <c r="F30" s="101"/>
      <c r="G30" s="101"/>
      <c r="H30" s="77">
        <f>'ERDR Characteristics'!G$23</f>
        <v>2</v>
      </c>
      <c r="I30" s="77">
        <f>'Training &amp; Validation'!$E$10</f>
        <v>5</v>
      </c>
      <c r="J30" s="85" t="str">
        <f>IF(ISNUMBER(I30),INDEX('ERDR Iterations'!$K:$K,5+26*(I30-1)+8),"— never selected")</f>
        <v>{S₃}</v>
      </c>
      <c r="K30" s="85"/>
      <c r="L30" s="85"/>
      <c r="M30" s="77">
        <f>IF(ISNUMBER(I30),INDEX('ERDR Iterations'!$K:$K,5+26*(I30-1)+9),"—")</f>
        <v>1</v>
      </c>
      <c r="N30" s="101" t="str">
        <f>IF(NOT(ISNUMBER(I30)),"moved to D by Step 5 before its turn",IF(M30&lt;(H30-IF(OR(C30=1,'Parameters'!$B$24=2),1,0)),(H30-IF(OR(C30=1,'Parameters'!$B$24=2),1,0))&amp;" possible at the start — covering objects left F"&amp;IF('Parameters'!$B$25=2," or were processed (B = 2)"," first"),"the same spheres as at the start"))</f>
        <v>the same spheres as at the start</v>
      </c>
    </row>
    <row r="31">
      <c r="A31" s="62" t="inlineStr">
        <is>
          <t xml:space="preserve">S₇</t>
        </is>
      </c>
      <c r="B31" s="68">
        <f>'Dataset'!$P$11</f>
        <v>1</v>
      </c>
      <c r="C31" s="80">
        <f>'ERDR Characteristics'!$E$11</f>
        <v>2</v>
      </c>
      <c r="D31" s="101" t="str">
        <f>MID(IF('ERDR Characteristics'!H$16=1,", S₁","")&amp;IF('ERDR Characteristics'!H$17=1,", S₂","")&amp;IF('ERDR Characteristics'!H$18=1,", S₃","")&amp;IF('ERDR Characteristics'!H$19=1,", S₄","")&amp;IF('ERDR Characteristics'!H$20=1,", S₅","")&amp;IF('ERDR Characteristics'!H$21=1,", S₆","")&amp;IF('ERDR Characteristics'!H$22=1,", S₇ (itself)",""),3,300)</f>
        <v>S₃, S₇ (itself)</v>
      </c>
      <c r="E31" s="101"/>
      <c r="F31" s="101"/>
      <c r="G31" s="101"/>
      <c r="H31" s="77">
        <f>'ERDR Characteristics'!H$23</f>
        <v>2</v>
      </c>
      <c r="I31" s="77" t="str">
        <f>'Training &amp; Validation'!$E$11</f>
        <v>—</v>
      </c>
      <c r="J31" s="85" t="str">
        <f>IF(ISNUMBER(I31),INDEX('ERDR Iterations'!$K:$K,5+26*(I31-1)+8),"— never selected")</f>
        <v>— never selected</v>
      </c>
      <c r="K31" s="85"/>
      <c r="L31" s="85"/>
      <c r="M31" s="77" t="str">
        <f>IF(ISNUMBER(I31),INDEX('ERDR Iterations'!$K:$K,5+26*(I31-1)+9),"—")</f>
        <v>—</v>
      </c>
      <c r="N31" s="101" t="str">
        <f>IF(NOT(ISNUMBER(I31)),"moved to D by Step 5 before its turn",IF(M31&lt;(H31-IF(OR(C31=1,'Parameters'!$B$24=2),1,0)),(H31-IF(OR(C31=1,'Parameters'!$B$24=2),1,0))&amp;" possible at the start — covering objects left F"&amp;IF('Parameters'!$B$25=2," or were processed (B = 2)"," first"),"the same spheres as at the start"))</f>
        <v>moved to D by Step 5 before its turn</v>
      </c>
    </row>
    <row r="32"/>
    <row r="33">
      <c r="A33" s="58" t="inlineStr">
        <is>
          <t xml:space="preserve">Summary and checks (live)</t>
        </is>
      </c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</row>
    <row r="34">
      <c r="A34" s="61" t="inlineStr">
        <is>
          <t xml:space="preserve">Quantity</t>
        </is>
      </c>
      <c r="B34" s="61"/>
      <c r="C34" s="61"/>
      <c r="D34" s="61"/>
      <c r="E34" s="60" t="inlineStr">
        <is>
          <t xml:space="preserve">Value</t>
        </is>
      </c>
      <c r="F34" s="61" t="inlineStr">
        <is>
          <t xml:space="preserve">Objects</t>
        </is>
      </c>
      <c r="G34" s="61"/>
      <c r="H34" s="61"/>
      <c r="I34" s="61"/>
      <c r="J34" s="61"/>
      <c r="K34" s="61"/>
      <c r="L34" s="61"/>
      <c r="M34" s="61"/>
      <c r="N34" s="61"/>
    </row>
    <row r="35" ht="31" customHeight="1">
      <c r="A35" s="83" t="inlineStr">
        <is>
          <t xml:space="preserve">Border objects — g = 1, no own-class object inside the enemy sphere</t>
        </is>
      </c>
      <c r="B35" s="83"/>
      <c r="C35" s="83"/>
      <c r="D35" s="83"/>
      <c r="E35" s="84">
        <f>COUNTIF(I5:I11,1)</f>
        <v>2</v>
      </c>
      <c r="F35" s="85" t="str">
        <f>IF(IF($I$5=1,", "&amp;$A$5,"")&amp;IF($I$6=1,", "&amp;$A$6,"")&amp;IF($I$7=1,", "&amp;$A$7,"")&amp;IF($I$8=1,", "&amp;$A$8,"")&amp;IF($I$9=1,", "&amp;$A$9,"")&amp;IF($I$10=1,", "&amp;$A$10,"")&amp;IF($I$11=1,", "&amp;$A$11,"")="","—",MID(IF($I$5=1,", "&amp;$A$5,"")&amp;IF($I$6=1,", "&amp;$A$6,"")&amp;IF($I$7=1,", "&amp;$A$7,"")&amp;IF($I$8=1,", "&amp;$A$8,"")&amp;IF($I$9=1,", "&amp;$A$9,"")&amp;IF($I$10=1,", "&amp;$A$10,"")&amp;IF($I$11=1,", "&amp;$A$11,""),3,300))</f>
        <v>S₄, S₆</v>
      </c>
      <c r="G35" s="85"/>
      <c r="H35" s="85"/>
      <c r="I35" s="85"/>
      <c r="J35" s="85"/>
      <c r="K35" s="85"/>
      <c r="L35" s="85"/>
      <c r="M35" s="85"/>
      <c r="N35" s="85"/>
    </row>
    <row r="36" ht="31" customHeight="1">
      <c r="A36" s="83" t="inlineStr">
        <is>
          <t xml:space="preserve">Dense objects — g ≥ 2 (only these can cover another object in Step 4)</t>
        </is>
      </c>
      <c r="B36" s="83"/>
      <c r="C36" s="83"/>
      <c r="D36" s="83"/>
      <c r="E36" s="84">
        <f>COUNTIF(I5:I11,"&gt;=2")</f>
        <v>5</v>
      </c>
      <c r="F36" s="85" t="str">
        <f>IF(IF($I$5&gt;=2,", "&amp;$A$5,"")&amp;IF($I$6&gt;=2,", "&amp;$A$6,"")&amp;IF($I$7&gt;=2,", "&amp;$A$7,"")&amp;IF($I$8&gt;=2,", "&amp;$A$8,"")&amp;IF($I$9&gt;=2,", "&amp;$A$9,"")&amp;IF($I$10&gt;=2,", "&amp;$A$10,"")&amp;IF($I$11&gt;=2,", "&amp;$A$11,"")="","—",MID(IF($I$5&gt;=2,", "&amp;$A$5,"")&amp;IF($I$6&gt;=2,", "&amp;$A$6,"")&amp;IF($I$7&gt;=2,", "&amp;$A$7,"")&amp;IF($I$8&gt;=2,", "&amp;$A$8,"")&amp;IF($I$9&gt;=2,", "&amp;$A$9,"")&amp;IF($I$10&gt;=2,", "&amp;$A$10,"")&amp;IF($I$11&gt;=2,", "&amp;$A$11,""),3,300))</f>
        <v>S₁, S₂, S₃, S₅, S₇</v>
      </c>
      <c r="G36" s="85"/>
      <c r="H36" s="85"/>
      <c r="I36" s="85"/>
      <c r="J36" s="85"/>
      <c r="K36" s="85"/>
      <c r="L36" s="85"/>
      <c r="M36" s="85"/>
      <c r="N36" s="85"/>
    </row>
    <row r="37" ht="31" customHeight="1">
      <c r="A37" s="83" t="inlineStr">
        <is>
          <t xml:space="preserve">Spheres that coincide — z = r, d = 0 (first in the queue)</t>
        </is>
      </c>
      <c r="B37" s="83"/>
      <c r="C37" s="83"/>
      <c r="D37" s="83"/>
      <c r="E37" s="84">
        <f>SUMPRODUCT(--(D15:D21=E15:E21))</f>
        <v>3</v>
      </c>
      <c r="F37" s="85" t="str">
        <f>IF(IF($D$15=$E$15,", "&amp;$A$5,"")&amp;IF($D$16=$E$16,", "&amp;$A$6,"")&amp;IF($D$17=$E$17,", "&amp;$A$7,"")&amp;IF($D$18=$E$18,", "&amp;$A$8,"")&amp;IF($D$19=$E$19,", "&amp;$A$9,"")&amp;IF($D$20=$E$20,", "&amp;$A$10,"")&amp;IF($D$21=$E$21,", "&amp;$A$11,"")="","—",MID(IF($D$15=$E$15,", "&amp;$A$5,"")&amp;IF($D$16=$E$16,", "&amp;$A$6,"")&amp;IF($D$17=$E$17,", "&amp;$A$7,"")&amp;IF($D$18=$E$18,", "&amp;$A$8,"")&amp;IF($D$19=$E$19,", "&amp;$A$9,"")&amp;IF($D$20=$E$20,", "&amp;$A$10,"")&amp;IF($D$21=$E$21,", "&amp;$A$11,""),3,300))</f>
        <v>S₁, S₃, S₅</v>
      </c>
      <c r="G37" s="85"/>
      <c r="H37" s="85"/>
      <c r="I37" s="85"/>
      <c r="J37" s="85"/>
      <c r="K37" s="85"/>
      <c r="L37" s="85"/>
      <c r="M37" s="85"/>
      <c r="N37" s="85"/>
    </row>
    <row r="38" ht="31" customHeight="1">
      <c r="A38" s="83" t="inlineStr">
        <is>
          <t xml:space="preserve">k-sphere inside the enemy sphere — z &lt; r</t>
        </is>
      </c>
      <c r="B38" s="83"/>
      <c r="C38" s="83"/>
      <c r="D38" s="83"/>
      <c r="E38" s="84">
        <f>SUMPRODUCT(--(D15:D21&lt;E15:E21))</f>
        <v>1</v>
      </c>
      <c r="F38" s="85" t="str">
        <f>IF(IF($D$15&lt;$E$15,", "&amp;$A$5,"")&amp;IF($D$16&lt;$E$16,", "&amp;$A$6,"")&amp;IF($D$17&lt;$E$17,", "&amp;$A$7,"")&amp;IF($D$18&lt;$E$18,", "&amp;$A$8,"")&amp;IF($D$19&lt;$E$19,", "&amp;$A$9,"")&amp;IF($D$20&lt;$E$20,", "&amp;$A$10,"")&amp;IF($D$21&lt;$E$21,", "&amp;$A$11,"")="","—",MID(IF($D$15&lt;$E$15,", "&amp;$A$5,"")&amp;IF($D$16&lt;$E$16,", "&amp;$A$6,"")&amp;IF($D$17&lt;$E$17,", "&amp;$A$7,"")&amp;IF($D$18&lt;$E$18,", "&amp;$A$8,"")&amp;IF($D$19&lt;$E$19,", "&amp;$A$9,"")&amp;IF($D$20&lt;$E$20,", "&amp;$A$10,"")&amp;IF($D$21&lt;$E$21,", "&amp;$A$11,""),3,300))</f>
        <v>S₂</v>
      </c>
      <c r="G38" s="85"/>
      <c r="H38" s="85"/>
      <c r="I38" s="85"/>
      <c r="J38" s="85"/>
      <c r="K38" s="85"/>
      <c r="L38" s="85"/>
      <c r="M38" s="85"/>
      <c r="N38" s="85"/>
    </row>
    <row r="39" ht="31" customHeight="1">
      <c r="A39" s="83" t="inlineStr">
        <is>
          <t xml:space="preserve">Nearest enemy inside the k-sphere — z &gt; r</t>
        </is>
      </c>
      <c r="B39" s="83"/>
      <c r="C39" s="83"/>
      <c r="D39" s="83"/>
      <c r="E39" s="84">
        <f>SUMPRODUCT(--(D15:D21&gt;E15:E21))</f>
        <v>3</v>
      </c>
      <c r="F39" s="85" t="str">
        <f>IF(IF($D$15&gt;$E$15,", "&amp;$A$5,"")&amp;IF($D$16&gt;$E$16,", "&amp;$A$6,"")&amp;IF($D$17&gt;$E$17,", "&amp;$A$7,"")&amp;IF($D$18&gt;$E$18,", "&amp;$A$8,"")&amp;IF($D$19&gt;$E$19,", "&amp;$A$9,"")&amp;IF($D$20&gt;$E$20,", "&amp;$A$10,"")&amp;IF($D$21&gt;$E$21,", "&amp;$A$11,"")="","—",MID(IF($D$15&gt;$E$15,", "&amp;$A$5,"")&amp;IF($D$16&gt;$E$16,", "&amp;$A$6,"")&amp;IF($D$17&gt;$E$17,", "&amp;$A$7,"")&amp;IF($D$18&gt;$E$18,", "&amp;$A$8,"")&amp;IF($D$19&gt;$E$19,", "&amp;$A$9,"")&amp;IF($D$20&gt;$E$20,", "&amp;$A$10,"")&amp;IF($D$21&gt;$E$21,", "&amp;$A$11,""),3,300))</f>
        <v>S₄, S₆, S₇</v>
      </c>
      <c r="G39" s="85"/>
      <c r="H39" s="85"/>
      <c r="I39" s="85"/>
      <c r="J39" s="85"/>
      <c r="K39" s="85"/>
      <c r="L39" s="85"/>
      <c r="M39" s="85"/>
      <c r="N39" s="85"/>
    </row>
    <row r="40" ht="31" customHeight="1">
      <c r="A40" s="83" t="inlineStr">
        <is>
          <t xml:space="preserve">Check · g from the spheres = g of Step 1</t>
        </is>
      </c>
      <c r="B40" s="83"/>
      <c r="C40" s="83"/>
      <c r="D40" s="83"/>
      <c r="E40" s="84" t="str">
        <f>SUM(J5:J11)&amp;" of 7"</f>
        <v>7 of 7</v>
      </c>
      <c r="F40" s="85" t="str">
        <f>IF(SUM(J5:J11)=7,"✓ every count agrees with ERDR Characteristics","✗ a count differs")</f>
        <v>✓ every count agrees with ERDR Characteristics</v>
      </c>
      <c r="G40" s="85"/>
      <c r="H40" s="85"/>
      <c r="I40" s="85"/>
      <c r="J40" s="85"/>
      <c r="K40" s="85"/>
      <c r="L40" s="85"/>
      <c r="M40" s="85"/>
      <c r="N40" s="85"/>
    </row>
    <row r="41" ht="31" customHeight="1">
      <c r="A41" s="83" t="inlineStr">
        <is>
          <t xml:space="preserve">Check · no enemy strictly inside any enemy sphere (r is the nearest-enemy distance)</t>
        </is>
      </c>
      <c r="B41" s="83"/>
      <c r="C41" s="83"/>
      <c r="D41" s="83"/>
      <c r="E41" s="84">
        <f>SUM(G5:G11)</f>
        <v>0</v>
      </c>
      <c r="F41" s="85" t="str">
        <f>IF(SUM(G5:G11)=0,"✓ by the definition of r","✗ an enemy lies inside")</f>
        <v>✓ by the definition of r</v>
      </c>
      <c r="G41" s="85"/>
      <c r="H41" s="85"/>
      <c r="I41" s="85"/>
      <c r="J41" s="85"/>
      <c r="K41" s="85"/>
      <c r="L41" s="85"/>
      <c r="M41" s="85"/>
      <c r="N41" s="85"/>
    </row>
    <row r="42" ht="31" customHeight="1">
      <c r="A42" s="83" t="inlineStr">
        <is>
          <t xml:space="preserve">Check · d from the radius ratio = d of Step 1</t>
        </is>
      </c>
      <c r="B42" s="83"/>
      <c r="C42" s="83"/>
      <c r="D42" s="83"/>
      <c r="E42" s="84" t="str">
        <f>SUM(L15:L21)&amp;" of 7"</f>
        <v>7 of 7</v>
      </c>
      <c r="F42" s="85" t="str">
        <f>IF(SUM(L15:L21)=7,"✓ d = (1 − q)/(1 + q) for every object","✗ a value differs")</f>
        <v>✓ d = (1 − q)/(1 + q) for every object</v>
      </c>
      <c r="G42" s="85"/>
      <c r="H42" s="85"/>
      <c r="I42" s="85"/>
      <c r="J42" s="85"/>
      <c r="K42" s="85"/>
      <c r="L42" s="85"/>
      <c r="M42" s="85"/>
      <c r="N42" s="85"/>
    </row>
    <row r="43" ht="31" customHeight="1">
      <c r="A43" s="83" t="inlineStr">
        <is>
          <t xml:space="preserve">Check · ML 7.20 closed count − objects on the sphere = g</t>
        </is>
      </c>
      <c r="B43" s="83"/>
      <c r="C43" s="83"/>
      <c r="D43" s="83"/>
      <c r="E43" s="84" t="str">
        <f>SUM(L5:L11)&amp;" of 7"</f>
        <v>7 of 7</v>
      </c>
      <c r="F43" s="85" t="str">
        <f>IF(SUM(L5:L11)=7,"✓ the two definitions differ only by the boundary","✗ a value differs")</f>
        <v>✓ the two definitions differ only by the boundary</v>
      </c>
      <c r="G43" s="85"/>
      <c r="H43" s="85"/>
      <c r="I43" s="85"/>
      <c r="J43" s="85"/>
      <c r="K43" s="85"/>
      <c r="L43" s="85"/>
      <c r="M43" s="85"/>
      <c r="N43" s="85"/>
    </row>
    <row r="44"/>
    <row r="45" ht="20" customHeight="1">
      <c r="A45" s="102" t="inlineStr">
        <is>
          <t xml:space="preserve">•  When no other object lies exactly on the enemy sphere (no tie at distance r), g(Sᵢ) equals the rank e of the nearest enemy: the own-class objects inside are exactly the neighbours before it.</t>
        </is>
      </c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</row>
    <row r="46" ht="20" customHeight="1">
      <c r="A46" s="102" t="str">
        <f>"•  Comparing the two spheres is then comparing e with k: e = k ⇔ z = r ⇔ d = 0;  e &gt; k ⇔ z &lt; r;  e &lt; k ⇔ z &gt; r. Always (ties or not): z &lt; r gives g ≥ k + 1 and z &gt; r gives g ≤ k − 1 — here k = "&amp;'Parameters'!$B$12&amp;", so g ≥ "&amp;('Parameters'!$B$12+1)&amp;" and g ≤ "&amp;('Parameters'!$B$12-1)&amp;"."</f>
        <v>•  Comparing the two spheres is then comparing e with k: e = k ⇔ z = r ⇔ d = 0;  e &gt; k ⇔ z &lt; r;  e &lt; k ⇔ z &gt; r. Always (ties or not): z &lt; r gives g ≥ k + 1 and z &gt; r gives g ≤ k − 1 — here k = 3, so g ≥ 4 and g ≤ 2.</v>
      </c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</row>
    <row r="47" ht="20" customHeight="1">
      <c r="A47" s="102" t="inlineStr">
        <is>
          <t xml:space="preserve">•  d depends only on the ratio of the radii (max / min), so it does not change when all distances are scaled; Step 2 queues first the objects whose two spheres are closest in size (d small), ties by the smaller sphere r.</t>
        </is>
      </c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</row>
    <row r="48" ht="20" customHeight="1">
      <c r="A48" s="102" t="inlineStr">
        <is>
          <t xml:space="preserve">•  ML 7.20 (k-NN Test Split Analyzer) counts every object in the closed sphere ρ ≤ r, the nearest enemy included; ERDR counts only the own class strictly inside — the difference is exactly the objects on the sphere.</t>
        </is>
      </c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</row>
    <row r="49" ht="20" customHeight="1">
      <c r="A49" s="102" t="inlineStr">
        <is>
          <t xml:space="preserve">•  The spheres themselves (r, z) never change during ERDR; Steps 4–5 only block the processed object (d ← −(d + ε)), change which objects are still in F and lower the counters g — see “Hyperspheres (Iterations)”.</t>
        </is>
      </c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</row>
    <row r="50"/>
    <row r="51">
      <c r="A51" s="58" t="inlineStr">
        <is>
          <t xml:space="preserve">Visualisation · all objects at once — neighbourhood strips (left) and the radius plane (right)</t>
        </is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</row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>
      <c r="A76" s="58" t="inlineStr">
        <is>
          <t xml:space="preserve">Hypersphere of every object — centre Sᵢ; the same scale in all seven diagrams (radius 1 = the largest distance between two objects)</t>
        </is>
      </c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</row>
    <row r="77">
      <c r="A77" s="101" t="inlineStr">
        <is>
          <t xml:space="preserve">Solid grey circle = enemy sphere r(Sᵢ) through the nearest enemy  ·  dashed orange circle = k-sphere z(Sᵢ, k) through the k-th neighbour  ·  dark marker = own class inside the enemy sphere (counted in g)  ·  light marker = not counted  ·  ● K1, ▲ K2  ·  labels: object, ρ(Sᵢ, Sⱼ), (r) nearest enemy, (z) k-th neighbour</t>
        </is>
      </c>
      <c r="B77" s="101"/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</row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>
      <c r="A115" s="58" t="inlineStr">
        <is>
          <t xml:space="preserve">How to read the diagrams</t>
        </is>
      </c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</row>
    <row r="116" ht="20" customHeight="1">
      <c r="A116" s="102" t="inlineStr">
        <is>
          <t xml:space="preserve">•  The chosen object Sᵢ is the large marker in the centre; the other six objects stand around it in neighbour order (nearest at the top, then clockwise), each at its true distance ρ(Sᵢ, Sⱼ).</t>
        </is>
      </c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</row>
    <row r="117" ht="20" customHeight="1">
      <c r="A117" s="102" t="inlineStr">
        <is>
          <t xml:space="preserve">•  Only the distance from the centre is meaningful; the direction is a convention (equal steps of 60°), so the distances between two outer objects are not drawn.</t>
        </is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</row>
    <row r="118" ht="20" customHeight="1">
      <c r="A118" s="102" t="inlineStr">
        <is>
          <t xml:space="preserve">•  The solid circle always passes through the nearest enemy (marked “(r)”): the enemy sphere is open, so the objects on it are not inside. The dashed circle passes through the k-th neighbour (“(z)”).</t>
        </is>
      </c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</row>
    <row r="119" ht="20" customHeight="1">
      <c r="A119" s="102" t="str">
        <f>"•  When the two circles coincide, d(Sᵢ) = 0 ("&amp;$F$37&amp;" here); the larger the ratio max / min of the two radii, the larger d and the later Sᵢ comes in the Step 2 queue."</f>
        <v>•  When the two circles coincide, d(Sᵢ) = 0 (S₁, S₃, S₅ here); the larger the ratio max / min of the two radii, the larger d and the later Sᵢ comes in the Step 2 queue.</v>
      </c>
      <c r="B119" s="102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</row>
    <row r="120" ht="20" customHeight="1">
      <c r="A120" s="102" t="inlineStr">
        <is>
          <t xml:space="preserve">•  On the radius plane, objects with equal d lie on one line through the origin, and objects with equal d and r on one point — in the default selection S₁ and S₃ share a point (the index decides, case 5) and S₅ lies further out on the same diagonal (larger r, case 4).</t>
        </is>
      </c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</row>
    <row r="121" ht="20" customHeight="1">
      <c r="A121" s="102" t="inlineStr">
        <is>
          <t xml:space="preserve">•  Change a source row, k or a reading and every table, strip, plane and circle on this sheet follows (data: Hypersphere Data).</t>
        </is>
      </c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</row>
  </sheetData>
  <mergeCells count="56">
    <mergeCell ref="A1:N1"/>
    <mergeCell ref="A3:N3"/>
    <mergeCell ref="A13:N13"/>
    <mergeCell ref="A23:N23"/>
    <mergeCell ref="D24:G24"/>
    <mergeCell ref="J24:L24"/>
    <mergeCell ref="D25:G25"/>
    <mergeCell ref="J25:L25"/>
    <mergeCell ref="D26:G26"/>
    <mergeCell ref="J26:L26"/>
    <mergeCell ref="D27:G27"/>
    <mergeCell ref="J27:L27"/>
    <mergeCell ref="D28:G28"/>
    <mergeCell ref="J28:L28"/>
    <mergeCell ref="D29:G29"/>
    <mergeCell ref="J29:L29"/>
    <mergeCell ref="D30:G30"/>
    <mergeCell ref="J30:L30"/>
    <mergeCell ref="D31:G31"/>
    <mergeCell ref="J31:L31"/>
    <mergeCell ref="A33:N33"/>
    <mergeCell ref="A34:D34"/>
    <mergeCell ref="F34:N34"/>
    <mergeCell ref="A35:D35"/>
    <mergeCell ref="F35:N35"/>
    <mergeCell ref="A36:D36"/>
    <mergeCell ref="F36:N36"/>
    <mergeCell ref="A37:D37"/>
    <mergeCell ref="F37:N37"/>
    <mergeCell ref="A38:D38"/>
    <mergeCell ref="F38:N38"/>
    <mergeCell ref="A39:D39"/>
    <mergeCell ref="F39:N39"/>
    <mergeCell ref="A40:D40"/>
    <mergeCell ref="F40:N40"/>
    <mergeCell ref="A41:D41"/>
    <mergeCell ref="F41:N41"/>
    <mergeCell ref="A42:D42"/>
    <mergeCell ref="F42:N42"/>
    <mergeCell ref="A43:D43"/>
    <mergeCell ref="F43:N43"/>
    <mergeCell ref="A45:N45"/>
    <mergeCell ref="A46:N46"/>
    <mergeCell ref="A47:N47"/>
    <mergeCell ref="A48:N48"/>
    <mergeCell ref="A49:N49"/>
    <mergeCell ref="A51:N51"/>
    <mergeCell ref="A76:N76"/>
    <mergeCell ref="A77:N77"/>
    <mergeCell ref="A115:N115"/>
    <mergeCell ref="A116:N116"/>
    <mergeCell ref="A117:N117"/>
    <mergeCell ref="A118:N118"/>
    <mergeCell ref="A119:N119"/>
    <mergeCell ref="A120:N120"/>
    <mergeCell ref="A121:N121"/>
  </mergeCells>
  <conditionalFormatting sqref="I5:I11">
    <cfRule type="cellIs" dxfId="6" priority="1" operator="equal">
      <formula>1</formula>
    </cfRule>
  </conditionalFormatting>
  <conditionalFormatting sqref="J5:J11">
    <cfRule type="cellIs" dxfId="0" priority="2" operator="equal">
      <formula>1</formula>
    </cfRule>
  </conditionalFormatting>
  <conditionalFormatting sqref="J5:J11">
    <cfRule type="cellIs" dxfId="2" priority="3" operator="equal">
      <formula>0</formula>
    </cfRule>
  </conditionalFormatting>
  <conditionalFormatting sqref="L5:L11">
    <cfRule type="cellIs" dxfId="0" priority="4" operator="equal">
      <formula>1</formula>
    </cfRule>
  </conditionalFormatting>
  <conditionalFormatting sqref="L5:L11">
    <cfRule type="cellIs" dxfId="2" priority="5" operator="equal">
      <formula>0</formula>
    </cfRule>
  </conditionalFormatting>
  <conditionalFormatting sqref="K15:K21">
    <cfRule type="cellIs" dxfId="1" priority="6" operator="equal">
      <formula>0</formula>
    </cfRule>
  </conditionalFormatting>
  <conditionalFormatting sqref="L15:L21">
    <cfRule type="cellIs" dxfId="0" priority="7" operator="equal">
      <formula>1</formula>
    </cfRule>
  </conditionalFormatting>
  <conditionalFormatting sqref="L15:L21">
    <cfRule type="cellIs" dxfId="2" priority="8" operator="equal">
      <formula>0</formula>
    </cfRule>
  </conditionalFormatting>
  <printOptions horizontalCentered="1"/>
  <pageMargins left="0.4" right="0.4" top="0.7" bottom="0.6" header="0.3" footer="0.3"/>
  <pageSetup paperSize="9" orientation="landscape" fitToWidth="1" fitToHeight="0"/>
  <headerFooter>
    <oddHeader>&amp;L&amp;"Calibri,Bold"&amp;9ERDR Algorithm — Heart-Disease (7, 13, 2) selected from Heart-Disease (270, 13, 2)&amp;R&amp;"Calibri,Regular"&amp;9&amp;A</oddHeader>
    <oddFooter>&amp;C&amp;"Calibri,Regular"&amp;9Page &amp;P of &amp;N</oddFooter>
  </headerFooter>
  <rowBreaks count="3" manualBreakCount="3">
    <brk id="22" max="16383" man="1"/>
    <brk id="50" max="16383" man="1"/>
    <brk id="75" max="16383" man="1"/>
  </rowBreaks>
  <drawing r:id="rIdDr1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C55A11"/>
    <pageSetUpPr fitToPage="1"/>
  </sheetPr>
  <dimension ref="A1:H15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10.77734375" customWidth="1"/>
    <col min="2" max="2" width="10.77734375" customWidth="1"/>
    <col min="3" max="4" width="9.77734375" customWidth="1"/>
    <col min="5" max="6" width="11.77734375" customWidth="1"/>
    <col min="7" max="7" width="40.77734375" customWidth="1"/>
    <col min="8" max="8" width="60.77734375" customWidth="1"/>
  </cols>
  <sheetData>
    <row r="1" ht="22" customHeight="1">
      <c r="A1" s="57" t="inlineStr">
        <is>
          <t xml:space="preserve">ERDR Step 2 · Priority queue — objects ordered by d ascending, then r ascending, then index ascending</t>
        </is>
      </c>
      <c r="B1" s="57"/>
      <c r="C1" s="57"/>
      <c r="D1" s="57"/>
      <c r="E1" s="57"/>
      <c r="F1" s="57"/>
      <c r="G1" s="57"/>
      <c r="H1" s="57"/>
    </row>
    <row r="2"/>
    <row r="3">
      <c r="A3" s="58" t="inlineStr">
        <is>
          <t xml:space="preserve">Static order of all objects (d and r never change while an object waits); every iteration takes the first object of this list that is still in F and not yet processed</t>
        </is>
      </c>
      <c r="B3" s="58"/>
      <c r="C3" s="58"/>
      <c r="D3" s="58"/>
      <c r="E3" s="58"/>
      <c r="F3" s="58"/>
      <c r="G3" s="58"/>
      <c r="H3" s="58"/>
    </row>
    <row r="4" ht="34" customHeight="1">
      <c r="A4" s="60" t="inlineStr">
        <is>
          <t xml:space="preserve">Position</t>
        </is>
      </c>
      <c r="B4" s="60" t="inlineStr">
        <is>
          <t xml:space="preserve">Object</t>
        </is>
      </c>
      <c r="C4" s="60" t="inlineStr">
        <is>
          <t xml:space="preserve">Index i</t>
        </is>
      </c>
      <c r="D4" s="60" t="inlineStr">
        <is>
          <t xml:space="preserve">Class</t>
        </is>
      </c>
      <c r="E4" s="60" t="inlineStr">
        <is>
          <t xml:space="preserve">d(Sᵢ)</t>
        </is>
      </c>
      <c r="F4" s="60" t="inlineStr">
        <is>
          <t xml:space="preserve">r(Sᵢ)</t>
        </is>
      </c>
      <c r="G4" s="60" t="inlineStr">
        <is>
          <t xml:space="preserve">Order against the next object decided by</t>
        </is>
      </c>
      <c r="H4" s="60" t="inlineStr">
        <is>
          <t xml:space="preserve">Tie note</t>
        </is>
      </c>
    </row>
    <row r="5">
      <c r="A5" s="77">
        <v>1</v>
      </c>
      <c r="B5" s="62" t="str">
        <f>INDEX('ERDR Characteristics'!$A$5:$A$11,C5)</f>
        <v>S₁</v>
      </c>
      <c r="C5" s="78">
        <f>MATCH(A5,'ERDR Characteristics'!$K$5:$K$11,0)</f>
        <v>1</v>
      </c>
      <c r="D5" s="68">
        <f>INDEX('ERDR Characteristics'!$B$5:$B$11,C5)</f>
        <v>2</v>
      </c>
      <c r="E5" s="91">
        <f>INDEX('ERDR Characteristics'!$J$5:$J$11,C5)</f>
        <v>0</v>
      </c>
      <c r="F5" s="81">
        <f>INDEX('ERDR Characteristics'!$D$5:$D$11,C5)</f>
        <v>5.60708061</v>
      </c>
      <c r="G5" s="85" t="str">
        <f>IF(E5&lt;E6,"d",IF(F5&lt;F6,"r (equal d)","index (equal d and r)"))</f>
        <v>index (equal d and r)</v>
      </c>
      <c r="H5" s="101" t="str">
        <f>IF(G5="d","",B5&amp;" before "&amp;B6&amp;": d = "&amp;TEXT(E5,"0.0000")&amp;IF(LEFT(G5,1)="r",", r "&amp;TEXT(F5,"0.0000")&amp;" &lt; "&amp;TEXT(F6,"0.0000"),", r = "&amp;TEXT(F5,"0.0000")&amp;", index "&amp;C5&amp;" &lt; "&amp;C6))</f>
        <v>S₁ before S₃: d = 0.0000, r = 5.6071, index 1 &lt; 3</v>
      </c>
    </row>
    <row r="6">
      <c r="A6" s="77">
        <v>2</v>
      </c>
      <c r="B6" s="62" t="str">
        <f>INDEX('ERDR Characteristics'!$A$5:$A$11,C6)</f>
        <v>S₃</v>
      </c>
      <c r="C6" s="78">
        <f>MATCH(A6,'ERDR Characteristics'!$K$5:$K$11,0)</f>
        <v>3</v>
      </c>
      <c r="D6" s="68">
        <f>INDEX('ERDR Characteristics'!$B$5:$B$11,C6)</f>
        <v>1</v>
      </c>
      <c r="E6" s="91">
        <f>INDEX('ERDR Characteristics'!$J$5:$J$11,C6)</f>
        <v>0</v>
      </c>
      <c r="F6" s="81">
        <f>INDEX('ERDR Characteristics'!$D$5:$D$11,C6)</f>
        <v>5.60708061</v>
      </c>
      <c r="G6" s="85" t="str">
        <f>IF(E6&lt;E7,"d",IF(F6&lt;F7,"r (equal d)","index (equal d and r)"))</f>
        <v>r (equal d)</v>
      </c>
      <c r="H6" s="101" t="str">
        <f>IF(G6="d","",B6&amp;" before "&amp;B7&amp;": d = "&amp;TEXT(E6,"0.0000")&amp;IF(LEFT(G6,1)="r",", r "&amp;TEXT(F6,"0.0000")&amp;" &lt; "&amp;TEXT(F7,"0.0000"),", r = "&amp;TEXT(F6,"0.0000")&amp;", index "&amp;C6&amp;" &lt; "&amp;C7))</f>
        <v>S₃ before S₅: d = 0.0000, r 5.6071 &lt; 7.1117</v>
      </c>
    </row>
    <row r="7">
      <c r="A7" s="77">
        <v>3</v>
      </c>
      <c r="B7" s="62" t="str">
        <f>INDEX('ERDR Characteristics'!$A$5:$A$11,C7)</f>
        <v>S₅</v>
      </c>
      <c r="C7" s="78">
        <f>MATCH(A7,'ERDR Characteristics'!$K$5:$K$11,0)</f>
        <v>5</v>
      </c>
      <c r="D7" s="68">
        <f>INDEX('ERDR Characteristics'!$B$5:$B$11,C7)</f>
        <v>2</v>
      </c>
      <c r="E7" s="91">
        <f>INDEX('ERDR Characteristics'!$J$5:$J$11,C7)</f>
        <v>0</v>
      </c>
      <c r="F7" s="81">
        <f>INDEX('ERDR Characteristics'!$D$5:$D$11,C7)</f>
        <v>7.1117040273</v>
      </c>
      <c r="G7" s="85" t="str">
        <f>IF(E7&lt;E8,"d",IF(F7&lt;F8,"r (equal d)","index (equal d and r)"))</f>
        <v>d</v>
      </c>
      <c r="H7" s="101" t="str">
        <f>IF(G7="d","",B7&amp;" before "&amp;B8&amp;": d = "&amp;TEXT(E7,"0.0000")&amp;IF(LEFT(G7,1)="r",", r "&amp;TEXT(F7,"0.0000")&amp;" &lt; "&amp;TEXT(F8,"0.0000"),", r = "&amp;TEXT(F7,"0.0000")&amp;", index "&amp;C7&amp;" &lt; "&amp;C8))</f>
        <v/>
      </c>
    </row>
    <row r="8">
      <c r="A8" s="77">
        <v>4</v>
      </c>
      <c r="B8" s="62" t="str">
        <f>INDEX('ERDR Characteristics'!$A$5:$A$11,C8)</f>
        <v>S₂</v>
      </c>
      <c r="C8" s="78">
        <f>MATCH(A8,'ERDR Characteristics'!$K$5:$K$11,0)</f>
        <v>2</v>
      </c>
      <c r="D8" s="68">
        <f>INDEX('ERDR Characteristics'!$B$5:$B$11,C8)</f>
        <v>2</v>
      </c>
      <c r="E8" s="91">
        <f>INDEX('ERDR Characteristics'!$J$5:$J$11,C8)</f>
        <v>0.0795428388</v>
      </c>
      <c r="F8" s="81">
        <f>INDEX('ERDR Characteristics'!$D$5:$D$11,C8)</f>
        <v>7.4699698919</v>
      </c>
      <c r="G8" s="85" t="str">
        <f>IF(E8&lt;E9,"d",IF(F8&lt;F9,"r (equal d)","index (equal d and r)"))</f>
        <v>d</v>
      </c>
      <c r="H8" s="101" t="str">
        <f>IF(G8="d","",B8&amp;" before "&amp;B9&amp;": d = "&amp;TEXT(E8,"0.0000")&amp;IF(LEFT(G8,1)="r",", r "&amp;TEXT(F8,"0.0000")&amp;" &lt; "&amp;TEXT(F9,"0.0000"),", r = "&amp;TEXT(F8,"0.0000")&amp;", index "&amp;C8&amp;" &lt; "&amp;C9))</f>
        <v/>
      </c>
    </row>
    <row r="9">
      <c r="A9" s="77">
        <v>5</v>
      </c>
      <c r="B9" s="62" t="str">
        <f>INDEX('ERDR Characteristics'!$A$5:$A$11,C9)</f>
        <v>S₇</v>
      </c>
      <c r="C9" s="78">
        <f>MATCH(A9,'ERDR Characteristics'!$K$5:$K$11,0)</f>
        <v>7</v>
      </c>
      <c r="D9" s="68">
        <f>INDEX('ERDR Characteristics'!$B$5:$B$11,C9)</f>
        <v>1</v>
      </c>
      <c r="E9" s="91">
        <f>INDEX('ERDR Characteristics'!$J$5:$J$11,C9)</f>
        <v>0.1252961741</v>
      </c>
      <c r="F9" s="81">
        <f>INDEX('ERDR Characteristics'!$D$5:$D$11,C9)</f>
        <v>3.9109813746</v>
      </c>
      <c r="G9" s="85" t="str">
        <f>IF(E9&lt;E10,"d",IF(F9&lt;F10,"r (equal d)","index (equal d and r)"))</f>
        <v>d</v>
      </c>
      <c r="H9" s="101" t="str">
        <f>IF(G9="d","",B9&amp;" before "&amp;B10&amp;": d = "&amp;TEXT(E9,"0.0000")&amp;IF(LEFT(G9,1)="r",", r "&amp;TEXT(F9,"0.0000")&amp;" &lt; "&amp;TEXT(F10,"0.0000"),", r = "&amp;TEXT(F9,"0.0000")&amp;", index "&amp;C9&amp;" &lt; "&amp;C10))</f>
        <v/>
      </c>
    </row>
    <row r="10">
      <c r="A10" s="77">
        <v>6</v>
      </c>
      <c r="B10" s="62" t="str">
        <f>INDEX('ERDR Characteristics'!$A$5:$A$11,C10)</f>
        <v>S₆</v>
      </c>
      <c r="C10" s="78">
        <f>MATCH(A10,'ERDR Characteristics'!$K$5:$K$11,0)</f>
        <v>6</v>
      </c>
      <c r="D10" s="68">
        <f>INDEX('ERDR Characteristics'!$B$5:$B$11,C10)</f>
        <v>1</v>
      </c>
      <c r="E10" s="91">
        <f>INDEX('ERDR Characteristics'!$J$5:$J$11,C10)</f>
        <v>0.1692169896</v>
      </c>
      <c r="F10" s="81">
        <f>INDEX('ERDR Characteristics'!$D$5:$D$11,C10)</f>
        <v>3.7071187508</v>
      </c>
      <c r="G10" s="85" t="str">
        <f>IF(E10&lt;E11,"d",IF(F10&lt;F11,"r (equal d)","index (equal d and r)"))</f>
        <v>d</v>
      </c>
      <c r="H10" s="101" t="str">
        <f>IF(G10="d","",B10&amp;" before "&amp;B11&amp;": d = "&amp;TEXT(E10,"0.0000")&amp;IF(LEFT(G10,1)="r",", r "&amp;TEXT(F10,"0.0000")&amp;" &lt; "&amp;TEXT(F11,"0.0000"),", r = "&amp;TEXT(F10,"0.0000")&amp;", index "&amp;C10&amp;" &lt; "&amp;C11))</f>
        <v/>
      </c>
    </row>
    <row r="11">
      <c r="A11" s="77">
        <v>7</v>
      </c>
      <c r="B11" s="62" t="str">
        <f>INDEX('ERDR Characteristics'!$A$5:$A$11,C11)</f>
        <v>S₄</v>
      </c>
      <c r="C11" s="78">
        <f>MATCH(A11,'ERDR Characteristics'!$K$5:$K$11,0)</f>
        <v>4</v>
      </c>
      <c r="D11" s="68">
        <f>INDEX('ERDR Characteristics'!$B$5:$B$11,C11)</f>
        <v>2</v>
      </c>
      <c r="E11" s="91">
        <f>INDEX('ERDR Characteristics'!$J$5:$J$11,C11)</f>
        <v>0.2529498997</v>
      </c>
      <c r="F11" s="81">
        <f>INDEX('ERDR Characteristics'!$D$5:$D$11,C11)</f>
        <v>3.7071187508</v>
      </c>
      <c r="G11" s="85" t="inlineStr">
        <is>
          <t xml:space="preserve">— (last)</t>
        </is>
      </c>
      <c r="H11" s="101" t="inlineStr">
        <is>
          <t xml:space="preserve"/>
        </is>
      </c>
    </row>
    <row r="12"/>
    <row r="13">
      <c r="A13" s="100" t="inlineStr">
        <is>
          <t xml:space="preserve">The article: «Упорядочить объекты из множества {Sᵢ ∈ F | d(Sᵢ) ≥ 0} по возрастанию d(Sᵢ) … При равенстве d(Sᵢ) … сначала по возрастанию r(Sᵢ), затем по возрастанию индексов».</t>
        </is>
      </c>
    </row>
    <row r="14">
      <c r="A14" s="100" t="inlineStr">
        <is>
          <t xml:space="preserve">Blocking (d ← −(d + ε)) removes an object from the queue, and objects that move to D leave F, so the queue of an iteration is this list without them (see ERDR Iterations, row “queue key”).</t>
        </is>
      </c>
    </row>
    <row r="15">
      <c r="A15" s="100" t="inlineStr">
        <is>
          <t xml:space="preserve">Yellow: the order is decided by r (equal d); blue: decided by the index (equal d and r). Both tie rules of Step 2 occur in this sample.</t>
        </is>
      </c>
    </row>
  </sheetData>
  <mergeCells count="2">
    <mergeCell ref="A1:H1"/>
    <mergeCell ref="A3:H3"/>
  </mergeCells>
  <conditionalFormatting sqref="G5:H10">
    <cfRule type="expression" dxfId="1" priority="1">
      <formula>LEFT($G5,1)="r"</formula>
    </cfRule>
  </conditionalFormatting>
  <conditionalFormatting sqref="G5:H10">
    <cfRule type="expression" dxfId="4" priority="2">
      <formula>LEFT($G5,5)="index"</formula>
    </cfRule>
  </conditionalFormatting>
  <printOptions horizontalCentered="1"/>
  <pageMargins left="0.4" right="0.4" top="0.7" bottom="0.6" header="0.3" footer="0.3"/>
  <pageSetup paperSize="9" orientation="landscape" fitToWidth="1" fitToHeight="0"/>
  <headerFooter>
    <oddHeader>&amp;L&amp;"Calibri,Bold"&amp;9ERDR Algorithm — Heart-Disease (7, 13, 2) selected from Heart-Disease (270, 13, 2)&amp;R&amp;"Calibri,Regular"&amp;9&amp;A</oddHeader>
    <oddFooter>&amp;C&amp;"Calibri,Regular"&amp;9Page &amp;P of &amp;N</oddFooter>
  </headerFooter>
  <drawing r:id="rIdDr1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C55A11"/>
    <pageSetUpPr fitToPage="1"/>
  </sheetPr>
  <dimension ref="A1:K190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54.77734375" customWidth="1"/>
    <col min="2" max="8" width="11.77734375" customWidth="1"/>
    <col min="9" max="9" width="2.77734375" customWidth="1"/>
    <col min="10" max="10" width="40.77734375" customWidth="1"/>
    <col min="11" max="11" width="50.77734375" customWidth="1"/>
  </cols>
  <sheetData>
    <row r="1" ht="22" customHeight="1">
      <c r="A1" s="57" t="inlineStr">
        <is>
          <t xml:space="preserve">ERDR Steps 2–5 · one block per iteration — queue, selection of Sᵢ, the set L, blocking, Step 4 / Step 5 decisions and counter corrections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/>
    <row r="3">
      <c r="A3" s="97" t="str">
        <f>"Settings: k = "&amp;'Parameters'!$B$12&amp;"  ·  ε = "&amp;'Parameters'!$B$17&amp;"  ·  readings A = "&amp;'Parameters'!$B$24&amp;", B = "&amp;'Parameters'!$B$25&amp;", C = "&amp;'Parameters'!$B$26&amp;IF(AND('Parameters'!$B$24=1,'Parameters'!$B$25=1,'Parameters'!$B$26=1),"  (literal article text)","  (alternative reading — see Readings (Switches))")</f>
        <v>Settings: k = 3  ·  ε = 0.001  ·  readings A = 1, B = 1, C = 1  (literal article text)</v>
      </c>
      <c r="B3" s="97"/>
      <c r="C3" s="97"/>
      <c r="D3" s="97"/>
      <c r="E3" s="97"/>
      <c r="F3" s="97"/>
      <c r="G3" s="97"/>
      <c r="H3" s="97"/>
      <c r="I3" s="97"/>
      <c r="J3" s="97"/>
      <c r="K3" s="97"/>
    </row>
    <row r="4"/>
    <row r="5">
      <c r="A5" s="59" t="str">
        <f>"Iteration 1  ·  "&amp;IF($K$9=0,"queue empty → Step 6 (stop)","Step 3 selects "&amp;$K$10&amp;"  ·  L = "&amp;$K$13&amp;"  ·  "&amp;$K$15)</f>
        <v>Iteration 1  ·  Step 3 selects S₁  ·  L = {S₁, S₂, S₅}  ·  |L| &gt; 1 → Step 5 corrects g</v>
      </c>
      <c r="B5" s="59"/>
      <c r="C5" s="59"/>
      <c r="D5" s="59"/>
      <c r="E5" s="59"/>
      <c r="F5" s="59"/>
      <c r="G5" s="59"/>
      <c r="H5" s="59"/>
      <c r="I5" s="59"/>
      <c r="J5" s="59"/>
      <c r="K5" s="59"/>
    </row>
    <row r="6">
      <c r="A6" s="61" t="inlineStr">
        <is>
          <t xml:space="preserve">Row</t>
        </is>
      </c>
      <c r="B6" s="60" t="inlineStr">
        <is>
          <t xml:space="preserve">S₁</t>
        </is>
      </c>
      <c r="C6" s="60" t="inlineStr">
        <is>
          <t xml:space="preserve">S₂</t>
        </is>
      </c>
      <c r="D6" s="60" t="inlineStr">
        <is>
          <t xml:space="preserve">S₃</t>
        </is>
      </c>
      <c r="E6" s="60" t="inlineStr">
        <is>
          <t xml:space="preserve">S₄</t>
        </is>
      </c>
      <c r="F6" s="60" t="inlineStr">
        <is>
          <t xml:space="preserve">S₅</t>
        </is>
      </c>
      <c r="G6" s="60" t="inlineStr">
        <is>
          <t xml:space="preserve">S₆</t>
        </is>
      </c>
      <c r="H6" s="60" t="inlineStr">
        <is>
          <t xml:space="preserve">S₇</t>
        </is>
      </c>
      <c r="J6" s="61" t="inlineStr">
        <is>
          <t xml:space="preserve">Iteration summary</t>
        </is>
      </c>
      <c r="K6" s="61" t="inlineStr">
        <is>
          <t xml:space="preserve">Value</t>
        </is>
      </c>
    </row>
    <row r="7">
      <c r="A7" s="63" t="inlineStr">
        <is>
          <t xml:space="preserve">Class</t>
        </is>
      </c>
      <c r="B7" s="68">
        <f>'Dataset'!$P$5</f>
        <v>2</v>
      </c>
      <c r="C7" s="68">
        <f>'Dataset'!$P$6</f>
        <v>2</v>
      </c>
      <c r="D7" s="68">
        <f>'Dataset'!$P$7</f>
        <v>1</v>
      </c>
      <c r="E7" s="68">
        <f>'Dataset'!$P$8</f>
        <v>2</v>
      </c>
      <c r="F7" s="68">
        <f>'Dataset'!$P$9</f>
        <v>2</v>
      </c>
      <c r="G7" s="68">
        <f>'Dataset'!$P$10</f>
        <v>1</v>
      </c>
      <c r="H7" s="68">
        <f>'Dataset'!$P$11</f>
        <v>1</v>
      </c>
      <c r="J7" s="82" t="inlineStr">
        <is>
          <t xml:space="preserve">Queue length (Step 2)</t>
        </is>
      </c>
      <c r="K7" s="85">
        <f>SUM(B11:H11)</f>
        <v>7</v>
      </c>
    </row>
    <row r="8">
      <c r="A8" s="63" t="inlineStr">
        <is>
          <t xml:space="preserve">In F before the iteration (1 = in the working set)</t>
        </is>
      </c>
      <c r="B8" s="76">
        <v>1</v>
      </c>
      <c r="C8" s="76">
        <v>1</v>
      </c>
      <c r="D8" s="76">
        <v>1</v>
      </c>
      <c r="E8" s="76">
        <v>1</v>
      </c>
      <c r="F8" s="76">
        <v>1</v>
      </c>
      <c r="G8" s="76">
        <v>1</v>
      </c>
      <c r="H8" s="76">
        <v>1</v>
      </c>
      <c r="J8" s="82" t="inlineStr">
        <is>
          <t xml:space="preserve">Smallest queue key</t>
        </is>
      </c>
      <c r="K8" s="85">
        <f>MIN(B12:H12)</f>
        <v>1</v>
      </c>
    </row>
    <row r="9">
      <c r="A9" s="63" t="inlineStr">
        <is>
          <t xml:space="preserve">Processed before (blocked: d &lt; 0)</t>
        </is>
      </c>
      <c r="B9" s="76">
        <v>0</v>
      </c>
      <c r="C9" s="76">
        <v>0</v>
      </c>
      <c r="D9" s="76">
        <v>0</v>
      </c>
      <c r="E9" s="76">
        <v>0</v>
      </c>
      <c r="F9" s="76">
        <v>0</v>
      </c>
      <c r="G9" s="76">
        <v>0</v>
      </c>
      <c r="H9" s="76">
        <v>0</v>
      </c>
      <c r="J9" s="82" t="inlineStr">
        <is>
          <t xml:space="preserve">Selected index i (0 = queue empty)</t>
        </is>
      </c>
      <c r="K9" s="85">
        <f>IF(K8=99,0,MATCH(K8,B12:H12,0))</f>
        <v>1</v>
      </c>
    </row>
    <row r="10">
      <c r="A10" s="63" t="inlineStr">
        <is>
          <t xml:space="preserve">g before the iteration</t>
        </is>
      </c>
      <c r="B10" s="80">
        <f>'ERDR Characteristics'!$E$5</f>
        <v>3</v>
      </c>
      <c r="C10" s="80">
        <f>'ERDR Characteristics'!$E$6</f>
        <v>4</v>
      </c>
      <c r="D10" s="80">
        <f>'ERDR Characteristics'!$E$7</f>
        <v>3</v>
      </c>
      <c r="E10" s="80">
        <f>'ERDR Characteristics'!$E$8</f>
        <v>1</v>
      </c>
      <c r="F10" s="80">
        <f>'ERDR Characteristics'!$E$9</f>
        <v>3</v>
      </c>
      <c r="G10" s="80">
        <f>'ERDR Characteristics'!$E$10</f>
        <v>1</v>
      </c>
      <c r="H10" s="80">
        <f>'ERDR Characteristics'!$E$11</f>
        <v>2</v>
      </c>
      <c r="J10" s="82" t="inlineStr">
        <is>
          <t xml:space="preserve">Step 3 · selected Sᵢ</t>
        </is>
      </c>
      <c r="K10" s="85" t="str">
        <f>IF(K9=0,"— (queue empty → Step 6)",INDEX(B6:H6,K9))</f>
        <v>S₁</v>
      </c>
    </row>
    <row r="11">
      <c r="A11" s="63" t="inlineStr">
        <is>
          <t xml:space="preserve">Step 2 · in the queue: in F and not processed</t>
        </is>
      </c>
      <c r="B11" s="76">
        <f>IF(AND(B8=1,B9=0),1,0)</f>
        <v>1</v>
      </c>
      <c r="C11" s="76">
        <f>IF(AND(C8=1,C9=0),1,0)</f>
        <v>1</v>
      </c>
      <c r="D11" s="76">
        <f>IF(AND(D8=1,D9=0),1,0)</f>
        <v>1</v>
      </c>
      <c r="E11" s="76">
        <f>IF(AND(E8=1,E9=0),1,0)</f>
        <v>1</v>
      </c>
      <c r="F11" s="76">
        <f>IF(AND(F8=1,F9=0),1,0)</f>
        <v>1</v>
      </c>
      <c r="G11" s="76">
        <f>IF(AND(G8=1,G9=0),1,0)</f>
        <v>1</v>
      </c>
      <c r="H11" s="76">
        <f>IF(AND(H8=1,H9=0),1,0)</f>
        <v>1</v>
      </c>
      <c r="J11" s="82" t="inlineStr">
        <is>
          <t xml:space="preserve">d(Sᵢ)</t>
        </is>
      </c>
      <c r="K11" s="96">
        <f>IF(K9=0,"—",INDEX('ERDR Characteristics'!$J$5:$J$11,K9))</f>
        <v>0</v>
      </c>
    </row>
    <row r="12">
      <c r="A12" s="63" t="inlineStr">
        <is>
          <t xml:space="preserve">Step 2 · queue key = priority position (99 = not in the queue)</t>
        </is>
      </c>
      <c r="B12" s="76">
        <f>IF(B11=1,'ERDR Characteristics'!$K$5,99)</f>
        <v>1</v>
      </c>
      <c r="C12" s="76">
        <f>IF(C11=1,'ERDR Characteristics'!$K$6,99)</f>
        <v>4</v>
      </c>
      <c r="D12" s="76">
        <f>IF(D11=1,'ERDR Characteristics'!$K$7,99)</f>
        <v>2</v>
      </c>
      <c r="E12" s="76">
        <f>IF(E11=1,'ERDR Characteristics'!$K$8,99)</f>
        <v>7</v>
      </c>
      <c r="F12" s="76">
        <f>IF(F11=1,'ERDR Characteristics'!$K$9,99)</f>
        <v>3</v>
      </c>
      <c r="G12" s="76">
        <f>IF(G11=1,'ERDR Characteristics'!$K$10,99)</f>
        <v>6</v>
      </c>
      <c r="H12" s="76">
        <f>IF(H11=1,'ERDR Characteristics'!$K$11,99)</f>
        <v>5</v>
      </c>
      <c r="J12" s="82" t="inlineStr">
        <is>
          <t xml:space="preserve">r(Sᵢ)</t>
        </is>
      </c>
      <c r="K12" s="96">
        <f>IF(K9=0,"—",INDEX('ERDR Characteristics'!$D$5:$D$11,K9))</f>
        <v>5.60708061</v>
      </c>
    </row>
    <row r="13">
      <c r="A13" s="63" t="inlineStr">
        <is>
          <t xml:space="preserve">Step 3 · selected Sᵢ (smallest key)</t>
        </is>
      </c>
      <c r="B13" s="77">
        <f>IF($K$9=1,1,0)</f>
        <v>1</v>
      </c>
      <c r="C13" s="77">
        <f>IF($K$9=2,1,0)</f>
        <v>0</v>
      </c>
      <c r="D13" s="77">
        <f>IF($K$9=3,1,0)</f>
        <v>0</v>
      </c>
      <c r="E13" s="77">
        <f>IF($K$9=4,1,0)</f>
        <v>0</v>
      </c>
      <c r="F13" s="77">
        <f>IF($K$9=5,1,0)</f>
        <v>0</v>
      </c>
      <c r="G13" s="77">
        <f>IF($K$9=6,1,0)</f>
        <v>0</v>
      </c>
      <c r="H13" s="77">
        <f>IF($K$9=7,1,0)</f>
        <v>0</v>
      </c>
      <c r="J13" s="82" t="inlineStr">
        <is>
          <t xml:space="preserve">Step 4 · L</t>
        </is>
      </c>
      <c r="K13" s="85" t="str">
        <f>IF(K14=0,"∅","{"&amp;MID(IF(B20=1,", "&amp;B$6,"")&amp;IF(C20=1,", "&amp;C$6,"")&amp;IF(D20=1,", "&amp;D$6,"")&amp;IF(E20=1,", "&amp;E$6,"")&amp;IF(F20=1,", "&amp;F$6,"")&amp;IF(G20=1,", "&amp;G$6,"")&amp;IF(H20=1,", "&amp;H$6,""),3,200)&amp;"}")</f>
        <v>{S₁, S₂, S₅}</v>
      </c>
    </row>
    <row r="14">
      <c r="A14" s="63" t="inlineStr">
        <is>
          <t xml:space="preserve">Same class as Sᵢ</t>
        </is>
      </c>
      <c r="B14" s="76">
        <f>IF($K$9=0,0,IF(B7=INDEX($B$7:$H$7,$K$9),1,0))</f>
        <v>1</v>
      </c>
      <c r="C14" s="76">
        <f>IF($K$9=0,0,IF(C7=INDEX($B$7:$H$7,$K$9),1,0))</f>
        <v>1</v>
      </c>
      <c r="D14" s="76">
        <f>IF($K$9=0,0,IF(D7=INDEX($B$7:$H$7,$K$9),1,0))</f>
        <v>0</v>
      </c>
      <c r="E14" s="76">
        <f>IF($K$9=0,0,IF(E7=INDEX($B$7:$H$7,$K$9),1,0))</f>
        <v>1</v>
      </c>
      <c r="F14" s="76">
        <f>IF($K$9=0,0,IF(F7=INDEX($B$7:$H$7,$K$9),1,0))</f>
        <v>1</v>
      </c>
      <c r="G14" s="76">
        <f>IF($K$9=0,0,IF(G7=INDEX($B$7:$H$7,$K$9),1,0))</f>
        <v>0</v>
      </c>
      <c r="H14" s="76">
        <f>IF($K$9=0,0,IF(H7=INDEX($B$7:$H$7,$K$9),1,0))</f>
        <v>0</v>
      </c>
      <c r="J14" s="82" t="inlineStr">
        <is>
          <t xml:space="preserve">|L|</t>
        </is>
      </c>
      <c r="K14" s="85">
        <f>SUM(B20:H20)</f>
        <v>3</v>
      </c>
    </row>
    <row r="15">
      <c r="A15" s="63" t="inlineStr">
        <is>
          <t xml:space="preserve">ρ(Sⱼ, Sᵢ)</t>
        </is>
      </c>
      <c r="B15" s="73">
        <f>IF($K$9=0,"—",INDEX('Zhuravlev Distances'!$B$5:$H$5,$K$9))</f>
        <v>0</v>
      </c>
      <c r="C15" s="73">
        <f>IF($K$9=0,"—",INDEX('Zhuravlev Distances'!$B$6:$H$6,$K$9))</f>
        <v>4.6606100796</v>
      </c>
      <c r="D15" s="73">
        <f>IF($K$9=0,"—",INDEX('Zhuravlev Distances'!$B$7:$H$7,$K$9))</f>
        <v>5.60708061</v>
      </c>
      <c r="E15" s="73">
        <f>IF($K$9=0,"—",INDEX('Zhuravlev Distances'!$B$8:$H$8,$K$9))</f>
        <v>6.6272117335</v>
      </c>
      <c r="F15" s="73">
        <f>IF($K$9=0,"—",INDEX('Zhuravlev Distances'!$B$9:$H$9,$K$9))</f>
        <v>4.8565209225</v>
      </c>
      <c r="G15" s="73">
        <f>IF($K$9=0,"—",INDEX('Zhuravlev Distances'!$B$10:$H$10,$K$9))</f>
        <v>6.8015669516</v>
      </c>
      <c r="H15" s="73">
        <f>IF($K$9=0,"—",INDEX('Zhuravlev Distances'!$B$11:$H$11,$K$9))</f>
        <v>5.8897935773</v>
      </c>
      <c r="J15" s="82" t="inlineStr">
        <is>
          <t xml:space="preserve">Decision</t>
        </is>
      </c>
      <c r="K15" s="85" t="str">
        <f>IF(K9=0,"Step 6 · stop",IF(K14=0,"|L| = 0 → Sᵢ is only blocked and stays in F",IF(K14=1,"|L| = 1 → Sᵢ moves to D","|L| &gt; 1 → Step 5 corrects g")))</f>
        <v>|L| &gt; 1 → Step 5 corrects g</v>
      </c>
    </row>
    <row r="16">
      <c r="A16" s="63" t="inlineStr">
        <is>
          <t xml:space="preserve">r(Sⱼ)</t>
        </is>
      </c>
      <c r="B16" s="73">
        <f>'ERDR Characteristics'!$D$5</f>
        <v>5.60708061</v>
      </c>
      <c r="C16" s="73">
        <f>'ERDR Characteristics'!$D$6</f>
        <v>7.4699698919</v>
      </c>
      <c r="D16" s="73">
        <f>'ERDR Characteristics'!$D$7</f>
        <v>5.60708061</v>
      </c>
      <c r="E16" s="73">
        <f>'ERDR Characteristics'!$D$8</f>
        <v>3.7071187508</v>
      </c>
      <c r="F16" s="73">
        <f>'ERDR Characteristics'!$D$9</f>
        <v>7.1117040273</v>
      </c>
      <c r="G16" s="73">
        <f>'ERDR Characteristics'!$D$10</f>
        <v>3.7071187508</v>
      </c>
      <c r="H16" s="73">
        <f>'ERDR Characteristics'!$D$11</f>
        <v>3.9109813746</v>
      </c>
      <c r="J16" s="82" t="inlineStr">
        <is>
          <t xml:space="preserve">Step 5 · counters g: before → after</t>
        </is>
      </c>
      <c r="K16" s="85" t="str">
        <f>IF(SUM(B22:H22)=0,"—",MID(IF(B22=1,", "&amp;B$6&amp;": "&amp;B10&amp;" → "&amp;B23,"")&amp;IF(C22=1,", "&amp;C$6&amp;": "&amp;C10&amp;" → "&amp;C23,"")&amp;IF(D22=1,", "&amp;D$6&amp;": "&amp;D10&amp;" → "&amp;D23,"")&amp;IF(E22=1,", "&amp;E$6&amp;": "&amp;E10&amp;" → "&amp;E23,"")&amp;IF(F22=1,", "&amp;F$6&amp;": "&amp;F10&amp;" → "&amp;F23,"")&amp;IF(G22=1,", "&amp;G$6&amp;": "&amp;G10&amp;" → "&amp;G23,"")&amp;IF(H22=1,", "&amp;H$6&amp;": "&amp;H10&amp;" → "&amp;H23,""),3,300))</f>
        <v>S₁: 3 → 2, S₂: 4 → 3, S₅: 3 → 2</v>
      </c>
    </row>
    <row r="17">
      <c r="A17" s="63" t="inlineStr">
        <is>
          <t xml:space="preserve">Sᵢ inside the sphere of Sⱼ:  ρ(Sⱼ, Sᵢ) &lt; r(Sⱼ)</t>
        </is>
      </c>
      <c r="B17" s="76">
        <f>IF($K$9=0,0,IF(B15&lt;B16,1,0))</f>
        <v>1</v>
      </c>
      <c r="C17" s="76">
        <f>IF($K$9=0,0,IF(C15&lt;C16,1,0))</f>
        <v>1</v>
      </c>
      <c r="D17" s="76">
        <f>IF($K$9=0,0,IF(D15&lt;D16,1,0))</f>
        <v>0</v>
      </c>
      <c r="E17" s="76">
        <f>IF($K$9=0,0,IF(E15&lt;E16,1,0))</f>
        <v>0</v>
      </c>
      <c r="F17" s="76">
        <f>IF($K$9=0,0,IF(F15&lt;F16,1,0))</f>
        <v>1</v>
      </c>
      <c r="G17" s="76">
        <f>IF($K$9=0,0,IF(G15&lt;G16,1,0))</f>
        <v>0</v>
      </c>
      <c r="H17" s="76">
        <f>IF($K$9=0,0,IF(H15&lt;H16,1,0))</f>
        <v>0</v>
      </c>
      <c r="J17" s="82" t="inlineStr">
        <is>
          <t xml:space="preserve">Moved to D</t>
        </is>
      </c>
      <c r="K17" s="85" t="str">
        <f>IF(SUM(B25:H25)=0,"—",MID(IF(B25=1,", "&amp;B$6&amp;IF(B21=1," (Step 4)"," (Step 5)"),"")&amp;IF(C25=1,", "&amp;C$6&amp;IF(C21=1," (Step 4)"," (Step 5)"),"")&amp;IF(D25=1,", "&amp;D$6&amp;IF(D21=1," (Step 4)"," (Step 5)"),"")&amp;IF(E25=1,", "&amp;E$6&amp;IF(E21=1," (Step 4)"," (Step 5)"),"")&amp;IF(F25=1,", "&amp;F$6&amp;IF(F21=1," (Step 4)"," (Step 5)"),"")&amp;IF(G25=1,", "&amp;G$6&amp;IF(G21=1," (Step 4)"," (Step 5)"),"")&amp;IF(H25=1,", "&amp;H$6&amp;IF(H21=1," (Step 4)"," (Step 5)"),""),3,300))</f>
        <v>—</v>
      </c>
    </row>
    <row r="18">
      <c r="A18" s="63" t="inlineStr">
        <is>
          <t xml:space="preserve">g(Sⱼ) &gt; 1</t>
        </is>
      </c>
      <c r="B18" s="76">
        <f>IF(B10&gt;1,1,0)</f>
        <v>1</v>
      </c>
      <c r="C18" s="76">
        <f>IF(C10&gt;1,1,0)</f>
        <v>1</v>
      </c>
      <c r="D18" s="76">
        <f>IF(D10&gt;1,1,0)</f>
        <v>1</v>
      </c>
      <c r="E18" s="76">
        <f>IF(E10&gt;1,1,0)</f>
        <v>0</v>
      </c>
      <c r="F18" s="76">
        <f>IF(F10&gt;1,1,0)</f>
        <v>1</v>
      </c>
      <c r="G18" s="76">
        <f>IF(G10&gt;1,1,0)</f>
        <v>0</v>
      </c>
      <c r="H18" s="76">
        <f>IF(H10&gt;1,1,0)</f>
        <v>1</v>
      </c>
      <c r="J18" s="82" t="inlineStr">
        <is>
          <t xml:space="preserve">|F| after</t>
        </is>
      </c>
      <c r="K18" s="85">
        <f>SUM(B26:H26)</f>
        <v>7</v>
      </c>
    </row>
    <row r="19">
      <c r="A19" s="63" t="inlineStr">
        <is>
          <t xml:space="preserve">Allowed by readings A (Sᵢ itself) and B (processed Sⱼ)</t>
        </is>
      </c>
      <c r="B19" s="76">
        <f>IF($K$9=0,0,IF($K$9=1,IF('Parameters'!$B$24=1,1,0),IF(OR('Parameters'!$B$25=1,B9=0),1,0)))</f>
        <v>1</v>
      </c>
      <c r="C19" s="76">
        <f>IF($K$9=0,0,IF($K$9=2,IF('Parameters'!$B$24=1,1,0),IF(OR('Parameters'!$B$25=1,C9=0),1,0)))</f>
        <v>1</v>
      </c>
      <c r="D19" s="76">
        <f>IF($K$9=0,0,IF($K$9=3,IF('Parameters'!$B$24=1,1,0),IF(OR('Parameters'!$B$25=1,D9=0),1,0)))</f>
        <v>1</v>
      </c>
      <c r="E19" s="76">
        <f>IF($K$9=0,0,IF($K$9=4,IF('Parameters'!$B$24=1,1,0),IF(OR('Parameters'!$B$25=1,E9=0),1,0)))</f>
        <v>1</v>
      </c>
      <c r="F19" s="76">
        <f>IF($K$9=0,0,IF($K$9=5,IF('Parameters'!$B$24=1,1,0),IF(OR('Parameters'!$B$25=1,F9=0),1,0)))</f>
        <v>1</v>
      </c>
      <c r="G19" s="76">
        <f>IF($K$9=0,0,IF($K$9=6,IF('Parameters'!$B$24=1,1,0),IF(OR('Parameters'!$B$25=1,G9=0),1,0)))</f>
        <v>1</v>
      </c>
      <c r="H19" s="76">
        <f>IF($K$9=0,0,IF($K$9=7,IF('Parameters'!$B$24=1,1,0),IF(OR('Parameters'!$B$25=1,H9=0),1,0)))</f>
        <v>1</v>
      </c>
      <c r="J19" s="82" t="inlineStr">
        <is>
          <t xml:space="preserve">|D| after</t>
        </is>
      </c>
      <c r="K19" s="85">
        <f>SUM(B29:H29)</f>
        <v>0</v>
      </c>
    </row>
    <row r="20">
      <c r="A20" s="63" t="inlineStr">
        <is>
          <t xml:space="preserve">Step 4 · Sⱼ ∈ L</t>
        </is>
      </c>
      <c r="B20" s="77">
        <f>B8*B14*B17*B18*B19</f>
        <v>1</v>
      </c>
      <c r="C20" s="77">
        <f>C8*C14*C17*C18*C19</f>
        <v>1</v>
      </c>
      <c r="D20" s="77">
        <f>D8*D14*D17*D18*D19</f>
        <v>0</v>
      </c>
      <c r="E20" s="77">
        <f>E8*E14*E17*E18*E19</f>
        <v>0</v>
      </c>
      <c r="F20" s="77">
        <f>F8*F14*F17*F18*F19</f>
        <v>1</v>
      </c>
      <c r="G20" s="77">
        <f>G8*G14*G17*G18*G19</f>
        <v>0</v>
      </c>
      <c r="H20" s="77">
        <f>H8*H14*H17*H18*H19</f>
        <v>0</v>
      </c>
      <c r="J20" s="82" t="inlineStr">
        <is>
          <t xml:space="preserve">Objects left in the queue</t>
        </is>
      </c>
      <c r="K20" s="85">
        <f>SUMPRODUCT(B26:H26*(1-B27:H27))</f>
        <v>6</v>
      </c>
    </row>
    <row r="21">
      <c r="A21" s="63" t="inlineStr">
        <is>
          <t xml:space="preserve">Step 4 · |L| = 1 → Sᵢ moves to D</t>
        </is>
      </c>
      <c r="B21" s="76">
        <f>IF(AND(B13=1,$K$14=1),1,0)</f>
        <v>0</v>
      </c>
      <c r="C21" s="76">
        <f>IF(AND(C13=1,$K$14=1),1,0)</f>
        <v>0</v>
      </c>
      <c r="D21" s="76">
        <f>IF(AND(D13=1,$K$14=1),1,0)</f>
        <v>0</v>
      </c>
      <c r="E21" s="76">
        <f>IF(AND(E13=1,$K$14=1),1,0)</f>
        <v>0</v>
      </c>
      <c r="F21" s="76">
        <f>IF(AND(F13=1,$K$14=1),1,0)</f>
        <v>0</v>
      </c>
      <c r="G21" s="76">
        <f>IF(AND(G13=1,$K$14=1),1,0)</f>
        <v>0</v>
      </c>
      <c r="H21" s="76">
        <f>IF(AND(H13=1,$K$14=1),1,0)</f>
        <v>0</v>
      </c>
      <c r="J21" s="82" t="inlineStr">
        <is>
          <t xml:space="preserve">Step 4 · Sᵢ blocked: d(Sᵢ) ← −(d + ε)</t>
        </is>
      </c>
      <c r="K21" s="96">
        <f>IF(K9=0,"—",-(INDEX('ERDR Characteristics'!$J$5:$J$11,K9)+'Parameters'!$B$17))</f>
        <v>-0.001</v>
      </c>
    </row>
    <row r="22">
      <c r="A22" s="63" t="inlineStr">
        <is>
          <t xml:space="preserve">Step 5 · counter decreased (|L| &gt; 1)</t>
        </is>
      </c>
      <c r="B22" s="76">
        <f>IF($K$14&gt;1,B20,0)</f>
        <v>1</v>
      </c>
      <c r="C22" s="76">
        <f>IF($K$14&gt;1,C20*IF('Parameters'!$B$26=1,1,IF(SUMPRODUCT($B$20:B$20*($B$10:B$10=2))=0,1,0)),0)</f>
        <v>1</v>
      </c>
      <c r="D22" s="76">
        <f>IF($K$14&gt;1,D20*IF('Parameters'!$B$26=1,1,IF(SUMPRODUCT($B$20:C$20*($B$10:C$10=2))=0,1,0)),0)</f>
        <v>0</v>
      </c>
      <c r="E22" s="76">
        <f>IF($K$14&gt;1,E20*IF('Parameters'!$B$26=1,1,IF(SUMPRODUCT($B$20:D$20*($B$10:D$10=2))=0,1,0)),0)</f>
        <v>0</v>
      </c>
      <c r="F22" s="76">
        <f>IF($K$14&gt;1,F20*IF('Parameters'!$B$26=1,1,IF(SUMPRODUCT($B$20:E$20*($B$10:E$10=2))=0,1,0)),0)</f>
        <v>1</v>
      </c>
      <c r="G22" s="76">
        <f>IF($K$14&gt;1,G20*IF('Parameters'!$B$26=1,1,IF(SUMPRODUCT($B$20:F$20*($B$10:F$10=2))=0,1,0)),0)</f>
        <v>0</v>
      </c>
      <c r="H22" s="76">
        <f>IF($K$14&gt;1,H20*IF('Parameters'!$B$26=1,1,IF(SUMPRODUCT($B$20:G$20*($B$10:G$10=2))=0,1,0)),0)</f>
        <v>0</v>
      </c>
      <c r="J22" s="101" t="inlineStr">
        <is>
          <t xml:space="preserve"/>
        </is>
      </c>
      <c r="K22" s="101" t="inlineStr">
        <is>
          <t xml:space="preserve"/>
        </is>
      </c>
    </row>
    <row r="23">
      <c r="A23" s="63" t="inlineStr">
        <is>
          <t xml:space="preserve">g after the iteration</t>
        </is>
      </c>
      <c r="B23" s="80">
        <f>B10-B22</f>
        <v>2</v>
      </c>
      <c r="C23" s="80">
        <f>C10-C22</f>
        <v>3</v>
      </c>
      <c r="D23" s="80">
        <f>D10-D22</f>
        <v>3</v>
      </c>
      <c r="E23" s="80">
        <f>E10-E22</f>
        <v>1</v>
      </c>
      <c r="F23" s="80">
        <f>F10-F22</f>
        <v>2</v>
      </c>
      <c r="G23" s="80">
        <f>G10-G22</f>
        <v>1</v>
      </c>
      <c r="H23" s="80">
        <f>H10-H22</f>
        <v>2</v>
      </c>
      <c r="J23" s="101" t="inlineStr">
        <is>
          <t xml:space="preserve"/>
        </is>
      </c>
      <c r="K23" s="101" t="inlineStr">
        <is>
          <t xml:space="preserve"/>
        </is>
      </c>
    </row>
    <row r="24">
      <c r="A24" s="63" t="inlineStr">
        <is>
          <t xml:space="preserve">Step 5 · g fell to 1 → Sⱼ moves to D</t>
        </is>
      </c>
      <c r="B24" s="76">
        <f>IF(AND(B22=1,B23=1),1,0)</f>
        <v>0</v>
      </c>
      <c r="C24" s="76">
        <f>IF(AND(C22=1,C23=1),1,0)</f>
        <v>0</v>
      </c>
      <c r="D24" s="76">
        <f>IF(AND(D22=1,D23=1),1,0)</f>
        <v>0</v>
      </c>
      <c r="E24" s="76">
        <f>IF(AND(E22=1,E23=1),1,0)</f>
        <v>0</v>
      </c>
      <c r="F24" s="76">
        <f>IF(AND(F22=1,F23=1),1,0)</f>
        <v>0</v>
      </c>
      <c r="G24" s="76">
        <f>IF(AND(G22=1,G23=1),1,0)</f>
        <v>0</v>
      </c>
      <c r="H24" s="76">
        <f>IF(AND(H22=1,H23=1),1,0)</f>
        <v>0</v>
      </c>
      <c r="J24" s="101" t="inlineStr">
        <is>
          <t xml:space="preserve"/>
        </is>
      </c>
      <c r="K24" s="101" t="inlineStr">
        <is>
          <t xml:space="preserve"/>
        </is>
      </c>
    </row>
    <row r="25">
      <c r="A25" s="63" t="inlineStr">
        <is>
          <t xml:space="preserve">Moves to D in this iteration</t>
        </is>
      </c>
      <c r="B25" s="77">
        <f>B21+B24</f>
        <v>0</v>
      </c>
      <c r="C25" s="77">
        <f>C21+C24</f>
        <v>0</v>
      </c>
      <c r="D25" s="77">
        <f>D21+D24</f>
        <v>0</v>
      </c>
      <c r="E25" s="77">
        <f>E21+E24</f>
        <v>0</v>
      </c>
      <c r="F25" s="77">
        <f>F21+F24</f>
        <v>0</v>
      </c>
      <c r="G25" s="77">
        <f>G21+G24</f>
        <v>0</v>
      </c>
      <c r="H25" s="77">
        <f>H21+H24</f>
        <v>0</v>
      </c>
      <c r="J25" s="101" t="inlineStr">
        <is>
          <t xml:space="preserve"/>
        </is>
      </c>
      <c r="K25" s="101" t="inlineStr">
        <is>
          <t xml:space="preserve"/>
        </is>
      </c>
    </row>
    <row r="26">
      <c r="A26" s="63" t="inlineStr">
        <is>
          <t xml:space="preserve">In F after the iteration</t>
        </is>
      </c>
      <c r="B26" s="76">
        <f>B8-B25</f>
        <v>1</v>
      </c>
      <c r="C26" s="76">
        <f>C8-C25</f>
        <v>1</v>
      </c>
      <c r="D26" s="76">
        <f>D8-D25</f>
        <v>1</v>
      </c>
      <c r="E26" s="76">
        <f>E8-E25</f>
        <v>1</v>
      </c>
      <c r="F26" s="76">
        <f>F8-F25</f>
        <v>1</v>
      </c>
      <c r="G26" s="76">
        <f>G8-G25</f>
        <v>1</v>
      </c>
      <c r="H26" s="76">
        <f>H8-H25</f>
        <v>1</v>
      </c>
      <c r="J26" s="101" t="inlineStr">
        <is>
          <t xml:space="preserve"/>
        </is>
      </c>
      <c r="K26" s="101" t="inlineStr">
        <is>
          <t xml:space="preserve"/>
        </is>
      </c>
    </row>
    <row r="27">
      <c r="A27" s="63" t="inlineStr">
        <is>
          <t xml:space="preserve">Processed after the iteration</t>
        </is>
      </c>
      <c r="B27" s="76">
        <f>MIN(1,B9+B13)</f>
        <v>1</v>
      </c>
      <c r="C27" s="76">
        <f>MIN(1,C9+C13)</f>
        <v>0</v>
      </c>
      <c r="D27" s="76">
        <f>MIN(1,D9+D13)</f>
        <v>0</v>
      </c>
      <c r="E27" s="76">
        <f>MIN(1,E9+E13)</f>
        <v>0</v>
      </c>
      <c r="F27" s="76">
        <f>MIN(1,F9+F13)</f>
        <v>0</v>
      </c>
      <c r="G27" s="76">
        <f>MIN(1,G9+G13)</f>
        <v>0</v>
      </c>
      <c r="H27" s="76">
        <f>MIN(1,H9+H13)</f>
        <v>0</v>
      </c>
      <c r="J27" s="101" t="inlineStr">
        <is>
          <t xml:space="preserve"/>
        </is>
      </c>
      <c r="K27" s="101" t="inlineStr">
        <is>
          <t xml:space="preserve"/>
        </is>
      </c>
    </row>
    <row r="28">
      <c r="A28" s="63" t="inlineStr">
        <is>
          <t xml:space="preserve">d after (article: −(d + ε) once processed)</t>
        </is>
      </c>
      <c r="B28" s="73">
        <f>IF(B27=1,-('ERDR Characteristics'!$J$5+'Parameters'!$B$17),'ERDR Characteristics'!$J$5)</f>
        <v>-0.001</v>
      </c>
      <c r="C28" s="73">
        <f>IF(C27=1,-('ERDR Characteristics'!$J$6+'Parameters'!$B$17),'ERDR Characteristics'!$J$6)</f>
        <v>0.0795428388</v>
      </c>
      <c r="D28" s="73">
        <f>IF(D27=1,-('ERDR Characteristics'!$J$7+'Parameters'!$B$17),'ERDR Characteristics'!$J$7)</f>
        <v>0</v>
      </c>
      <c r="E28" s="73">
        <f>IF(E27=1,-('ERDR Characteristics'!$J$8+'Parameters'!$B$17),'ERDR Characteristics'!$J$8)</f>
        <v>0.2529498997</v>
      </c>
      <c r="F28" s="73">
        <f>IF(F27=1,-('ERDR Characteristics'!$J$9+'Parameters'!$B$17),'ERDR Characteristics'!$J$9)</f>
        <v>0</v>
      </c>
      <c r="G28" s="73">
        <f>IF(G27=1,-('ERDR Characteristics'!$J$10+'Parameters'!$B$17),'ERDR Characteristics'!$J$10)</f>
        <v>0.1692169896</v>
      </c>
      <c r="H28" s="73">
        <f>IF(H27=1,-('ERDR Characteristics'!$J$11+'Parameters'!$B$17),'ERDR Characteristics'!$J$11)</f>
        <v>0.1252961741</v>
      </c>
      <c r="J28" s="101" t="inlineStr">
        <is>
          <t xml:space="preserve"/>
        </is>
      </c>
      <c r="K28" s="101" t="inlineStr">
        <is>
          <t xml:space="preserve"/>
        </is>
      </c>
    </row>
    <row r="29">
      <c r="A29" s="63" t="inlineStr">
        <is>
          <t xml:space="preserve">In D after the iteration</t>
        </is>
      </c>
      <c r="B29" s="76">
        <f>1-B26</f>
        <v>0</v>
      </c>
      <c r="C29" s="76">
        <f>1-C26</f>
        <v>0</v>
      </c>
      <c r="D29" s="76">
        <f>1-D26</f>
        <v>0</v>
      </c>
      <c r="E29" s="76">
        <f>1-E26</f>
        <v>0</v>
      </c>
      <c r="F29" s="76">
        <f>1-F26</f>
        <v>0</v>
      </c>
      <c r="G29" s="76">
        <f>1-G26</f>
        <v>0</v>
      </c>
      <c r="H29" s="76">
        <f>1-H26</f>
        <v>0</v>
      </c>
      <c r="J29" s="101" t="inlineStr">
        <is>
          <t xml:space="preserve"/>
        </is>
      </c>
      <c r="K29" s="101" t="inlineStr">
        <is>
          <t xml:space="preserve"/>
        </is>
      </c>
    </row>
    <row r="30"/>
    <row r="31">
      <c r="A31" s="59" t="str">
        <f>"Iteration 2  ·  "&amp;IF($K$35=0,"queue empty → Step 6 (stop)","Step 3 selects "&amp;$K$36&amp;"  ·  L = "&amp;$K$39&amp;"  ·  "&amp;$K$41)</f>
        <v>Iteration 2  ·  Step 3 selects S₃  ·  L = {S₃, S₇}  ·  |L| &gt; 1 → Step 5 corrects g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</row>
    <row r="32">
      <c r="A32" s="61" t="inlineStr">
        <is>
          <t xml:space="preserve">Row</t>
        </is>
      </c>
      <c r="B32" s="60" t="inlineStr">
        <is>
          <t xml:space="preserve">S₁</t>
        </is>
      </c>
      <c r="C32" s="60" t="inlineStr">
        <is>
          <t xml:space="preserve">S₂</t>
        </is>
      </c>
      <c r="D32" s="60" t="inlineStr">
        <is>
          <t xml:space="preserve">S₃</t>
        </is>
      </c>
      <c r="E32" s="60" t="inlineStr">
        <is>
          <t xml:space="preserve">S₄</t>
        </is>
      </c>
      <c r="F32" s="60" t="inlineStr">
        <is>
          <t xml:space="preserve">S₅</t>
        </is>
      </c>
      <c r="G32" s="60" t="inlineStr">
        <is>
          <t xml:space="preserve">S₆</t>
        </is>
      </c>
      <c r="H32" s="60" t="inlineStr">
        <is>
          <t xml:space="preserve">S₇</t>
        </is>
      </c>
      <c r="J32" s="61" t="inlineStr">
        <is>
          <t xml:space="preserve">Iteration summary</t>
        </is>
      </c>
      <c r="K32" s="61" t="inlineStr">
        <is>
          <t xml:space="preserve">Value</t>
        </is>
      </c>
    </row>
    <row r="33">
      <c r="A33" s="63" t="inlineStr">
        <is>
          <t xml:space="preserve">Class</t>
        </is>
      </c>
      <c r="B33" s="68">
        <f>'Dataset'!$P$5</f>
        <v>2</v>
      </c>
      <c r="C33" s="68">
        <f>'Dataset'!$P$6</f>
        <v>2</v>
      </c>
      <c r="D33" s="68">
        <f>'Dataset'!$P$7</f>
        <v>1</v>
      </c>
      <c r="E33" s="68">
        <f>'Dataset'!$P$8</f>
        <v>2</v>
      </c>
      <c r="F33" s="68">
        <f>'Dataset'!$P$9</f>
        <v>2</v>
      </c>
      <c r="G33" s="68">
        <f>'Dataset'!$P$10</f>
        <v>1</v>
      </c>
      <c r="H33" s="68">
        <f>'Dataset'!$P$11</f>
        <v>1</v>
      </c>
      <c r="J33" s="82" t="inlineStr">
        <is>
          <t xml:space="preserve">Queue length (Step 2)</t>
        </is>
      </c>
      <c r="K33" s="85">
        <f>SUM(B37:H37)</f>
        <v>6</v>
      </c>
    </row>
    <row r="34">
      <c r="A34" s="63" t="inlineStr">
        <is>
          <t xml:space="preserve">In F before the iteration (1 = in the working set)</t>
        </is>
      </c>
      <c r="B34" s="76">
        <f>B26</f>
        <v>1</v>
      </c>
      <c r="C34" s="76">
        <f>C26</f>
        <v>1</v>
      </c>
      <c r="D34" s="76">
        <f>D26</f>
        <v>1</v>
      </c>
      <c r="E34" s="76">
        <f>E26</f>
        <v>1</v>
      </c>
      <c r="F34" s="76">
        <f>F26</f>
        <v>1</v>
      </c>
      <c r="G34" s="76">
        <f>G26</f>
        <v>1</v>
      </c>
      <c r="H34" s="76">
        <f>H26</f>
        <v>1</v>
      </c>
      <c r="J34" s="82" t="inlineStr">
        <is>
          <t xml:space="preserve">Smallest queue key</t>
        </is>
      </c>
      <c r="K34" s="85">
        <f>MIN(B38:H38)</f>
        <v>2</v>
      </c>
    </row>
    <row r="35">
      <c r="A35" s="63" t="inlineStr">
        <is>
          <t xml:space="preserve">Processed before (blocked: d &lt; 0)</t>
        </is>
      </c>
      <c r="B35" s="76">
        <f>B27</f>
        <v>1</v>
      </c>
      <c r="C35" s="76">
        <f>C27</f>
        <v>0</v>
      </c>
      <c r="D35" s="76">
        <f>D27</f>
        <v>0</v>
      </c>
      <c r="E35" s="76">
        <f>E27</f>
        <v>0</v>
      </c>
      <c r="F35" s="76">
        <f>F27</f>
        <v>0</v>
      </c>
      <c r="G35" s="76">
        <f>G27</f>
        <v>0</v>
      </c>
      <c r="H35" s="76">
        <f>H27</f>
        <v>0</v>
      </c>
      <c r="J35" s="82" t="inlineStr">
        <is>
          <t xml:space="preserve">Selected index i (0 = queue empty)</t>
        </is>
      </c>
      <c r="K35" s="85">
        <f>IF(K34=99,0,MATCH(K34,B38:H38,0))</f>
        <v>3</v>
      </c>
    </row>
    <row r="36">
      <c r="A36" s="63" t="inlineStr">
        <is>
          <t xml:space="preserve">g before the iteration</t>
        </is>
      </c>
      <c r="B36" s="80">
        <f>B23</f>
        <v>2</v>
      </c>
      <c r="C36" s="80">
        <f>C23</f>
        <v>3</v>
      </c>
      <c r="D36" s="80">
        <f>D23</f>
        <v>3</v>
      </c>
      <c r="E36" s="80">
        <f>E23</f>
        <v>1</v>
      </c>
      <c r="F36" s="80">
        <f>F23</f>
        <v>2</v>
      </c>
      <c r="G36" s="80">
        <f>G23</f>
        <v>1</v>
      </c>
      <c r="H36" s="80">
        <f>H23</f>
        <v>2</v>
      </c>
      <c r="J36" s="82" t="inlineStr">
        <is>
          <t xml:space="preserve">Step 3 · selected Sᵢ</t>
        </is>
      </c>
      <c r="K36" s="85" t="str">
        <f>IF(K35=0,"— (queue empty → Step 6)",INDEX(B32:H32,K35))</f>
        <v>S₃</v>
      </c>
    </row>
    <row r="37">
      <c r="A37" s="63" t="inlineStr">
        <is>
          <t xml:space="preserve">Step 2 · in the queue: in F and not processed</t>
        </is>
      </c>
      <c r="B37" s="76">
        <f>IF(AND(B34=1,B35=0),1,0)</f>
        <v>0</v>
      </c>
      <c r="C37" s="76">
        <f>IF(AND(C34=1,C35=0),1,0)</f>
        <v>1</v>
      </c>
      <c r="D37" s="76">
        <f>IF(AND(D34=1,D35=0),1,0)</f>
        <v>1</v>
      </c>
      <c r="E37" s="76">
        <f>IF(AND(E34=1,E35=0),1,0)</f>
        <v>1</v>
      </c>
      <c r="F37" s="76">
        <f>IF(AND(F34=1,F35=0),1,0)</f>
        <v>1</v>
      </c>
      <c r="G37" s="76">
        <f>IF(AND(G34=1,G35=0),1,0)</f>
        <v>1</v>
      </c>
      <c r="H37" s="76">
        <f>IF(AND(H34=1,H35=0),1,0)</f>
        <v>1</v>
      </c>
      <c r="J37" s="82" t="inlineStr">
        <is>
          <t xml:space="preserve">d(Sᵢ)</t>
        </is>
      </c>
      <c r="K37" s="96">
        <f>IF(K35=0,"—",INDEX('ERDR Characteristics'!$J$5:$J$11,K35))</f>
        <v>0</v>
      </c>
    </row>
    <row r="38">
      <c r="A38" s="63" t="inlineStr">
        <is>
          <t xml:space="preserve">Step 2 · queue key = priority position (99 = not in the queue)</t>
        </is>
      </c>
      <c r="B38" s="76">
        <f>IF(B37=1,'ERDR Characteristics'!$K$5,99)</f>
        <v>99</v>
      </c>
      <c r="C38" s="76">
        <f>IF(C37=1,'ERDR Characteristics'!$K$6,99)</f>
        <v>4</v>
      </c>
      <c r="D38" s="76">
        <f>IF(D37=1,'ERDR Characteristics'!$K$7,99)</f>
        <v>2</v>
      </c>
      <c r="E38" s="76">
        <f>IF(E37=1,'ERDR Characteristics'!$K$8,99)</f>
        <v>7</v>
      </c>
      <c r="F38" s="76">
        <f>IF(F37=1,'ERDR Characteristics'!$K$9,99)</f>
        <v>3</v>
      </c>
      <c r="G38" s="76">
        <f>IF(G37=1,'ERDR Characteristics'!$K$10,99)</f>
        <v>6</v>
      </c>
      <c r="H38" s="76">
        <f>IF(H37=1,'ERDR Characteristics'!$K$11,99)</f>
        <v>5</v>
      </c>
      <c r="J38" s="82" t="inlineStr">
        <is>
          <t xml:space="preserve">r(Sᵢ)</t>
        </is>
      </c>
      <c r="K38" s="96">
        <f>IF(K35=0,"—",INDEX('ERDR Characteristics'!$D$5:$D$11,K35))</f>
        <v>5.60708061</v>
      </c>
    </row>
    <row r="39">
      <c r="A39" s="63" t="inlineStr">
        <is>
          <t xml:space="preserve">Step 3 · selected Sᵢ (smallest key)</t>
        </is>
      </c>
      <c r="B39" s="77">
        <f>IF($K$35=1,1,0)</f>
        <v>0</v>
      </c>
      <c r="C39" s="77">
        <f>IF($K$35=2,1,0)</f>
        <v>0</v>
      </c>
      <c r="D39" s="77">
        <f>IF($K$35=3,1,0)</f>
        <v>1</v>
      </c>
      <c r="E39" s="77">
        <f>IF($K$35=4,1,0)</f>
        <v>0</v>
      </c>
      <c r="F39" s="77">
        <f>IF($K$35=5,1,0)</f>
        <v>0</v>
      </c>
      <c r="G39" s="77">
        <f>IF($K$35=6,1,0)</f>
        <v>0</v>
      </c>
      <c r="H39" s="77">
        <f>IF($K$35=7,1,0)</f>
        <v>0</v>
      </c>
      <c r="J39" s="82" t="inlineStr">
        <is>
          <t xml:space="preserve">Step 4 · L</t>
        </is>
      </c>
      <c r="K39" s="85" t="str">
        <f>IF(K40=0,"∅","{"&amp;MID(IF(B46=1,", "&amp;B$32,"")&amp;IF(C46=1,", "&amp;C$32,"")&amp;IF(D46=1,", "&amp;D$32,"")&amp;IF(E46=1,", "&amp;E$32,"")&amp;IF(F46=1,", "&amp;F$32,"")&amp;IF(G46=1,", "&amp;G$32,"")&amp;IF(H46=1,", "&amp;H$32,""),3,200)&amp;"}")</f>
        <v>{S₃, S₇}</v>
      </c>
    </row>
    <row r="40">
      <c r="A40" s="63" t="inlineStr">
        <is>
          <t xml:space="preserve">Same class as Sᵢ</t>
        </is>
      </c>
      <c r="B40" s="76">
        <f>IF($K$35=0,0,IF(B33=INDEX($B$33:$H$33,$K$35),1,0))</f>
        <v>0</v>
      </c>
      <c r="C40" s="76">
        <f>IF($K$35=0,0,IF(C33=INDEX($B$33:$H$33,$K$35),1,0))</f>
        <v>0</v>
      </c>
      <c r="D40" s="76">
        <f>IF($K$35=0,0,IF(D33=INDEX($B$33:$H$33,$K$35),1,0))</f>
        <v>1</v>
      </c>
      <c r="E40" s="76">
        <f>IF($K$35=0,0,IF(E33=INDEX($B$33:$H$33,$K$35),1,0))</f>
        <v>0</v>
      </c>
      <c r="F40" s="76">
        <f>IF($K$35=0,0,IF(F33=INDEX($B$33:$H$33,$K$35),1,0))</f>
        <v>0</v>
      </c>
      <c r="G40" s="76">
        <f>IF($K$35=0,0,IF(G33=INDEX($B$33:$H$33,$K$35),1,0))</f>
        <v>1</v>
      </c>
      <c r="H40" s="76">
        <f>IF($K$35=0,0,IF(H33=INDEX($B$33:$H$33,$K$35),1,0))</f>
        <v>1</v>
      </c>
      <c r="J40" s="82" t="inlineStr">
        <is>
          <t xml:space="preserve">|L|</t>
        </is>
      </c>
      <c r="K40" s="85">
        <f>SUM(B46:H46)</f>
        <v>2</v>
      </c>
    </row>
    <row r="41">
      <c r="A41" s="63" t="inlineStr">
        <is>
          <t xml:space="preserve">ρ(Sⱼ, Sᵢ)</t>
        </is>
      </c>
      <c r="B41" s="73">
        <f>IF($K$35=0,"—",INDEX('Zhuravlev Distances'!$B$5:$H$5,$K$35))</f>
        <v>5.60708061</v>
      </c>
      <c r="C41" s="73">
        <f>IF($K$35=0,"—",INDEX('Zhuravlev Distances'!$B$6:$H$6,$K$35))</f>
        <v>7.4699698919</v>
      </c>
      <c r="D41" s="73">
        <f>IF($K$35=0,"—",INDEX('Zhuravlev Distances'!$B$7:$H$7,$K$35))</f>
        <v>0</v>
      </c>
      <c r="E41" s="73">
        <f>IF($K$35=0,"—",INDEX('Zhuravlev Distances'!$B$8:$H$8,$K$35))</f>
        <v>6.2175670209</v>
      </c>
      <c r="F41" s="73">
        <f>IF($K$35=0,"—",INDEX('Zhuravlev Distances'!$B$9:$H$9,$K$35))</f>
        <v>7.3117496807</v>
      </c>
      <c r="G41" s="73">
        <f>IF($K$35=0,"—",INDEX('Zhuravlev Distances'!$B$10:$H$10,$K$35))</f>
        <v>5.2172783643</v>
      </c>
      <c r="H41" s="73">
        <f>IF($K$35=0,"—",INDEX('Zhuravlev Distances'!$B$11:$H$11,$K$35))</f>
        <v>2.7849754107</v>
      </c>
      <c r="J41" s="82" t="inlineStr">
        <is>
          <t xml:space="preserve">Decision</t>
        </is>
      </c>
      <c r="K41" s="85" t="str">
        <f>IF(K35=0,"Step 6 · stop",IF(K40=0,"|L| = 0 → Sᵢ is only blocked and stays in F",IF(K40=1,"|L| = 1 → Sᵢ moves to D","|L| &gt; 1 → Step 5 corrects g")))</f>
        <v>|L| &gt; 1 → Step 5 corrects g</v>
      </c>
    </row>
    <row r="42">
      <c r="A42" s="63" t="inlineStr">
        <is>
          <t xml:space="preserve">r(Sⱼ)</t>
        </is>
      </c>
      <c r="B42" s="73">
        <f>'ERDR Characteristics'!$D$5</f>
        <v>5.60708061</v>
      </c>
      <c r="C42" s="73">
        <f>'ERDR Characteristics'!$D$6</f>
        <v>7.4699698919</v>
      </c>
      <c r="D42" s="73">
        <f>'ERDR Characteristics'!$D$7</f>
        <v>5.60708061</v>
      </c>
      <c r="E42" s="73">
        <f>'ERDR Characteristics'!$D$8</f>
        <v>3.7071187508</v>
      </c>
      <c r="F42" s="73">
        <f>'ERDR Characteristics'!$D$9</f>
        <v>7.1117040273</v>
      </c>
      <c r="G42" s="73">
        <f>'ERDR Characteristics'!$D$10</f>
        <v>3.7071187508</v>
      </c>
      <c r="H42" s="73">
        <f>'ERDR Characteristics'!$D$11</f>
        <v>3.9109813746</v>
      </c>
      <c r="J42" s="82" t="inlineStr">
        <is>
          <t xml:space="preserve">Step 5 · counters g: before → after</t>
        </is>
      </c>
      <c r="K42" s="85" t="str">
        <f>IF(SUM(B48:H48)=0,"—",MID(IF(B48=1,", "&amp;B$32&amp;": "&amp;B36&amp;" → "&amp;B49,"")&amp;IF(C48=1,", "&amp;C$32&amp;": "&amp;C36&amp;" → "&amp;C49,"")&amp;IF(D48=1,", "&amp;D$32&amp;": "&amp;D36&amp;" → "&amp;D49,"")&amp;IF(E48=1,", "&amp;E$32&amp;": "&amp;E36&amp;" → "&amp;E49,"")&amp;IF(F48=1,", "&amp;F$32&amp;": "&amp;F36&amp;" → "&amp;F49,"")&amp;IF(G48=1,", "&amp;G$32&amp;": "&amp;G36&amp;" → "&amp;G49,"")&amp;IF(H48=1,", "&amp;H$32&amp;": "&amp;H36&amp;" → "&amp;H49,""),3,300))</f>
        <v>S₃: 3 → 2, S₇: 2 → 1</v>
      </c>
    </row>
    <row r="43">
      <c r="A43" s="63" t="inlineStr">
        <is>
          <t xml:space="preserve">Sᵢ inside the sphere of Sⱼ:  ρ(Sⱼ, Sᵢ) &lt; r(Sⱼ)</t>
        </is>
      </c>
      <c r="B43" s="76">
        <f>IF($K$35=0,0,IF(B41&lt;B42,1,0))</f>
        <v>0</v>
      </c>
      <c r="C43" s="76">
        <f>IF($K$35=0,0,IF(C41&lt;C42,1,0))</f>
        <v>0</v>
      </c>
      <c r="D43" s="76">
        <f>IF($K$35=0,0,IF(D41&lt;D42,1,0))</f>
        <v>1</v>
      </c>
      <c r="E43" s="76">
        <f>IF($K$35=0,0,IF(E41&lt;E42,1,0))</f>
        <v>0</v>
      </c>
      <c r="F43" s="76">
        <f>IF($K$35=0,0,IF(F41&lt;F42,1,0))</f>
        <v>0</v>
      </c>
      <c r="G43" s="76">
        <f>IF($K$35=0,0,IF(G41&lt;G42,1,0))</f>
        <v>0</v>
      </c>
      <c r="H43" s="76">
        <f>IF($K$35=0,0,IF(H41&lt;H42,1,0))</f>
        <v>1</v>
      </c>
      <c r="J43" s="82" t="inlineStr">
        <is>
          <t xml:space="preserve">Moved to D</t>
        </is>
      </c>
      <c r="K43" s="85" t="str">
        <f>IF(SUM(B51:H51)=0,"—",MID(IF(B51=1,", "&amp;B$32&amp;IF(B47=1," (Step 4)"," (Step 5)"),"")&amp;IF(C51=1,", "&amp;C$32&amp;IF(C47=1," (Step 4)"," (Step 5)"),"")&amp;IF(D51=1,", "&amp;D$32&amp;IF(D47=1," (Step 4)"," (Step 5)"),"")&amp;IF(E51=1,", "&amp;E$32&amp;IF(E47=1," (Step 4)"," (Step 5)"),"")&amp;IF(F51=1,", "&amp;F$32&amp;IF(F47=1," (Step 4)"," (Step 5)"),"")&amp;IF(G51=1,", "&amp;G$32&amp;IF(G47=1," (Step 4)"," (Step 5)"),"")&amp;IF(H51=1,", "&amp;H$32&amp;IF(H47=1," (Step 4)"," (Step 5)"),""),3,300))</f>
        <v>S₇ (Step 5)</v>
      </c>
    </row>
    <row r="44">
      <c r="A44" s="63" t="inlineStr">
        <is>
          <t xml:space="preserve">g(Sⱼ) &gt; 1</t>
        </is>
      </c>
      <c r="B44" s="76">
        <f>IF(B36&gt;1,1,0)</f>
        <v>1</v>
      </c>
      <c r="C44" s="76">
        <f>IF(C36&gt;1,1,0)</f>
        <v>1</v>
      </c>
      <c r="D44" s="76">
        <f>IF(D36&gt;1,1,0)</f>
        <v>1</v>
      </c>
      <c r="E44" s="76">
        <f>IF(E36&gt;1,1,0)</f>
        <v>0</v>
      </c>
      <c r="F44" s="76">
        <f>IF(F36&gt;1,1,0)</f>
        <v>1</v>
      </c>
      <c r="G44" s="76">
        <f>IF(G36&gt;1,1,0)</f>
        <v>0</v>
      </c>
      <c r="H44" s="76">
        <f>IF(H36&gt;1,1,0)</f>
        <v>1</v>
      </c>
      <c r="J44" s="82" t="inlineStr">
        <is>
          <t xml:space="preserve">|F| after</t>
        </is>
      </c>
      <c r="K44" s="85">
        <f>SUM(B52:H52)</f>
        <v>6</v>
      </c>
    </row>
    <row r="45">
      <c r="A45" s="63" t="inlineStr">
        <is>
          <t xml:space="preserve">Allowed by readings A (Sᵢ itself) and B (processed Sⱼ)</t>
        </is>
      </c>
      <c r="B45" s="76">
        <f>IF($K$35=0,0,IF($K$35=1,IF('Parameters'!$B$24=1,1,0),IF(OR('Parameters'!$B$25=1,B35=0),1,0)))</f>
        <v>1</v>
      </c>
      <c r="C45" s="76">
        <f>IF($K$35=0,0,IF($K$35=2,IF('Parameters'!$B$24=1,1,0),IF(OR('Parameters'!$B$25=1,C35=0),1,0)))</f>
        <v>1</v>
      </c>
      <c r="D45" s="76">
        <f>IF($K$35=0,0,IF($K$35=3,IF('Parameters'!$B$24=1,1,0),IF(OR('Parameters'!$B$25=1,D35=0),1,0)))</f>
        <v>1</v>
      </c>
      <c r="E45" s="76">
        <f>IF($K$35=0,0,IF($K$35=4,IF('Parameters'!$B$24=1,1,0),IF(OR('Parameters'!$B$25=1,E35=0),1,0)))</f>
        <v>1</v>
      </c>
      <c r="F45" s="76">
        <f>IF($K$35=0,0,IF($K$35=5,IF('Parameters'!$B$24=1,1,0),IF(OR('Parameters'!$B$25=1,F35=0),1,0)))</f>
        <v>1</v>
      </c>
      <c r="G45" s="76">
        <f>IF($K$35=0,0,IF($K$35=6,IF('Parameters'!$B$24=1,1,0),IF(OR('Parameters'!$B$25=1,G35=0),1,0)))</f>
        <v>1</v>
      </c>
      <c r="H45" s="76">
        <f>IF($K$35=0,0,IF($K$35=7,IF('Parameters'!$B$24=1,1,0),IF(OR('Parameters'!$B$25=1,H35=0),1,0)))</f>
        <v>1</v>
      </c>
      <c r="J45" s="82" t="inlineStr">
        <is>
          <t xml:space="preserve">|D| after</t>
        </is>
      </c>
      <c r="K45" s="85">
        <f>SUM(B55:H55)</f>
        <v>1</v>
      </c>
    </row>
    <row r="46">
      <c r="A46" s="63" t="inlineStr">
        <is>
          <t xml:space="preserve">Step 4 · Sⱼ ∈ L</t>
        </is>
      </c>
      <c r="B46" s="77">
        <f>B34*B40*B43*B44*B45</f>
        <v>0</v>
      </c>
      <c r="C46" s="77">
        <f>C34*C40*C43*C44*C45</f>
        <v>0</v>
      </c>
      <c r="D46" s="77">
        <f>D34*D40*D43*D44*D45</f>
        <v>1</v>
      </c>
      <c r="E46" s="77">
        <f>E34*E40*E43*E44*E45</f>
        <v>0</v>
      </c>
      <c r="F46" s="77">
        <f>F34*F40*F43*F44*F45</f>
        <v>0</v>
      </c>
      <c r="G46" s="77">
        <f>G34*G40*G43*G44*G45</f>
        <v>0</v>
      </c>
      <c r="H46" s="77">
        <f>H34*H40*H43*H44*H45</f>
        <v>1</v>
      </c>
      <c r="J46" s="82" t="inlineStr">
        <is>
          <t xml:space="preserve">Objects left in the queue</t>
        </is>
      </c>
      <c r="K46" s="85">
        <f>SUMPRODUCT(B52:H52*(1-B53:H53))</f>
        <v>4</v>
      </c>
    </row>
    <row r="47">
      <c r="A47" s="63" t="inlineStr">
        <is>
          <t xml:space="preserve">Step 4 · |L| = 1 → Sᵢ moves to D</t>
        </is>
      </c>
      <c r="B47" s="76">
        <f>IF(AND(B39=1,$K$40=1),1,0)</f>
        <v>0</v>
      </c>
      <c r="C47" s="76">
        <f>IF(AND(C39=1,$K$40=1),1,0)</f>
        <v>0</v>
      </c>
      <c r="D47" s="76">
        <f>IF(AND(D39=1,$K$40=1),1,0)</f>
        <v>0</v>
      </c>
      <c r="E47" s="76">
        <f>IF(AND(E39=1,$K$40=1),1,0)</f>
        <v>0</v>
      </c>
      <c r="F47" s="76">
        <f>IF(AND(F39=1,$K$40=1),1,0)</f>
        <v>0</v>
      </c>
      <c r="G47" s="76">
        <f>IF(AND(G39=1,$K$40=1),1,0)</f>
        <v>0</v>
      </c>
      <c r="H47" s="76">
        <f>IF(AND(H39=1,$K$40=1),1,0)</f>
        <v>0</v>
      </c>
      <c r="J47" s="82" t="inlineStr">
        <is>
          <t xml:space="preserve">Step 4 · Sᵢ blocked: d(Sᵢ) ← −(d + ε)</t>
        </is>
      </c>
      <c r="K47" s="96">
        <f>IF(K35=0,"—",-(INDEX('ERDR Characteristics'!$J$5:$J$11,K35)+'Parameters'!$B$17))</f>
        <v>-0.001</v>
      </c>
    </row>
    <row r="48">
      <c r="A48" s="63" t="inlineStr">
        <is>
          <t xml:space="preserve">Step 5 · counter decreased (|L| &gt; 1)</t>
        </is>
      </c>
      <c r="B48" s="76">
        <f>IF($K$40&gt;1,B46,0)</f>
        <v>0</v>
      </c>
      <c r="C48" s="76">
        <f>IF($K$40&gt;1,C46*IF('Parameters'!$B$26=1,1,IF(SUMPRODUCT($B$46:B$46*($B$36:B$36=2))=0,1,0)),0)</f>
        <v>0</v>
      </c>
      <c r="D48" s="76">
        <f>IF($K$40&gt;1,D46*IF('Parameters'!$B$26=1,1,IF(SUMPRODUCT($B$46:C$46*($B$36:C$36=2))=0,1,0)),0)</f>
        <v>1</v>
      </c>
      <c r="E48" s="76">
        <f>IF($K$40&gt;1,E46*IF('Parameters'!$B$26=1,1,IF(SUMPRODUCT($B$46:D$46*($B$36:D$36=2))=0,1,0)),0)</f>
        <v>0</v>
      </c>
      <c r="F48" s="76">
        <f>IF($K$40&gt;1,F46*IF('Parameters'!$B$26=1,1,IF(SUMPRODUCT($B$46:E$46*($B$36:E$36=2))=0,1,0)),0)</f>
        <v>0</v>
      </c>
      <c r="G48" s="76">
        <f>IF($K$40&gt;1,G46*IF('Parameters'!$B$26=1,1,IF(SUMPRODUCT($B$46:F$46*($B$36:F$36=2))=0,1,0)),0)</f>
        <v>0</v>
      </c>
      <c r="H48" s="76">
        <f>IF($K$40&gt;1,H46*IF('Parameters'!$B$26=1,1,IF(SUMPRODUCT($B$46:G$46*($B$36:G$36=2))=0,1,0)),0)</f>
        <v>1</v>
      </c>
      <c r="J48" s="101" t="inlineStr">
        <is>
          <t xml:space="preserve"/>
        </is>
      </c>
      <c r="K48" s="101" t="inlineStr">
        <is>
          <t xml:space="preserve"/>
        </is>
      </c>
    </row>
    <row r="49">
      <c r="A49" s="63" t="inlineStr">
        <is>
          <t xml:space="preserve">g after the iteration</t>
        </is>
      </c>
      <c r="B49" s="80">
        <f>B36-B48</f>
        <v>2</v>
      </c>
      <c r="C49" s="80">
        <f>C36-C48</f>
        <v>3</v>
      </c>
      <c r="D49" s="80">
        <f>D36-D48</f>
        <v>2</v>
      </c>
      <c r="E49" s="80">
        <f>E36-E48</f>
        <v>1</v>
      </c>
      <c r="F49" s="80">
        <f>F36-F48</f>
        <v>2</v>
      </c>
      <c r="G49" s="80">
        <f>G36-G48</f>
        <v>1</v>
      </c>
      <c r="H49" s="80">
        <f>H36-H48</f>
        <v>1</v>
      </c>
      <c r="J49" s="101" t="inlineStr">
        <is>
          <t xml:space="preserve"/>
        </is>
      </c>
      <c r="K49" s="101" t="inlineStr">
        <is>
          <t xml:space="preserve"/>
        </is>
      </c>
    </row>
    <row r="50">
      <c r="A50" s="63" t="inlineStr">
        <is>
          <t xml:space="preserve">Step 5 · g fell to 1 → Sⱼ moves to D</t>
        </is>
      </c>
      <c r="B50" s="76">
        <f>IF(AND(B48=1,B49=1),1,0)</f>
        <v>0</v>
      </c>
      <c r="C50" s="76">
        <f>IF(AND(C48=1,C49=1),1,0)</f>
        <v>0</v>
      </c>
      <c r="D50" s="76">
        <f>IF(AND(D48=1,D49=1),1,0)</f>
        <v>0</v>
      </c>
      <c r="E50" s="76">
        <f>IF(AND(E48=1,E49=1),1,0)</f>
        <v>0</v>
      </c>
      <c r="F50" s="76">
        <f>IF(AND(F48=1,F49=1),1,0)</f>
        <v>0</v>
      </c>
      <c r="G50" s="76">
        <f>IF(AND(G48=1,G49=1),1,0)</f>
        <v>0</v>
      </c>
      <c r="H50" s="76">
        <f>IF(AND(H48=1,H49=1),1,0)</f>
        <v>1</v>
      </c>
      <c r="J50" s="101" t="inlineStr">
        <is>
          <t xml:space="preserve"/>
        </is>
      </c>
      <c r="K50" s="101" t="inlineStr">
        <is>
          <t xml:space="preserve"/>
        </is>
      </c>
    </row>
    <row r="51">
      <c r="A51" s="63" t="inlineStr">
        <is>
          <t xml:space="preserve">Moves to D in this iteration</t>
        </is>
      </c>
      <c r="B51" s="77">
        <f>B47+B50</f>
        <v>0</v>
      </c>
      <c r="C51" s="77">
        <f>C47+C50</f>
        <v>0</v>
      </c>
      <c r="D51" s="77">
        <f>D47+D50</f>
        <v>0</v>
      </c>
      <c r="E51" s="77">
        <f>E47+E50</f>
        <v>0</v>
      </c>
      <c r="F51" s="77">
        <f>F47+F50</f>
        <v>0</v>
      </c>
      <c r="G51" s="77">
        <f>G47+G50</f>
        <v>0</v>
      </c>
      <c r="H51" s="77">
        <f>H47+H50</f>
        <v>1</v>
      </c>
      <c r="J51" s="101" t="inlineStr">
        <is>
          <t xml:space="preserve"/>
        </is>
      </c>
      <c r="K51" s="101" t="inlineStr">
        <is>
          <t xml:space="preserve"/>
        </is>
      </c>
    </row>
    <row r="52">
      <c r="A52" s="63" t="inlineStr">
        <is>
          <t xml:space="preserve">In F after the iteration</t>
        </is>
      </c>
      <c r="B52" s="76">
        <f>B34-B51</f>
        <v>1</v>
      </c>
      <c r="C52" s="76">
        <f>C34-C51</f>
        <v>1</v>
      </c>
      <c r="D52" s="76">
        <f>D34-D51</f>
        <v>1</v>
      </c>
      <c r="E52" s="76">
        <f>E34-E51</f>
        <v>1</v>
      </c>
      <c r="F52" s="76">
        <f>F34-F51</f>
        <v>1</v>
      </c>
      <c r="G52" s="76">
        <f>G34-G51</f>
        <v>1</v>
      </c>
      <c r="H52" s="76">
        <f>H34-H51</f>
        <v>0</v>
      </c>
      <c r="J52" s="101" t="inlineStr">
        <is>
          <t xml:space="preserve"/>
        </is>
      </c>
      <c r="K52" s="101" t="inlineStr">
        <is>
          <t xml:space="preserve"/>
        </is>
      </c>
    </row>
    <row r="53">
      <c r="A53" s="63" t="inlineStr">
        <is>
          <t xml:space="preserve">Processed after the iteration</t>
        </is>
      </c>
      <c r="B53" s="76">
        <f>MIN(1,B35+B39)</f>
        <v>1</v>
      </c>
      <c r="C53" s="76">
        <f>MIN(1,C35+C39)</f>
        <v>0</v>
      </c>
      <c r="D53" s="76">
        <f>MIN(1,D35+D39)</f>
        <v>1</v>
      </c>
      <c r="E53" s="76">
        <f>MIN(1,E35+E39)</f>
        <v>0</v>
      </c>
      <c r="F53" s="76">
        <f>MIN(1,F35+F39)</f>
        <v>0</v>
      </c>
      <c r="G53" s="76">
        <f>MIN(1,G35+G39)</f>
        <v>0</v>
      </c>
      <c r="H53" s="76">
        <f>MIN(1,H35+H39)</f>
        <v>0</v>
      </c>
      <c r="J53" s="101" t="inlineStr">
        <is>
          <t xml:space="preserve"/>
        </is>
      </c>
      <c r="K53" s="101" t="inlineStr">
        <is>
          <t xml:space="preserve"/>
        </is>
      </c>
    </row>
    <row r="54">
      <c r="A54" s="63" t="inlineStr">
        <is>
          <t xml:space="preserve">d after (article: −(d + ε) once processed)</t>
        </is>
      </c>
      <c r="B54" s="73">
        <f>IF(B53=1,-('ERDR Characteristics'!$J$5+'Parameters'!$B$17),'ERDR Characteristics'!$J$5)</f>
        <v>-0.001</v>
      </c>
      <c r="C54" s="73">
        <f>IF(C53=1,-('ERDR Characteristics'!$J$6+'Parameters'!$B$17),'ERDR Characteristics'!$J$6)</f>
        <v>0.0795428388</v>
      </c>
      <c r="D54" s="73">
        <f>IF(D53=1,-('ERDR Characteristics'!$J$7+'Parameters'!$B$17),'ERDR Characteristics'!$J$7)</f>
        <v>-0.001</v>
      </c>
      <c r="E54" s="73">
        <f>IF(E53=1,-('ERDR Characteristics'!$J$8+'Parameters'!$B$17),'ERDR Characteristics'!$J$8)</f>
        <v>0.2529498997</v>
      </c>
      <c r="F54" s="73">
        <f>IF(F53=1,-('ERDR Characteristics'!$J$9+'Parameters'!$B$17),'ERDR Characteristics'!$J$9)</f>
        <v>0</v>
      </c>
      <c r="G54" s="73">
        <f>IF(G53=1,-('ERDR Characteristics'!$J$10+'Parameters'!$B$17),'ERDR Characteristics'!$J$10)</f>
        <v>0.1692169896</v>
      </c>
      <c r="H54" s="73">
        <f>IF(H53=1,-('ERDR Characteristics'!$J$11+'Parameters'!$B$17),'ERDR Characteristics'!$J$11)</f>
        <v>0.1252961741</v>
      </c>
      <c r="J54" s="101" t="inlineStr">
        <is>
          <t xml:space="preserve"/>
        </is>
      </c>
      <c r="K54" s="101" t="inlineStr">
        <is>
          <t xml:space="preserve"/>
        </is>
      </c>
    </row>
    <row r="55">
      <c r="A55" s="63" t="inlineStr">
        <is>
          <t xml:space="preserve">In D after the iteration</t>
        </is>
      </c>
      <c r="B55" s="76">
        <f>1-B52</f>
        <v>0</v>
      </c>
      <c r="C55" s="76">
        <f>1-C52</f>
        <v>0</v>
      </c>
      <c r="D55" s="76">
        <f>1-D52</f>
        <v>0</v>
      </c>
      <c r="E55" s="76">
        <f>1-E52</f>
        <v>0</v>
      </c>
      <c r="F55" s="76">
        <f>1-F52</f>
        <v>0</v>
      </c>
      <c r="G55" s="76">
        <f>1-G52</f>
        <v>0</v>
      </c>
      <c r="H55" s="76">
        <f>1-H52</f>
        <v>1</v>
      </c>
      <c r="J55" s="101" t="inlineStr">
        <is>
          <t xml:space="preserve"/>
        </is>
      </c>
      <c r="K55" s="101" t="inlineStr">
        <is>
          <t xml:space="preserve"/>
        </is>
      </c>
    </row>
    <row r="56"/>
    <row r="57">
      <c r="A57" s="59" t="str">
        <f>"Iteration 3  ·  "&amp;IF($K$61=0,"queue empty → Step 6 (stop)","Step 3 selects "&amp;$K$62&amp;"  ·  L = "&amp;$K$65&amp;"  ·  "&amp;$K$67)</f>
        <v>Iteration 3  ·  Step 3 selects S₅  ·  L = {S₁, S₂, S₅}  ·  |L| &gt; 1 → Step 5 corrects g</v>
      </c>
      <c r="B57" s="59"/>
      <c r="C57" s="59"/>
      <c r="D57" s="59"/>
      <c r="E57" s="59"/>
      <c r="F57" s="59"/>
      <c r="G57" s="59"/>
      <c r="H57" s="59"/>
      <c r="I57" s="59"/>
      <c r="J57" s="59"/>
      <c r="K57" s="59"/>
    </row>
    <row r="58">
      <c r="A58" s="61" t="inlineStr">
        <is>
          <t xml:space="preserve">Row</t>
        </is>
      </c>
      <c r="B58" s="60" t="inlineStr">
        <is>
          <t xml:space="preserve">S₁</t>
        </is>
      </c>
      <c r="C58" s="60" t="inlineStr">
        <is>
          <t xml:space="preserve">S₂</t>
        </is>
      </c>
      <c r="D58" s="60" t="inlineStr">
        <is>
          <t xml:space="preserve">S₃</t>
        </is>
      </c>
      <c r="E58" s="60" t="inlineStr">
        <is>
          <t xml:space="preserve">S₄</t>
        </is>
      </c>
      <c r="F58" s="60" t="inlineStr">
        <is>
          <t xml:space="preserve">S₅</t>
        </is>
      </c>
      <c r="G58" s="60" t="inlineStr">
        <is>
          <t xml:space="preserve">S₆</t>
        </is>
      </c>
      <c r="H58" s="60" t="inlineStr">
        <is>
          <t xml:space="preserve">S₇</t>
        </is>
      </c>
      <c r="J58" s="61" t="inlineStr">
        <is>
          <t xml:space="preserve">Iteration summary</t>
        </is>
      </c>
      <c r="K58" s="61" t="inlineStr">
        <is>
          <t xml:space="preserve">Value</t>
        </is>
      </c>
    </row>
    <row r="59">
      <c r="A59" s="63" t="inlineStr">
        <is>
          <t xml:space="preserve">Class</t>
        </is>
      </c>
      <c r="B59" s="68">
        <f>'Dataset'!$P$5</f>
        <v>2</v>
      </c>
      <c r="C59" s="68">
        <f>'Dataset'!$P$6</f>
        <v>2</v>
      </c>
      <c r="D59" s="68">
        <f>'Dataset'!$P$7</f>
        <v>1</v>
      </c>
      <c r="E59" s="68">
        <f>'Dataset'!$P$8</f>
        <v>2</v>
      </c>
      <c r="F59" s="68">
        <f>'Dataset'!$P$9</f>
        <v>2</v>
      </c>
      <c r="G59" s="68">
        <f>'Dataset'!$P$10</f>
        <v>1</v>
      </c>
      <c r="H59" s="68">
        <f>'Dataset'!$P$11</f>
        <v>1</v>
      </c>
      <c r="J59" s="82" t="inlineStr">
        <is>
          <t xml:space="preserve">Queue length (Step 2)</t>
        </is>
      </c>
      <c r="K59" s="85">
        <f>SUM(B63:H63)</f>
        <v>4</v>
      </c>
    </row>
    <row r="60">
      <c r="A60" s="63" t="inlineStr">
        <is>
          <t xml:space="preserve">In F before the iteration (1 = in the working set)</t>
        </is>
      </c>
      <c r="B60" s="76">
        <f>B52</f>
        <v>1</v>
      </c>
      <c r="C60" s="76">
        <f>C52</f>
        <v>1</v>
      </c>
      <c r="D60" s="76">
        <f>D52</f>
        <v>1</v>
      </c>
      <c r="E60" s="76">
        <f>E52</f>
        <v>1</v>
      </c>
      <c r="F60" s="76">
        <f>F52</f>
        <v>1</v>
      </c>
      <c r="G60" s="76">
        <f>G52</f>
        <v>1</v>
      </c>
      <c r="H60" s="76">
        <f>H52</f>
        <v>0</v>
      </c>
      <c r="J60" s="82" t="inlineStr">
        <is>
          <t xml:space="preserve">Smallest queue key</t>
        </is>
      </c>
      <c r="K60" s="85">
        <f>MIN(B64:H64)</f>
        <v>3</v>
      </c>
    </row>
    <row r="61">
      <c r="A61" s="63" t="inlineStr">
        <is>
          <t xml:space="preserve">Processed before (blocked: d &lt; 0)</t>
        </is>
      </c>
      <c r="B61" s="76">
        <f>B53</f>
        <v>1</v>
      </c>
      <c r="C61" s="76">
        <f>C53</f>
        <v>0</v>
      </c>
      <c r="D61" s="76">
        <f>D53</f>
        <v>1</v>
      </c>
      <c r="E61" s="76">
        <f>E53</f>
        <v>0</v>
      </c>
      <c r="F61" s="76">
        <f>F53</f>
        <v>0</v>
      </c>
      <c r="G61" s="76">
        <f>G53</f>
        <v>0</v>
      </c>
      <c r="H61" s="76">
        <f>H53</f>
        <v>0</v>
      </c>
      <c r="J61" s="82" t="inlineStr">
        <is>
          <t xml:space="preserve">Selected index i (0 = queue empty)</t>
        </is>
      </c>
      <c r="K61" s="85">
        <f>IF(K60=99,0,MATCH(K60,B64:H64,0))</f>
        <v>5</v>
      </c>
    </row>
    <row r="62">
      <c r="A62" s="63" t="inlineStr">
        <is>
          <t xml:space="preserve">g before the iteration</t>
        </is>
      </c>
      <c r="B62" s="80">
        <f>B49</f>
        <v>2</v>
      </c>
      <c r="C62" s="80">
        <f>C49</f>
        <v>3</v>
      </c>
      <c r="D62" s="80">
        <f>D49</f>
        <v>2</v>
      </c>
      <c r="E62" s="80">
        <f>E49</f>
        <v>1</v>
      </c>
      <c r="F62" s="80">
        <f>F49</f>
        <v>2</v>
      </c>
      <c r="G62" s="80">
        <f>G49</f>
        <v>1</v>
      </c>
      <c r="H62" s="80">
        <f>H49</f>
        <v>1</v>
      </c>
      <c r="J62" s="82" t="inlineStr">
        <is>
          <t xml:space="preserve">Step 3 · selected Sᵢ</t>
        </is>
      </c>
      <c r="K62" s="85" t="str">
        <f>IF(K61=0,"— (queue empty → Step 6)",INDEX(B58:H58,K61))</f>
        <v>S₅</v>
      </c>
    </row>
    <row r="63">
      <c r="A63" s="63" t="inlineStr">
        <is>
          <t xml:space="preserve">Step 2 · in the queue: in F and not processed</t>
        </is>
      </c>
      <c r="B63" s="76">
        <f>IF(AND(B60=1,B61=0),1,0)</f>
        <v>0</v>
      </c>
      <c r="C63" s="76">
        <f>IF(AND(C60=1,C61=0),1,0)</f>
        <v>1</v>
      </c>
      <c r="D63" s="76">
        <f>IF(AND(D60=1,D61=0),1,0)</f>
        <v>0</v>
      </c>
      <c r="E63" s="76">
        <f>IF(AND(E60=1,E61=0),1,0)</f>
        <v>1</v>
      </c>
      <c r="F63" s="76">
        <f>IF(AND(F60=1,F61=0),1,0)</f>
        <v>1</v>
      </c>
      <c r="G63" s="76">
        <f>IF(AND(G60=1,G61=0),1,0)</f>
        <v>1</v>
      </c>
      <c r="H63" s="76">
        <f>IF(AND(H60=1,H61=0),1,0)</f>
        <v>0</v>
      </c>
      <c r="J63" s="82" t="inlineStr">
        <is>
          <t xml:space="preserve">d(Sᵢ)</t>
        </is>
      </c>
      <c r="K63" s="96">
        <f>IF(K61=0,"—",INDEX('ERDR Characteristics'!$J$5:$J$11,K61))</f>
        <v>0</v>
      </c>
    </row>
    <row r="64">
      <c r="A64" s="63" t="inlineStr">
        <is>
          <t xml:space="preserve">Step 2 · queue key = priority position (99 = not in the queue)</t>
        </is>
      </c>
      <c r="B64" s="76">
        <f>IF(B63=1,'ERDR Characteristics'!$K$5,99)</f>
        <v>99</v>
      </c>
      <c r="C64" s="76">
        <f>IF(C63=1,'ERDR Characteristics'!$K$6,99)</f>
        <v>4</v>
      </c>
      <c r="D64" s="76">
        <f>IF(D63=1,'ERDR Characteristics'!$K$7,99)</f>
        <v>99</v>
      </c>
      <c r="E64" s="76">
        <f>IF(E63=1,'ERDR Characteristics'!$K$8,99)</f>
        <v>7</v>
      </c>
      <c r="F64" s="76">
        <f>IF(F63=1,'ERDR Characteristics'!$K$9,99)</f>
        <v>3</v>
      </c>
      <c r="G64" s="76">
        <f>IF(G63=1,'ERDR Characteristics'!$K$10,99)</f>
        <v>6</v>
      </c>
      <c r="H64" s="76">
        <f>IF(H63=1,'ERDR Characteristics'!$K$11,99)</f>
        <v>99</v>
      </c>
      <c r="J64" s="82" t="inlineStr">
        <is>
          <t xml:space="preserve">r(Sᵢ)</t>
        </is>
      </c>
      <c r="K64" s="96">
        <f>IF(K61=0,"—",INDEX('ERDR Characteristics'!$D$5:$D$11,K61))</f>
        <v>7.1117040273</v>
      </c>
    </row>
    <row r="65">
      <c r="A65" s="63" t="inlineStr">
        <is>
          <t xml:space="preserve">Step 3 · selected Sᵢ (smallest key)</t>
        </is>
      </c>
      <c r="B65" s="77">
        <f>IF($K$61=1,1,0)</f>
        <v>0</v>
      </c>
      <c r="C65" s="77">
        <f>IF($K$61=2,1,0)</f>
        <v>0</v>
      </c>
      <c r="D65" s="77">
        <f>IF($K$61=3,1,0)</f>
        <v>0</v>
      </c>
      <c r="E65" s="77">
        <f>IF($K$61=4,1,0)</f>
        <v>0</v>
      </c>
      <c r="F65" s="77">
        <f>IF($K$61=5,1,0)</f>
        <v>1</v>
      </c>
      <c r="G65" s="77">
        <f>IF($K$61=6,1,0)</f>
        <v>0</v>
      </c>
      <c r="H65" s="77">
        <f>IF($K$61=7,1,0)</f>
        <v>0</v>
      </c>
      <c r="J65" s="82" t="inlineStr">
        <is>
          <t xml:space="preserve">Step 4 · L</t>
        </is>
      </c>
      <c r="K65" s="85" t="str">
        <f>IF(K66=0,"∅","{"&amp;MID(IF(B72=1,", "&amp;B$58,"")&amp;IF(C72=1,", "&amp;C$58,"")&amp;IF(D72=1,", "&amp;D$58,"")&amp;IF(E72=1,", "&amp;E$58,"")&amp;IF(F72=1,", "&amp;F$58,"")&amp;IF(G72=1,", "&amp;G$58,"")&amp;IF(H72=1,", "&amp;H$58,""),3,200)&amp;"}")</f>
        <v>{S₁, S₂, S₅}</v>
      </c>
    </row>
    <row r="66">
      <c r="A66" s="63" t="inlineStr">
        <is>
          <t xml:space="preserve">Same class as Sᵢ</t>
        </is>
      </c>
      <c r="B66" s="76">
        <f>IF($K$61=0,0,IF(B59=INDEX($B$59:$H$59,$K$61),1,0))</f>
        <v>1</v>
      </c>
      <c r="C66" s="76">
        <f>IF($K$61=0,0,IF(C59=INDEX($B$59:$H$59,$K$61),1,0))</f>
        <v>1</v>
      </c>
      <c r="D66" s="76">
        <f>IF($K$61=0,0,IF(D59=INDEX($B$59:$H$59,$K$61),1,0))</f>
        <v>0</v>
      </c>
      <c r="E66" s="76">
        <f>IF($K$61=0,0,IF(E59=INDEX($B$59:$H$59,$K$61),1,0))</f>
        <v>1</v>
      </c>
      <c r="F66" s="76">
        <f>IF($K$61=0,0,IF(F59=INDEX($B$59:$H$59,$K$61),1,0))</f>
        <v>1</v>
      </c>
      <c r="G66" s="76">
        <f>IF($K$61=0,0,IF(G59=INDEX($B$59:$H$59,$K$61),1,0))</f>
        <v>0</v>
      </c>
      <c r="H66" s="76">
        <f>IF($K$61=0,0,IF(H59=INDEX($B$59:$H$59,$K$61),1,0))</f>
        <v>0</v>
      </c>
      <c r="J66" s="82" t="inlineStr">
        <is>
          <t xml:space="preserve">|L|</t>
        </is>
      </c>
      <c r="K66" s="85">
        <f>SUM(B72:H72)</f>
        <v>3</v>
      </c>
    </row>
    <row r="67">
      <c r="A67" s="63" t="inlineStr">
        <is>
          <t xml:space="preserve">ρ(Sⱼ, Sᵢ)</t>
        </is>
      </c>
      <c r="B67" s="73">
        <f>IF($K$61=0,"—",INDEX('Zhuravlev Distances'!$B$5:$H$5,$K$61))</f>
        <v>4.8565209225</v>
      </c>
      <c r="C67" s="73">
        <f>IF($K$61=0,"—",INDEX('Zhuravlev Distances'!$B$6:$H$6,$K$61))</f>
        <v>6.104089157</v>
      </c>
      <c r="D67" s="73">
        <f>IF($K$61=0,"—",INDEX('Zhuravlev Distances'!$B$7:$H$7,$K$61))</f>
        <v>7.3117496807</v>
      </c>
      <c r="E67" s="73">
        <f>IF($K$61=0,"—",INDEX('Zhuravlev Distances'!$B$8:$H$8,$K$61))</f>
        <v>7.8491221835</v>
      </c>
      <c r="F67" s="73">
        <f>IF($K$61=0,"—",INDEX('Zhuravlev Distances'!$B$9:$H$9,$K$61))</f>
        <v>0</v>
      </c>
      <c r="G67" s="73">
        <f>IF($K$61=0,"—",INDEX('Zhuravlev Distances'!$B$10:$H$10,$K$61))</f>
        <v>9.0234774016</v>
      </c>
      <c r="H67" s="73">
        <f>IF($K$61=0,"—",INDEX('Zhuravlev Distances'!$B$11:$H$11,$K$61))</f>
        <v>7.1117040273</v>
      </c>
      <c r="J67" s="82" t="inlineStr">
        <is>
          <t xml:space="preserve">Decision</t>
        </is>
      </c>
      <c r="K67" s="85" t="str">
        <f>IF(K61=0,"Step 6 · stop",IF(K66=0,"|L| = 0 → Sᵢ is only blocked and stays in F",IF(K66=1,"|L| = 1 → Sᵢ moves to D","|L| &gt; 1 → Step 5 corrects g")))</f>
        <v>|L| &gt; 1 → Step 5 corrects g</v>
      </c>
    </row>
    <row r="68">
      <c r="A68" s="63" t="inlineStr">
        <is>
          <t xml:space="preserve">r(Sⱼ)</t>
        </is>
      </c>
      <c r="B68" s="73">
        <f>'ERDR Characteristics'!$D$5</f>
        <v>5.60708061</v>
      </c>
      <c r="C68" s="73">
        <f>'ERDR Characteristics'!$D$6</f>
        <v>7.4699698919</v>
      </c>
      <c r="D68" s="73">
        <f>'ERDR Characteristics'!$D$7</f>
        <v>5.60708061</v>
      </c>
      <c r="E68" s="73">
        <f>'ERDR Characteristics'!$D$8</f>
        <v>3.7071187508</v>
      </c>
      <c r="F68" s="73">
        <f>'ERDR Characteristics'!$D$9</f>
        <v>7.1117040273</v>
      </c>
      <c r="G68" s="73">
        <f>'ERDR Characteristics'!$D$10</f>
        <v>3.7071187508</v>
      </c>
      <c r="H68" s="73">
        <f>'ERDR Characteristics'!$D$11</f>
        <v>3.9109813746</v>
      </c>
      <c r="J68" s="82" t="inlineStr">
        <is>
          <t xml:space="preserve">Step 5 · counters g: before → after</t>
        </is>
      </c>
      <c r="K68" s="85" t="str">
        <f>IF(SUM(B74:H74)=0,"—",MID(IF(B74=1,", "&amp;B$58&amp;": "&amp;B62&amp;" → "&amp;B75,"")&amp;IF(C74=1,", "&amp;C$58&amp;": "&amp;C62&amp;" → "&amp;C75,"")&amp;IF(D74=1,", "&amp;D$58&amp;": "&amp;D62&amp;" → "&amp;D75,"")&amp;IF(E74=1,", "&amp;E$58&amp;": "&amp;E62&amp;" → "&amp;E75,"")&amp;IF(F74=1,", "&amp;F$58&amp;": "&amp;F62&amp;" → "&amp;F75,"")&amp;IF(G74=1,", "&amp;G$58&amp;": "&amp;G62&amp;" → "&amp;G75,"")&amp;IF(H74=1,", "&amp;H$58&amp;": "&amp;H62&amp;" → "&amp;H75,""),3,300))</f>
        <v>S₁: 2 → 1, S₂: 3 → 2, S₅: 2 → 1</v>
      </c>
    </row>
    <row r="69">
      <c r="A69" s="63" t="inlineStr">
        <is>
          <t xml:space="preserve">Sᵢ inside the sphere of Sⱼ:  ρ(Sⱼ, Sᵢ) &lt; r(Sⱼ)</t>
        </is>
      </c>
      <c r="B69" s="76">
        <f>IF($K$61=0,0,IF(B67&lt;B68,1,0))</f>
        <v>1</v>
      </c>
      <c r="C69" s="76">
        <f>IF($K$61=0,0,IF(C67&lt;C68,1,0))</f>
        <v>1</v>
      </c>
      <c r="D69" s="76">
        <f>IF($K$61=0,0,IF(D67&lt;D68,1,0))</f>
        <v>0</v>
      </c>
      <c r="E69" s="76">
        <f>IF($K$61=0,0,IF(E67&lt;E68,1,0))</f>
        <v>0</v>
      </c>
      <c r="F69" s="76">
        <f>IF($K$61=0,0,IF(F67&lt;F68,1,0))</f>
        <v>1</v>
      </c>
      <c r="G69" s="76">
        <f>IF($K$61=0,0,IF(G67&lt;G68,1,0))</f>
        <v>0</v>
      </c>
      <c r="H69" s="76">
        <f>IF($K$61=0,0,IF(H67&lt;H68,1,0))</f>
        <v>0</v>
      </c>
      <c r="J69" s="82" t="inlineStr">
        <is>
          <t xml:space="preserve">Moved to D</t>
        </is>
      </c>
      <c r="K69" s="85" t="str">
        <f>IF(SUM(B77:H77)=0,"—",MID(IF(B77=1,", "&amp;B$58&amp;IF(B73=1," (Step 4)"," (Step 5)"),"")&amp;IF(C77=1,", "&amp;C$58&amp;IF(C73=1," (Step 4)"," (Step 5)"),"")&amp;IF(D77=1,", "&amp;D$58&amp;IF(D73=1," (Step 4)"," (Step 5)"),"")&amp;IF(E77=1,", "&amp;E$58&amp;IF(E73=1," (Step 4)"," (Step 5)"),"")&amp;IF(F77=1,", "&amp;F$58&amp;IF(F73=1," (Step 4)"," (Step 5)"),"")&amp;IF(G77=1,", "&amp;G$58&amp;IF(G73=1," (Step 4)"," (Step 5)"),"")&amp;IF(H77=1,", "&amp;H$58&amp;IF(H73=1," (Step 4)"," (Step 5)"),""),3,300))</f>
        <v>S₁ (Step 5), S₅ (Step 5)</v>
      </c>
    </row>
    <row r="70">
      <c r="A70" s="63" t="inlineStr">
        <is>
          <t xml:space="preserve">g(Sⱼ) &gt; 1</t>
        </is>
      </c>
      <c r="B70" s="76">
        <f>IF(B62&gt;1,1,0)</f>
        <v>1</v>
      </c>
      <c r="C70" s="76">
        <f>IF(C62&gt;1,1,0)</f>
        <v>1</v>
      </c>
      <c r="D70" s="76">
        <f>IF(D62&gt;1,1,0)</f>
        <v>1</v>
      </c>
      <c r="E70" s="76">
        <f>IF(E62&gt;1,1,0)</f>
        <v>0</v>
      </c>
      <c r="F70" s="76">
        <f>IF(F62&gt;1,1,0)</f>
        <v>1</v>
      </c>
      <c r="G70" s="76">
        <f>IF(G62&gt;1,1,0)</f>
        <v>0</v>
      </c>
      <c r="H70" s="76">
        <f>IF(H62&gt;1,1,0)</f>
        <v>0</v>
      </c>
      <c r="J70" s="82" t="inlineStr">
        <is>
          <t xml:space="preserve">|F| after</t>
        </is>
      </c>
      <c r="K70" s="85">
        <f>SUM(B78:H78)</f>
        <v>4</v>
      </c>
    </row>
    <row r="71">
      <c r="A71" s="63" t="inlineStr">
        <is>
          <t xml:space="preserve">Allowed by readings A (Sᵢ itself) and B (processed Sⱼ)</t>
        </is>
      </c>
      <c r="B71" s="76">
        <f>IF($K$61=0,0,IF($K$61=1,IF('Parameters'!$B$24=1,1,0),IF(OR('Parameters'!$B$25=1,B61=0),1,0)))</f>
        <v>1</v>
      </c>
      <c r="C71" s="76">
        <f>IF($K$61=0,0,IF($K$61=2,IF('Parameters'!$B$24=1,1,0),IF(OR('Parameters'!$B$25=1,C61=0),1,0)))</f>
        <v>1</v>
      </c>
      <c r="D71" s="76">
        <f>IF($K$61=0,0,IF($K$61=3,IF('Parameters'!$B$24=1,1,0),IF(OR('Parameters'!$B$25=1,D61=0),1,0)))</f>
        <v>1</v>
      </c>
      <c r="E71" s="76">
        <f>IF($K$61=0,0,IF($K$61=4,IF('Parameters'!$B$24=1,1,0),IF(OR('Parameters'!$B$25=1,E61=0),1,0)))</f>
        <v>1</v>
      </c>
      <c r="F71" s="76">
        <f>IF($K$61=0,0,IF($K$61=5,IF('Parameters'!$B$24=1,1,0),IF(OR('Parameters'!$B$25=1,F61=0),1,0)))</f>
        <v>1</v>
      </c>
      <c r="G71" s="76">
        <f>IF($K$61=0,0,IF($K$61=6,IF('Parameters'!$B$24=1,1,0),IF(OR('Parameters'!$B$25=1,G61=0),1,0)))</f>
        <v>1</v>
      </c>
      <c r="H71" s="76">
        <f>IF($K$61=0,0,IF($K$61=7,IF('Parameters'!$B$24=1,1,0),IF(OR('Parameters'!$B$25=1,H61=0),1,0)))</f>
        <v>1</v>
      </c>
      <c r="J71" s="82" t="inlineStr">
        <is>
          <t xml:space="preserve">|D| after</t>
        </is>
      </c>
      <c r="K71" s="85">
        <f>SUM(B81:H81)</f>
        <v>3</v>
      </c>
    </row>
    <row r="72">
      <c r="A72" s="63" t="inlineStr">
        <is>
          <t xml:space="preserve">Step 4 · Sⱼ ∈ L</t>
        </is>
      </c>
      <c r="B72" s="77">
        <f>B60*B66*B69*B70*B71</f>
        <v>1</v>
      </c>
      <c r="C72" s="77">
        <f>C60*C66*C69*C70*C71</f>
        <v>1</v>
      </c>
      <c r="D72" s="77">
        <f>D60*D66*D69*D70*D71</f>
        <v>0</v>
      </c>
      <c r="E72" s="77">
        <f>E60*E66*E69*E70*E71</f>
        <v>0</v>
      </c>
      <c r="F72" s="77">
        <f>F60*F66*F69*F70*F71</f>
        <v>1</v>
      </c>
      <c r="G72" s="77">
        <f>G60*G66*G69*G70*G71</f>
        <v>0</v>
      </c>
      <c r="H72" s="77">
        <f>H60*H66*H69*H70*H71</f>
        <v>0</v>
      </c>
      <c r="J72" s="82" t="inlineStr">
        <is>
          <t xml:space="preserve">Objects left in the queue</t>
        </is>
      </c>
      <c r="K72" s="85">
        <f>SUMPRODUCT(B78:H78*(1-B79:H79))</f>
        <v>3</v>
      </c>
    </row>
    <row r="73">
      <c r="A73" s="63" t="inlineStr">
        <is>
          <t xml:space="preserve">Step 4 · |L| = 1 → Sᵢ moves to D</t>
        </is>
      </c>
      <c r="B73" s="76">
        <f>IF(AND(B65=1,$K$66=1),1,0)</f>
        <v>0</v>
      </c>
      <c r="C73" s="76">
        <f>IF(AND(C65=1,$K$66=1),1,0)</f>
        <v>0</v>
      </c>
      <c r="D73" s="76">
        <f>IF(AND(D65=1,$K$66=1),1,0)</f>
        <v>0</v>
      </c>
      <c r="E73" s="76">
        <f>IF(AND(E65=1,$K$66=1),1,0)</f>
        <v>0</v>
      </c>
      <c r="F73" s="76">
        <f>IF(AND(F65=1,$K$66=1),1,0)</f>
        <v>0</v>
      </c>
      <c r="G73" s="76">
        <f>IF(AND(G65=1,$K$66=1),1,0)</f>
        <v>0</v>
      </c>
      <c r="H73" s="76">
        <f>IF(AND(H65=1,$K$66=1),1,0)</f>
        <v>0</v>
      </c>
      <c r="J73" s="82" t="inlineStr">
        <is>
          <t xml:space="preserve">Step 4 · Sᵢ blocked: d(Sᵢ) ← −(d + ε)</t>
        </is>
      </c>
      <c r="K73" s="96">
        <f>IF(K61=0,"—",-(INDEX('ERDR Characteristics'!$J$5:$J$11,K61)+'Parameters'!$B$17))</f>
        <v>-0.001</v>
      </c>
    </row>
    <row r="74">
      <c r="A74" s="63" t="inlineStr">
        <is>
          <t xml:space="preserve">Step 5 · counter decreased (|L| &gt; 1)</t>
        </is>
      </c>
      <c r="B74" s="76">
        <f>IF($K$66&gt;1,B72,0)</f>
        <v>1</v>
      </c>
      <c r="C74" s="76">
        <f>IF($K$66&gt;1,C72*IF('Parameters'!$B$26=1,1,IF(SUMPRODUCT($B$72:B$72*($B$62:B$62=2))=0,1,0)),0)</f>
        <v>1</v>
      </c>
      <c r="D74" s="76">
        <f>IF($K$66&gt;1,D72*IF('Parameters'!$B$26=1,1,IF(SUMPRODUCT($B$72:C$72*($B$62:C$62=2))=0,1,0)),0)</f>
        <v>0</v>
      </c>
      <c r="E74" s="76">
        <f>IF($K$66&gt;1,E72*IF('Parameters'!$B$26=1,1,IF(SUMPRODUCT($B$72:D$72*($B$62:D$62=2))=0,1,0)),0)</f>
        <v>0</v>
      </c>
      <c r="F74" s="76">
        <f>IF($K$66&gt;1,F72*IF('Parameters'!$B$26=1,1,IF(SUMPRODUCT($B$72:E$72*($B$62:E$62=2))=0,1,0)),0)</f>
        <v>1</v>
      </c>
      <c r="G74" s="76">
        <f>IF($K$66&gt;1,G72*IF('Parameters'!$B$26=1,1,IF(SUMPRODUCT($B$72:F$72*($B$62:F$62=2))=0,1,0)),0)</f>
        <v>0</v>
      </c>
      <c r="H74" s="76">
        <f>IF($K$66&gt;1,H72*IF('Parameters'!$B$26=1,1,IF(SUMPRODUCT($B$72:G$72*($B$62:G$62=2))=0,1,0)),0)</f>
        <v>0</v>
      </c>
      <c r="J74" s="101" t="inlineStr">
        <is>
          <t xml:space="preserve"/>
        </is>
      </c>
      <c r="K74" s="101" t="inlineStr">
        <is>
          <t xml:space="preserve"/>
        </is>
      </c>
    </row>
    <row r="75">
      <c r="A75" s="63" t="inlineStr">
        <is>
          <t xml:space="preserve">g after the iteration</t>
        </is>
      </c>
      <c r="B75" s="80">
        <f>B62-B74</f>
        <v>1</v>
      </c>
      <c r="C75" s="80">
        <f>C62-C74</f>
        <v>2</v>
      </c>
      <c r="D75" s="80">
        <f>D62-D74</f>
        <v>2</v>
      </c>
      <c r="E75" s="80">
        <f>E62-E74</f>
        <v>1</v>
      </c>
      <c r="F75" s="80">
        <f>F62-F74</f>
        <v>1</v>
      </c>
      <c r="G75" s="80">
        <f>G62-G74</f>
        <v>1</v>
      </c>
      <c r="H75" s="80">
        <f>H62-H74</f>
        <v>1</v>
      </c>
      <c r="J75" s="101" t="inlineStr">
        <is>
          <t xml:space="preserve"/>
        </is>
      </c>
      <c r="K75" s="101" t="inlineStr">
        <is>
          <t xml:space="preserve"/>
        </is>
      </c>
    </row>
    <row r="76">
      <c r="A76" s="63" t="inlineStr">
        <is>
          <t xml:space="preserve">Step 5 · g fell to 1 → Sⱼ moves to D</t>
        </is>
      </c>
      <c r="B76" s="76">
        <f>IF(AND(B74=1,B75=1),1,0)</f>
        <v>1</v>
      </c>
      <c r="C76" s="76">
        <f>IF(AND(C74=1,C75=1),1,0)</f>
        <v>0</v>
      </c>
      <c r="D76" s="76">
        <f>IF(AND(D74=1,D75=1),1,0)</f>
        <v>0</v>
      </c>
      <c r="E76" s="76">
        <f>IF(AND(E74=1,E75=1),1,0)</f>
        <v>0</v>
      </c>
      <c r="F76" s="76">
        <f>IF(AND(F74=1,F75=1),1,0)</f>
        <v>1</v>
      </c>
      <c r="G76" s="76">
        <f>IF(AND(G74=1,G75=1),1,0)</f>
        <v>0</v>
      </c>
      <c r="H76" s="76">
        <f>IF(AND(H74=1,H75=1),1,0)</f>
        <v>0</v>
      </c>
      <c r="J76" s="101" t="inlineStr">
        <is>
          <t xml:space="preserve"/>
        </is>
      </c>
      <c r="K76" s="101" t="inlineStr">
        <is>
          <t xml:space="preserve"/>
        </is>
      </c>
    </row>
    <row r="77">
      <c r="A77" s="63" t="inlineStr">
        <is>
          <t xml:space="preserve">Moves to D in this iteration</t>
        </is>
      </c>
      <c r="B77" s="77">
        <f>B73+B76</f>
        <v>1</v>
      </c>
      <c r="C77" s="77">
        <f>C73+C76</f>
        <v>0</v>
      </c>
      <c r="D77" s="77">
        <f>D73+D76</f>
        <v>0</v>
      </c>
      <c r="E77" s="77">
        <f>E73+E76</f>
        <v>0</v>
      </c>
      <c r="F77" s="77">
        <f>F73+F76</f>
        <v>1</v>
      </c>
      <c r="G77" s="77">
        <f>G73+G76</f>
        <v>0</v>
      </c>
      <c r="H77" s="77">
        <f>H73+H76</f>
        <v>0</v>
      </c>
      <c r="J77" s="101" t="inlineStr">
        <is>
          <t xml:space="preserve"/>
        </is>
      </c>
      <c r="K77" s="101" t="inlineStr">
        <is>
          <t xml:space="preserve"/>
        </is>
      </c>
    </row>
    <row r="78">
      <c r="A78" s="63" t="inlineStr">
        <is>
          <t xml:space="preserve">In F after the iteration</t>
        </is>
      </c>
      <c r="B78" s="76">
        <f>B60-B77</f>
        <v>0</v>
      </c>
      <c r="C78" s="76">
        <f>C60-C77</f>
        <v>1</v>
      </c>
      <c r="D78" s="76">
        <f>D60-D77</f>
        <v>1</v>
      </c>
      <c r="E78" s="76">
        <f>E60-E77</f>
        <v>1</v>
      </c>
      <c r="F78" s="76">
        <f>F60-F77</f>
        <v>0</v>
      </c>
      <c r="G78" s="76">
        <f>G60-G77</f>
        <v>1</v>
      </c>
      <c r="H78" s="76">
        <f>H60-H77</f>
        <v>0</v>
      </c>
      <c r="J78" s="101" t="inlineStr">
        <is>
          <t xml:space="preserve"/>
        </is>
      </c>
      <c r="K78" s="101" t="inlineStr">
        <is>
          <t xml:space="preserve"/>
        </is>
      </c>
    </row>
    <row r="79">
      <c r="A79" s="63" t="inlineStr">
        <is>
          <t xml:space="preserve">Processed after the iteration</t>
        </is>
      </c>
      <c r="B79" s="76">
        <f>MIN(1,B61+B65)</f>
        <v>1</v>
      </c>
      <c r="C79" s="76">
        <f>MIN(1,C61+C65)</f>
        <v>0</v>
      </c>
      <c r="D79" s="76">
        <f>MIN(1,D61+D65)</f>
        <v>1</v>
      </c>
      <c r="E79" s="76">
        <f>MIN(1,E61+E65)</f>
        <v>0</v>
      </c>
      <c r="F79" s="76">
        <f>MIN(1,F61+F65)</f>
        <v>1</v>
      </c>
      <c r="G79" s="76">
        <f>MIN(1,G61+G65)</f>
        <v>0</v>
      </c>
      <c r="H79" s="76">
        <f>MIN(1,H61+H65)</f>
        <v>0</v>
      </c>
      <c r="J79" s="101" t="inlineStr">
        <is>
          <t xml:space="preserve"/>
        </is>
      </c>
      <c r="K79" s="101" t="inlineStr">
        <is>
          <t xml:space="preserve"/>
        </is>
      </c>
    </row>
    <row r="80">
      <c r="A80" s="63" t="inlineStr">
        <is>
          <t xml:space="preserve">d after (article: −(d + ε) once processed)</t>
        </is>
      </c>
      <c r="B80" s="73">
        <f>IF(B79=1,-('ERDR Characteristics'!$J$5+'Parameters'!$B$17),'ERDR Characteristics'!$J$5)</f>
        <v>-0.001</v>
      </c>
      <c r="C80" s="73">
        <f>IF(C79=1,-('ERDR Characteristics'!$J$6+'Parameters'!$B$17),'ERDR Characteristics'!$J$6)</f>
        <v>0.0795428388</v>
      </c>
      <c r="D80" s="73">
        <f>IF(D79=1,-('ERDR Characteristics'!$J$7+'Parameters'!$B$17),'ERDR Characteristics'!$J$7)</f>
        <v>-0.001</v>
      </c>
      <c r="E80" s="73">
        <f>IF(E79=1,-('ERDR Characteristics'!$J$8+'Parameters'!$B$17),'ERDR Characteristics'!$J$8)</f>
        <v>0.2529498997</v>
      </c>
      <c r="F80" s="73">
        <f>IF(F79=1,-('ERDR Characteristics'!$J$9+'Parameters'!$B$17),'ERDR Characteristics'!$J$9)</f>
        <v>-0.001</v>
      </c>
      <c r="G80" s="73">
        <f>IF(G79=1,-('ERDR Characteristics'!$J$10+'Parameters'!$B$17),'ERDR Characteristics'!$J$10)</f>
        <v>0.1692169896</v>
      </c>
      <c r="H80" s="73">
        <f>IF(H79=1,-('ERDR Characteristics'!$J$11+'Parameters'!$B$17),'ERDR Characteristics'!$J$11)</f>
        <v>0.1252961741</v>
      </c>
      <c r="J80" s="101" t="inlineStr">
        <is>
          <t xml:space="preserve"/>
        </is>
      </c>
      <c r="K80" s="101" t="inlineStr">
        <is>
          <t xml:space="preserve"/>
        </is>
      </c>
    </row>
    <row r="81">
      <c r="A81" s="63" t="inlineStr">
        <is>
          <t xml:space="preserve">In D after the iteration</t>
        </is>
      </c>
      <c r="B81" s="76">
        <f>1-B78</f>
        <v>1</v>
      </c>
      <c r="C81" s="76">
        <f>1-C78</f>
        <v>0</v>
      </c>
      <c r="D81" s="76">
        <f>1-D78</f>
        <v>0</v>
      </c>
      <c r="E81" s="76">
        <f>1-E78</f>
        <v>0</v>
      </c>
      <c r="F81" s="76">
        <f>1-F78</f>
        <v>1</v>
      </c>
      <c r="G81" s="76">
        <f>1-G78</f>
        <v>0</v>
      </c>
      <c r="H81" s="76">
        <f>1-H78</f>
        <v>1</v>
      </c>
      <c r="J81" s="101" t="inlineStr">
        <is>
          <t xml:space="preserve"/>
        </is>
      </c>
      <c r="K81" s="101" t="inlineStr">
        <is>
          <t xml:space="preserve"/>
        </is>
      </c>
    </row>
    <row r="82"/>
    <row r="83">
      <c r="A83" s="59" t="str">
        <f>"Iteration 4  ·  "&amp;IF($K$87=0,"queue empty → Step 6 (stop)","Step 3 selects "&amp;$K$88&amp;"  ·  L = "&amp;$K$91&amp;"  ·  "&amp;$K$93)</f>
        <v>Iteration 4  ·  Step 3 selects S₂  ·  L = {S₂}  ·  |L| = 1 → Sᵢ moves to D</v>
      </c>
      <c r="B83" s="59"/>
      <c r="C83" s="59"/>
      <c r="D83" s="59"/>
      <c r="E83" s="59"/>
      <c r="F83" s="59"/>
      <c r="G83" s="59"/>
      <c r="H83" s="59"/>
      <c r="I83" s="59"/>
      <c r="J83" s="59"/>
      <c r="K83" s="59"/>
    </row>
    <row r="84">
      <c r="A84" s="61" t="inlineStr">
        <is>
          <t xml:space="preserve">Row</t>
        </is>
      </c>
      <c r="B84" s="60" t="inlineStr">
        <is>
          <t xml:space="preserve">S₁</t>
        </is>
      </c>
      <c r="C84" s="60" t="inlineStr">
        <is>
          <t xml:space="preserve">S₂</t>
        </is>
      </c>
      <c r="D84" s="60" t="inlineStr">
        <is>
          <t xml:space="preserve">S₃</t>
        </is>
      </c>
      <c r="E84" s="60" t="inlineStr">
        <is>
          <t xml:space="preserve">S₄</t>
        </is>
      </c>
      <c r="F84" s="60" t="inlineStr">
        <is>
          <t xml:space="preserve">S₅</t>
        </is>
      </c>
      <c r="G84" s="60" t="inlineStr">
        <is>
          <t xml:space="preserve">S₆</t>
        </is>
      </c>
      <c r="H84" s="60" t="inlineStr">
        <is>
          <t xml:space="preserve">S₇</t>
        </is>
      </c>
      <c r="J84" s="61" t="inlineStr">
        <is>
          <t xml:space="preserve">Iteration summary</t>
        </is>
      </c>
      <c r="K84" s="61" t="inlineStr">
        <is>
          <t xml:space="preserve">Value</t>
        </is>
      </c>
    </row>
    <row r="85">
      <c r="A85" s="63" t="inlineStr">
        <is>
          <t xml:space="preserve">Class</t>
        </is>
      </c>
      <c r="B85" s="68">
        <f>'Dataset'!$P$5</f>
        <v>2</v>
      </c>
      <c r="C85" s="68">
        <f>'Dataset'!$P$6</f>
        <v>2</v>
      </c>
      <c r="D85" s="68">
        <f>'Dataset'!$P$7</f>
        <v>1</v>
      </c>
      <c r="E85" s="68">
        <f>'Dataset'!$P$8</f>
        <v>2</v>
      </c>
      <c r="F85" s="68">
        <f>'Dataset'!$P$9</f>
        <v>2</v>
      </c>
      <c r="G85" s="68">
        <f>'Dataset'!$P$10</f>
        <v>1</v>
      </c>
      <c r="H85" s="68">
        <f>'Dataset'!$P$11</f>
        <v>1</v>
      </c>
      <c r="J85" s="82" t="inlineStr">
        <is>
          <t xml:space="preserve">Queue length (Step 2)</t>
        </is>
      </c>
      <c r="K85" s="85">
        <f>SUM(B89:H89)</f>
        <v>3</v>
      </c>
    </row>
    <row r="86">
      <c r="A86" s="63" t="inlineStr">
        <is>
          <t xml:space="preserve">In F before the iteration (1 = in the working set)</t>
        </is>
      </c>
      <c r="B86" s="76">
        <f>B78</f>
        <v>0</v>
      </c>
      <c r="C86" s="76">
        <f>C78</f>
        <v>1</v>
      </c>
      <c r="D86" s="76">
        <f>D78</f>
        <v>1</v>
      </c>
      <c r="E86" s="76">
        <f>E78</f>
        <v>1</v>
      </c>
      <c r="F86" s="76">
        <f>F78</f>
        <v>0</v>
      </c>
      <c r="G86" s="76">
        <f>G78</f>
        <v>1</v>
      </c>
      <c r="H86" s="76">
        <f>H78</f>
        <v>0</v>
      </c>
      <c r="J86" s="82" t="inlineStr">
        <is>
          <t xml:space="preserve">Smallest queue key</t>
        </is>
      </c>
      <c r="K86" s="85">
        <f>MIN(B90:H90)</f>
        <v>4</v>
      </c>
    </row>
    <row r="87">
      <c r="A87" s="63" t="inlineStr">
        <is>
          <t xml:space="preserve">Processed before (blocked: d &lt; 0)</t>
        </is>
      </c>
      <c r="B87" s="76">
        <f>B79</f>
        <v>1</v>
      </c>
      <c r="C87" s="76">
        <f>C79</f>
        <v>0</v>
      </c>
      <c r="D87" s="76">
        <f>D79</f>
        <v>1</v>
      </c>
      <c r="E87" s="76">
        <f>E79</f>
        <v>0</v>
      </c>
      <c r="F87" s="76">
        <f>F79</f>
        <v>1</v>
      </c>
      <c r="G87" s="76">
        <f>G79</f>
        <v>0</v>
      </c>
      <c r="H87" s="76">
        <f>H79</f>
        <v>0</v>
      </c>
      <c r="J87" s="82" t="inlineStr">
        <is>
          <t xml:space="preserve">Selected index i (0 = queue empty)</t>
        </is>
      </c>
      <c r="K87" s="85">
        <f>IF(K86=99,0,MATCH(K86,B90:H90,0))</f>
        <v>2</v>
      </c>
    </row>
    <row r="88">
      <c r="A88" s="63" t="inlineStr">
        <is>
          <t xml:space="preserve">g before the iteration</t>
        </is>
      </c>
      <c r="B88" s="80">
        <f>B75</f>
        <v>1</v>
      </c>
      <c r="C88" s="80">
        <f>C75</f>
        <v>2</v>
      </c>
      <c r="D88" s="80">
        <f>D75</f>
        <v>2</v>
      </c>
      <c r="E88" s="80">
        <f>E75</f>
        <v>1</v>
      </c>
      <c r="F88" s="80">
        <f>F75</f>
        <v>1</v>
      </c>
      <c r="G88" s="80">
        <f>G75</f>
        <v>1</v>
      </c>
      <c r="H88" s="80">
        <f>H75</f>
        <v>1</v>
      </c>
      <c r="J88" s="82" t="inlineStr">
        <is>
          <t xml:space="preserve">Step 3 · selected Sᵢ</t>
        </is>
      </c>
      <c r="K88" s="85" t="str">
        <f>IF(K87=0,"— (queue empty → Step 6)",INDEX(B84:H84,K87))</f>
        <v>S₂</v>
      </c>
    </row>
    <row r="89">
      <c r="A89" s="63" t="inlineStr">
        <is>
          <t xml:space="preserve">Step 2 · in the queue: in F and not processed</t>
        </is>
      </c>
      <c r="B89" s="76">
        <f>IF(AND(B86=1,B87=0),1,0)</f>
        <v>0</v>
      </c>
      <c r="C89" s="76">
        <f>IF(AND(C86=1,C87=0),1,0)</f>
        <v>1</v>
      </c>
      <c r="D89" s="76">
        <f>IF(AND(D86=1,D87=0),1,0)</f>
        <v>0</v>
      </c>
      <c r="E89" s="76">
        <f>IF(AND(E86=1,E87=0),1,0)</f>
        <v>1</v>
      </c>
      <c r="F89" s="76">
        <f>IF(AND(F86=1,F87=0),1,0)</f>
        <v>0</v>
      </c>
      <c r="G89" s="76">
        <f>IF(AND(G86=1,G87=0),1,0)</f>
        <v>1</v>
      </c>
      <c r="H89" s="76">
        <f>IF(AND(H86=1,H87=0),1,0)</f>
        <v>0</v>
      </c>
      <c r="J89" s="82" t="inlineStr">
        <is>
          <t xml:space="preserve">d(Sᵢ)</t>
        </is>
      </c>
      <c r="K89" s="96">
        <f>IF(K87=0,"—",INDEX('ERDR Characteristics'!$J$5:$J$11,K87))</f>
        <v>0.0795428388</v>
      </c>
    </row>
    <row r="90">
      <c r="A90" s="63" t="inlineStr">
        <is>
          <t xml:space="preserve">Step 2 · queue key = priority position (99 = not in the queue)</t>
        </is>
      </c>
      <c r="B90" s="76">
        <f>IF(B89=1,'ERDR Characteristics'!$K$5,99)</f>
        <v>99</v>
      </c>
      <c r="C90" s="76">
        <f>IF(C89=1,'ERDR Characteristics'!$K$6,99)</f>
        <v>4</v>
      </c>
      <c r="D90" s="76">
        <f>IF(D89=1,'ERDR Characteristics'!$K$7,99)</f>
        <v>99</v>
      </c>
      <c r="E90" s="76">
        <f>IF(E89=1,'ERDR Characteristics'!$K$8,99)</f>
        <v>7</v>
      </c>
      <c r="F90" s="76">
        <f>IF(F89=1,'ERDR Characteristics'!$K$9,99)</f>
        <v>99</v>
      </c>
      <c r="G90" s="76">
        <f>IF(G89=1,'ERDR Characteristics'!$K$10,99)</f>
        <v>6</v>
      </c>
      <c r="H90" s="76">
        <f>IF(H89=1,'ERDR Characteristics'!$K$11,99)</f>
        <v>99</v>
      </c>
      <c r="J90" s="82" t="inlineStr">
        <is>
          <t xml:space="preserve">r(Sᵢ)</t>
        </is>
      </c>
      <c r="K90" s="96">
        <f>IF(K87=0,"—",INDEX('ERDR Characteristics'!$D$5:$D$11,K87))</f>
        <v>7.4699698919</v>
      </c>
    </row>
    <row r="91">
      <c r="A91" s="63" t="inlineStr">
        <is>
          <t xml:space="preserve">Step 3 · selected Sᵢ (smallest key)</t>
        </is>
      </c>
      <c r="B91" s="77">
        <f>IF($K$87=1,1,0)</f>
        <v>0</v>
      </c>
      <c r="C91" s="77">
        <f>IF($K$87=2,1,0)</f>
        <v>1</v>
      </c>
      <c r="D91" s="77">
        <f>IF($K$87=3,1,0)</f>
        <v>0</v>
      </c>
      <c r="E91" s="77">
        <f>IF($K$87=4,1,0)</f>
        <v>0</v>
      </c>
      <c r="F91" s="77">
        <f>IF($K$87=5,1,0)</f>
        <v>0</v>
      </c>
      <c r="G91" s="77">
        <f>IF($K$87=6,1,0)</f>
        <v>0</v>
      </c>
      <c r="H91" s="77">
        <f>IF($K$87=7,1,0)</f>
        <v>0</v>
      </c>
      <c r="J91" s="82" t="inlineStr">
        <is>
          <t xml:space="preserve">Step 4 · L</t>
        </is>
      </c>
      <c r="K91" s="85" t="str">
        <f>IF(K92=0,"∅","{"&amp;MID(IF(B98=1,", "&amp;B$84,"")&amp;IF(C98=1,", "&amp;C$84,"")&amp;IF(D98=1,", "&amp;D$84,"")&amp;IF(E98=1,", "&amp;E$84,"")&amp;IF(F98=1,", "&amp;F$84,"")&amp;IF(G98=1,", "&amp;G$84,"")&amp;IF(H98=1,", "&amp;H$84,""),3,200)&amp;"}")</f>
        <v>{S₂}</v>
      </c>
    </row>
    <row r="92">
      <c r="A92" s="63" t="inlineStr">
        <is>
          <t xml:space="preserve">Same class as Sᵢ</t>
        </is>
      </c>
      <c r="B92" s="76">
        <f>IF($K$87=0,0,IF(B85=INDEX($B$85:$H$85,$K$87),1,0))</f>
        <v>1</v>
      </c>
      <c r="C92" s="76">
        <f>IF($K$87=0,0,IF(C85=INDEX($B$85:$H$85,$K$87),1,0))</f>
        <v>1</v>
      </c>
      <c r="D92" s="76">
        <f>IF($K$87=0,0,IF(D85=INDEX($B$85:$H$85,$K$87),1,0))</f>
        <v>0</v>
      </c>
      <c r="E92" s="76">
        <f>IF($K$87=0,0,IF(E85=INDEX($B$85:$H$85,$K$87),1,0))</f>
        <v>1</v>
      </c>
      <c r="F92" s="76">
        <f>IF($K$87=0,0,IF(F85=INDEX($B$85:$H$85,$K$87),1,0))</f>
        <v>1</v>
      </c>
      <c r="G92" s="76">
        <f>IF($K$87=0,0,IF(G85=INDEX($B$85:$H$85,$K$87),1,0))</f>
        <v>0</v>
      </c>
      <c r="H92" s="76">
        <f>IF($K$87=0,0,IF(H85=INDEX($B$85:$H$85,$K$87),1,0))</f>
        <v>0</v>
      </c>
      <c r="J92" s="82" t="inlineStr">
        <is>
          <t xml:space="preserve">|L|</t>
        </is>
      </c>
      <c r="K92" s="85">
        <f>SUM(B98:H98)</f>
        <v>1</v>
      </c>
    </row>
    <row r="93">
      <c r="A93" s="63" t="inlineStr">
        <is>
          <t xml:space="preserve">ρ(Sⱼ, Sᵢ)</t>
        </is>
      </c>
      <c r="B93" s="73">
        <f>IF($K$87=0,"—",INDEX('Zhuravlev Distances'!$B$5:$H$5,$K$87))</f>
        <v>4.6606100796</v>
      </c>
      <c r="C93" s="73">
        <f>IF($K$87=0,"—",INDEX('Zhuravlev Distances'!$B$6:$H$6,$K$87))</f>
        <v>0</v>
      </c>
      <c r="D93" s="73">
        <f>IF($K$87=0,"—",INDEX('Zhuravlev Distances'!$B$7:$H$7,$K$87))</f>
        <v>7.4699698919</v>
      </c>
      <c r="E93" s="73">
        <f>IF($K$87=0,"—",INDEX('Zhuravlev Distances'!$B$8:$H$8,$K$87))</f>
        <v>6.3691657565</v>
      </c>
      <c r="F93" s="73">
        <f>IF($K$87=0,"—",INDEX('Zhuravlev Distances'!$B$9:$H$9,$K$87))</f>
        <v>6.104089157</v>
      </c>
      <c r="G93" s="73">
        <f>IF($K$87=0,"—",INDEX('Zhuravlev Distances'!$B$10:$H$10,$K$87))</f>
        <v>8.742951174</v>
      </c>
      <c r="H93" s="73">
        <f>IF($K$87=0,"—",INDEX('Zhuravlev Distances'!$B$11:$H$11,$K$87))</f>
        <v>7.7855937542</v>
      </c>
      <c r="J93" s="82" t="inlineStr">
        <is>
          <t xml:space="preserve">Decision</t>
        </is>
      </c>
      <c r="K93" s="85" t="str">
        <f>IF(K87=0,"Step 6 · stop",IF(K92=0,"|L| = 0 → Sᵢ is only blocked and stays in F",IF(K92=1,"|L| = 1 → Sᵢ moves to D","|L| &gt; 1 → Step 5 corrects g")))</f>
        <v>|L| = 1 → Sᵢ moves to D</v>
      </c>
    </row>
    <row r="94">
      <c r="A94" s="63" t="inlineStr">
        <is>
          <t xml:space="preserve">r(Sⱼ)</t>
        </is>
      </c>
      <c r="B94" s="73">
        <f>'ERDR Characteristics'!$D$5</f>
        <v>5.60708061</v>
      </c>
      <c r="C94" s="73">
        <f>'ERDR Characteristics'!$D$6</f>
        <v>7.4699698919</v>
      </c>
      <c r="D94" s="73">
        <f>'ERDR Characteristics'!$D$7</f>
        <v>5.60708061</v>
      </c>
      <c r="E94" s="73">
        <f>'ERDR Characteristics'!$D$8</f>
        <v>3.7071187508</v>
      </c>
      <c r="F94" s="73">
        <f>'ERDR Characteristics'!$D$9</f>
        <v>7.1117040273</v>
      </c>
      <c r="G94" s="73">
        <f>'ERDR Characteristics'!$D$10</f>
        <v>3.7071187508</v>
      </c>
      <c r="H94" s="73">
        <f>'ERDR Characteristics'!$D$11</f>
        <v>3.9109813746</v>
      </c>
      <c r="J94" s="82" t="inlineStr">
        <is>
          <t xml:space="preserve">Step 5 · counters g: before → after</t>
        </is>
      </c>
      <c r="K94" s="85" t="str">
        <f>IF(SUM(B100:H100)=0,"—",MID(IF(B100=1,", "&amp;B$84&amp;": "&amp;B88&amp;" → "&amp;B101,"")&amp;IF(C100=1,", "&amp;C$84&amp;": "&amp;C88&amp;" → "&amp;C101,"")&amp;IF(D100=1,", "&amp;D$84&amp;": "&amp;D88&amp;" → "&amp;D101,"")&amp;IF(E100=1,", "&amp;E$84&amp;": "&amp;E88&amp;" → "&amp;E101,"")&amp;IF(F100=1,", "&amp;F$84&amp;": "&amp;F88&amp;" → "&amp;F101,"")&amp;IF(G100=1,", "&amp;G$84&amp;": "&amp;G88&amp;" → "&amp;G101,"")&amp;IF(H100=1,", "&amp;H$84&amp;": "&amp;H88&amp;" → "&amp;H101,""),3,300))</f>
        <v>—</v>
      </c>
    </row>
    <row r="95">
      <c r="A95" s="63" t="inlineStr">
        <is>
          <t xml:space="preserve">Sᵢ inside the sphere of Sⱼ:  ρ(Sⱼ, Sᵢ) &lt; r(Sⱼ)</t>
        </is>
      </c>
      <c r="B95" s="76">
        <f>IF($K$87=0,0,IF(B93&lt;B94,1,0))</f>
        <v>1</v>
      </c>
      <c r="C95" s="76">
        <f>IF($K$87=0,0,IF(C93&lt;C94,1,0))</f>
        <v>1</v>
      </c>
      <c r="D95" s="76">
        <f>IF($K$87=0,0,IF(D93&lt;D94,1,0))</f>
        <v>0</v>
      </c>
      <c r="E95" s="76">
        <f>IF($K$87=0,0,IF(E93&lt;E94,1,0))</f>
        <v>0</v>
      </c>
      <c r="F95" s="76">
        <f>IF($K$87=0,0,IF(F93&lt;F94,1,0))</f>
        <v>1</v>
      </c>
      <c r="G95" s="76">
        <f>IF($K$87=0,0,IF(G93&lt;G94,1,0))</f>
        <v>0</v>
      </c>
      <c r="H95" s="76">
        <f>IF($K$87=0,0,IF(H93&lt;H94,1,0))</f>
        <v>0</v>
      </c>
      <c r="J95" s="82" t="inlineStr">
        <is>
          <t xml:space="preserve">Moved to D</t>
        </is>
      </c>
      <c r="K95" s="85" t="str">
        <f>IF(SUM(B103:H103)=0,"—",MID(IF(B103=1,", "&amp;B$84&amp;IF(B99=1," (Step 4)"," (Step 5)"),"")&amp;IF(C103=1,", "&amp;C$84&amp;IF(C99=1," (Step 4)"," (Step 5)"),"")&amp;IF(D103=1,", "&amp;D$84&amp;IF(D99=1," (Step 4)"," (Step 5)"),"")&amp;IF(E103=1,", "&amp;E$84&amp;IF(E99=1," (Step 4)"," (Step 5)"),"")&amp;IF(F103=1,", "&amp;F$84&amp;IF(F99=1," (Step 4)"," (Step 5)"),"")&amp;IF(G103=1,", "&amp;G$84&amp;IF(G99=1," (Step 4)"," (Step 5)"),"")&amp;IF(H103=1,", "&amp;H$84&amp;IF(H99=1," (Step 4)"," (Step 5)"),""),3,300))</f>
        <v>S₂ (Step 4)</v>
      </c>
    </row>
    <row r="96">
      <c r="A96" s="63" t="inlineStr">
        <is>
          <t xml:space="preserve">g(Sⱼ) &gt; 1</t>
        </is>
      </c>
      <c r="B96" s="76">
        <f>IF(B88&gt;1,1,0)</f>
        <v>0</v>
      </c>
      <c r="C96" s="76">
        <f>IF(C88&gt;1,1,0)</f>
        <v>1</v>
      </c>
      <c r="D96" s="76">
        <f>IF(D88&gt;1,1,0)</f>
        <v>1</v>
      </c>
      <c r="E96" s="76">
        <f>IF(E88&gt;1,1,0)</f>
        <v>0</v>
      </c>
      <c r="F96" s="76">
        <f>IF(F88&gt;1,1,0)</f>
        <v>0</v>
      </c>
      <c r="G96" s="76">
        <f>IF(G88&gt;1,1,0)</f>
        <v>0</v>
      </c>
      <c r="H96" s="76">
        <f>IF(H88&gt;1,1,0)</f>
        <v>0</v>
      </c>
      <c r="J96" s="82" t="inlineStr">
        <is>
          <t xml:space="preserve">|F| after</t>
        </is>
      </c>
      <c r="K96" s="85">
        <f>SUM(B104:H104)</f>
        <v>3</v>
      </c>
    </row>
    <row r="97">
      <c r="A97" s="63" t="inlineStr">
        <is>
          <t xml:space="preserve">Allowed by readings A (Sᵢ itself) and B (processed Sⱼ)</t>
        </is>
      </c>
      <c r="B97" s="76">
        <f>IF($K$87=0,0,IF($K$87=1,IF('Parameters'!$B$24=1,1,0),IF(OR('Parameters'!$B$25=1,B87=0),1,0)))</f>
        <v>1</v>
      </c>
      <c r="C97" s="76">
        <f>IF($K$87=0,0,IF($K$87=2,IF('Parameters'!$B$24=1,1,0),IF(OR('Parameters'!$B$25=1,C87=0),1,0)))</f>
        <v>1</v>
      </c>
      <c r="D97" s="76">
        <f>IF($K$87=0,0,IF($K$87=3,IF('Parameters'!$B$24=1,1,0),IF(OR('Parameters'!$B$25=1,D87=0),1,0)))</f>
        <v>1</v>
      </c>
      <c r="E97" s="76">
        <f>IF($K$87=0,0,IF($K$87=4,IF('Parameters'!$B$24=1,1,0),IF(OR('Parameters'!$B$25=1,E87=0),1,0)))</f>
        <v>1</v>
      </c>
      <c r="F97" s="76">
        <f>IF($K$87=0,0,IF($K$87=5,IF('Parameters'!$B$24=1,1,0),IF(OR('Parameters'!$B$25=1,F87=0),1,0)))</f>
        <v>1</v>
      </c>
      <c r="G97" s="76">
        <f>IF($K$87=0,0,IF($K$87=6,IF('Parameters'!$B$24=1,1,0),IF(OR('Parameters'!$B$25=1,G87=0),1,0)))</f>
        <v>1</v>
      </c>
      <c r="H97" s="76">
        <f>IF($K$87=0,0,IF($K$87=7,IF('Parameters'!$B$24=1,1,0),IF(OR('Parameters'!$B$25=1,H87=0),1,0)))</f>
        <v>1</v>
      </c>
      <c r="J97" s="82" t="inlineStr">
        <is>
          <t xml:space="preserve">|D| after</t>
        </is>
      </c>
      <c r="K97" s="85">
        <f>SUM(B107:H107)</f>
        <v>4</v>
      </c>
    </row>
    <row r="98">
      <c r="A98" s="63" t="inlineStr">
        <is>
          <t xml:space="preserve">Step 4 · Sⱼ ∈ L</t>
        </is>
      </c>
      <c r="B98" s="77">
        <f>B86*B92*B95*B96*B97</f>
        <v>0</v>
      </c>
      <c r="C98" s="77">
        <f>C86*C92*C95*C96*C97</f>
        <v>1</v>
      </c>
      <c r="D98" s="77">
        <f>D86*D92*D95*D96*D97</f>
        <v>0</v>
      </c>
      <c r="E98" s="77">
        <f>E86*E92*E95*E96*E97</f>
        <v>0</v>
      </c>
      <c r="F98" s="77">
        <f>F86*F92*F95*F96*F97</f>
        <v>0</v>
      </c>
      <c r="G98" s="77">
        <f>G86*G92*G95*G96*G97</f>
        <v>0</v>
      </c>
      <c r="H98" s="77">
        <f>H86*H92*H95*H96*H97</f>
        <v>0</v>
      </c>
      <c r="J98" s="82" t="inlineStr">
        <is>
          <t xml:space="preserve">Objects left in the queue</t>
        </is>
      </c>
      <c r="K98" s="85">
        <f>SUMPRODUCT(B104:H104*(1-B105:H105))</f>
        <v>2</v>
      </c>
    </row>
    <row r="99">
      <c r="A99" s="63" t="inlineStr">
        <is>
          <t xml:space="preserve">Step 4 · |L| = 1 → Sᵢ moves to D</t>
        </is>
      </c>
      <c r="B99" s="76">
        <f>IF(AND(B91=1,$K$92=1),1,0)</f>
        <v>0</v>
      </c>
      <c r="C99" s="76">
        <f>IF(AND(C91=1,$K$92=1),1,0)</f>
        <v>1</v>
      </c>
      <c r="D99" s="76">
        <f>IF(AND(D91=1,$K$92=1),1,0)</f>
        <v>0</v>
      </c>
      <c r="E99" s="76">
        <f>IF(AND(E91=1,$K$92=1),1,0)</f>
        <v>0</v>
      </c>
      <c r="F99" s="76">
        <f>IF(AND(F91=1,$K$92=1),1,0)</f>
        <v>0</v>
      </c>
      <c r="G99" s="76">
        <f>IF(AND(G91=1,$K$92=1),1,0)</f>
        <v>0</v>
      </c>
      <c r="H99" s="76">
        <f>IF(AND(H91=1,$K$92=1),1,0)</f>
        <v>0</v>
      </c>
      <c r="J99" s="82" t="inlineStr">
        <is>
          <t xml:space="preserve">Step 4 · Sᵢ blocked: d(Sᵢ) ← −(d + ε)</t>
        </is>
      </c>
      <c r="K99" s="96">
        <f>IF(K87=0,"—",-(INDEX('ERDR Characteristics'!$J$5:$J$11,K87)+'Parameters'!$B$17))</f>
        <v>-0.0805428388</v>
      </c>
    </row>
    <row r="100">
      <c r="A100" s="63" t="inlineStr">
        <is>
          <t xml:space="preserve">Step 5 · counter decreased (|L| &gt; 1)</t>
        </is>
      </c>
      <c r="B100" s="76">
        <f>IF($K$92&gt;1,B98,0)</f>
        <v>0</v>
      </c>
      <c r="C100" s="76">
        <f>IF($K$92&gt;1,C98*IF('Parameters'!$B$26=1,1,IF(SUMPRODUCT($B$98:B$98*($B$88:B$88=2))=0,1,0)),0)</f>
        <v>0</v>
      </c>
      <c r="D100" s="76">
        <f>IF($K$92&gt;1,D98*IF('Parameters'!$B$26=1,1,IF(SUMPRODUCT($B$98:C$98*($B$88:C$88=2))=0,1,0)),0)</f>
        <v>0</v>
      </c>
      <c r="E100" s="76">
        <f>IF($K$92&gt;1,E98*IF('Parameters'!$B$26=1,1,IF(SUMPRODUCT($B$98:D$98*($B$88:D$88=2))=0,1,0)),0)</f>
        <v>0</v>
      </c>
      <c r="F100" s="76">
        <f>IF($K$92&gt;1,F98*IF('Parameters'!$B$26=1,1,IF(SUMPRODUCT($B$98:E$98*($B$88:E$88=2))=0,1,0)),0)</f>
        <v>0</v>
      </c>
      <c r="G100" s="76">
        <f>IF($K$92&gt;1,G98*IF('Parameters'!$B$26=1,1,IF(SUMPRODUCT($B$98:F$98*($B$88:F$88=2))=0,1,0)),0)</f>
        <v>0</v>
      </c>
      <c r="H100" s="76">
        <f>IF($K$92&gt;1,H98*IF('Parameters'!$B$26=1,1,IF(SUMPRODUCT($B$98:G$98*($B$88:G$88=2))=0,1,0)),0)</f>
        <v>0</v>
      </c>
      <c r="J100" s="101" t="inlineStr">
        <is>
          <t xml:space="preserve"/>
        </is>
      </c>
      <c r="K100" s="101" t="inlineStr">
        <is>
          <t xml:space="preserve"/>
        </is>
      </c>
    </row>
    <row r="101">
      <c r="A101" s="63" t="inlineStr">
        <is>
          <t xml:space="preserve">g after the iteration</t>
        </is>
      </c>
      <c r="B101" s="80">
        <f>B88-B100</f>
        <v>1</v>
      </c>
      <c r="C101" s="80">
        <f>C88-C100</f>
        <v>2</v>
      </c>
      <c r="D101" s="80">
        <f>D88-D100</f>
        <v>2</v>
      </c>
      <c r="E101" s="80">
        <f>E88-E100</f>
        <v>1</v>
      </c>
      <c r="F101" s="80">
        <f>F88-F100</f>
        <v>1</v>
      </c>
      <c r="G101" s="80">
        <f>G88-G100</f>
        <v>1</v>
      </c>
      <c r="H101" s="80">
        <f>H88-H100</f>
        <v>1</v>
      </c>
      <c r="J101" s="101" t="inlineStr">
        <is>
          <t xml:space="preserve"/>
        </is>
      </c>
      <c r="K101" s="101" t="inlineStr">
        <is>
          <t xml:space="preserve"/>
        </is>
      </c>
    </row>
    <row r="102">
      <c r="A102" s="63" t="inlineStr">
        <is>
          <t xml:space="preserve">Step 5 · g fell to 1 → Sⱼ moves to D</t>
        </is>
      </c>
      <c r="B102" s="76">
        <f>IF(AND(B100=1,B101=1),1,0)</f>
        <v>0</v>
      </c>
      <c r="C102" s="76">
        <f>IF(AND(C100=1,C101=1),1,0)</f>
        <v>0</v>
      </c>
      <c r="D102" s="76">
        <f>IF(AND(D100=1,D101=1),1,0)</f>
        <v>0</v>
      </c>
      <c r="E102" s="76">
        <f>IF(AND(E100=1,E101=1),1,0)</f>
        <v>0</v>
      </c>
      <c r="F102" s="76">
        <f>IF(AND(F100=1,F101=1),1,0)</f>
        <v>0</v>
      </c>
      <c r="G102" s="76">
        <f>IF(AND(G100=1,G101=1),1,0)</f>
        <v>0</v>
      </c>
      <c r="H102" s="76">
        <f>IF(AND(H100=1,H101=1),1,0)</f>
        <v>0</v>
      </c>
      <c r="J102" s="101" t="inlineStr">
        <is>
          <t xml:space="preserve"/>
        </is>
      </c>
      <c r="K102" s="101" t="inlineStr">
        <is>
          <t xml:space="preserve"/>
        </is>
      </c>
    </row>
    <row r="103">
      <c r="A103" s="63" t="inlineStr">
        <is>
          <t xml:space="preserve">Moves to D in this iteration</t>
        </is>
      </c>
      <c r="B103" s="77">
        <f>B99+B102</f>
        <v>0</v>
      </c>
      <c r="C103" s="77">
        <f>C99+C102</f>
        <v>1</v>
      </c>
      <c r="D103" s="77">
        <f>D99+D102</f>
        <v>0</v>
      </c>
      <c r="E103" s="77">
        <f>E99+E102</f>
        <v>0</v>
      </c>
      <c r="F103" s="77">
        <f>F99+F102</f>
        <v>0</v>
      </c>
      <c r="G103" s="77">
        <f>G99+G102</f>
        <v>0</v>
      </c>
      <c r="H103" s="77">
        <f>H99+H102</f>
        <v>0</v>
      </c>
      <c r="J103" s="101" t="inlineStr">
        <is>
          <t xml:space="preserve"/>
        </is>
      </c>
      <c r="K103" s="101" t="inlineStr">
        <is>
          <t xml:space="preserve"/>
        </is>
      </c>
    </row>
    <row r="104">
      <c r="A104" s="63" t="inlineStr">
        <is>
          <t xml:space="preserve">In F after the iteration</t>
        </is>
      </c>
      <c r="B104" s="76">
        <f>B86-B103</f>
        <v>0</v>
      </c>
      <c r="C104" s="76">
        <f>C86-C103</f>
        <v>0</v>
      </c>
      <c r="D104" s="76">
        <f>D86-D103</f>
        <v>1</v>
      </c>
      <c r="E104" s="76">
        <f>E86-E103</f>
        <v>1</v>
      </c>
      <c r="F104" s="76">
        <f>F86-F103</f>
        <v>0</v>
      </c>
      <c r="G104" s="76">
        <f>G86-G103</f>
        <v>1</v>
      </c>
      <c r="H104" s="76">
        <f>H86-H103</f>
        <v>0</v>
      </c>
      <c r="J104" s="101" t="inlineStr">
        <is>
          <t xml:space="preserve"/>
        </is>
      </c>
      <c r="K104" s="101" t="inlineStr">
        <is>
          <t xml:space="preserve"/>
        </is>
      </c>
    </row>
    <row r="105">
      <c r="A105" s="63" t="inlineStr">
        <is>
          <t xml:space="preserve">Processed after the iteration</t>
        </is>
      </c>
      <c r="B105" s="76">
        <f>MIN(1,B87+B91)</f>
        <v>1</v>
      </c>
      <c r="C105" s="76">
        <f>MIN(1,C87+C91)</f>
        <v>1</v>
      </c>
      <c r="D105" s="76">
        <f>MIN(1,D87+D91)</f>
        <v>1</v>
      </c>
      <c r="E105" s="76">
        <f>MIN(1,E87+E91)</f>
        <v>0</v>
      </c>
      <c r="F105" s="76">
        <f>MIN(1,F87+F91)</f>
        <v>1</v>
      </c>
      <c r="G105" s="76">
        <f>MIN(1,G87+G91)</f>
        <v>0</v>
      </c>
      <c r="H105" s="76">
        <f>MIN(1,H87+H91)</f>
        <v>0</v>
      </c>
      <c r="J105" s="101" t="inlineStr">
        <is>
          <t xml:space="preserve"/>
        </is>
      </c>
      <c r="K105" s="101" t="inlineStr">
        <is>
          <t xml:space="preserve"/>
        </is>
      </c>
    </row>
    <row r="106">
      <c r="A106" s="63" t="inlineStr">
        <is>
          <t xml:space="preserve">d after (article: −(d + ε) once processed)</t>
        </is>
      </c>
      <c r="B106" s="73">
        <f>IF(B105=1,-('ERDR Characteristics'!$J$5+'Parameters'!$B$17),'ERDR Characteristics'!$J$5)</f>
        <v>-0.001</v>
      </c>
      <c r="C106" s="73">
        <f>IF(C105=1,-('ERDR Characteristics'!$J$6+'Parameters'!$B$17),'ERDR Characteristics'!$J$6)</f>
        <v>-0.0805428388</v>
      </c>
      <c r="D106" s="73">
        <f>IF(D105=1,-('ERDR Characteristics'!$J$7+'Parameters'!$B$17),'ERDR Characteristics'!$J$7)</f>
        <v>-0.001</v>
      </c>
      <c r="E106" s="73">
        <f>IF(E105=1,-('ERDR Characteristics'!$J$8+'Parameters'!$B$17),'ERDR Characteristics'!$J$8)</f>
        <v>0.2529498997</v>
      </c>
      <c r="F106" s="73">
        <f>IF(F105=1,-('ERDR Characteristics'!$J$9+'Parameters'!$B$17),'ERDR Characteristics'!$J$9)</f>
        <v>-0.001</v>
      </c>
      <c r="G106" s="73">
        <f>IF(G105=1,-('ERDR Characteristics'!$J$10+'Parameters'!$B$17),'ERDR Characteristics'!$J$10)</f>
        <v>0.1692169896</v>
      </c>
      <c r="H106" s="73">
        <f>IF(H105=1,-('ERDR Characteristics'!$J$11+'Parameters'!$B$17),'ERDR Characteristics'!$J$11)</f>
        <v>0.1252961741</v>
      </c>
      <c r="J106" s="101" t="inlineStr">
        <is>
          <t xml:space="preserve"/>
        </is>
      </c>
      <c r="K106" s="101" t="inlineStr">
        <is>
          <t xml:space="preserve"/>
        </is>
      </c>
    </row>
    <row r="107">
      <c r="A107" s="63" t="inlineStr">
        <is>
          <t xml:space="preserve">In D after the iteration</t>
        </is>
      </c>
      <c r="B107" s="76">
        <f>1-B104</f>
        <v>1</v>
      </c>
      <c r="C107" s="76">
        <f>1-C104</f>
        <v>1</v>
      </c>
      <c r="D107" s="76">
        <f>1-D104</f>
        <v>0</v>
      </c>
      <c r="E107" s="76">
        <f>1-E104</f>
        <v>0</v>
      </c>
      <c r="F107" s="76">
        <f>1-F104</f>
        <v>1</v>
      </c>
      <c r="G107" s="76">
        <f>1-G104</f>
        <v>0</v>
      </c>
      <c r="H107" s="76">
        <f>1-H104</f>
        <v>1</v>
      </c>
      <c r="J107" s="101" t="inlineStr">
        <is>
          <t xml:space="preserve"/>
        </is>
      </c>
      <c r="K107" s="101" t="inlineStr">
        <is>
          <t xml:space="preserve"/>
        </is>
      </c>
    </row>
    <row r="108"/>
    <row r="109">
      <c r="A109" s="59" t="str">
        <f>"Iteration 5  ·  "&amp;IF($K$113=0,"queue empty → Step 6 (stop)","Step 3 selects "&amp;$K$114&amp;"  ·  L = "&amp;$K$117&amp;"  ·  "&amp;$K$119)</f>
        <v>Iteration 5  ·  Step 3 selects S₆  ·  L = {S₃}  ·  |L| = 1 → Sᵢ moves to D</v>
      </c>
      <c r="B109" s="59"/>
      <c r="C109" s="59"/>
      <c r="D109" s="59"/>
      <c r="E109" s="59"/>
      <c r="F109" s="59"/>
      <c r="G109" s="59"/>
      <c r="H109" s="59"/>
      <c r="I109" s="59"/>
      <c r="J109" s="59"/>
      <c r="K109" s="59"/>
    </row>
    <row r="110">
      <c r="A110" s="61" t="inlineStr">
        <is>
          <t xml:space="preserve">Row</t>
        </is>
      </c>
      <c r="B110" s="60" t="inlineStr">
        <is>
          <t xml:space="preserve">S₁</t>
        </is>
      </c>
      <c r="C110" s="60" t="inlineStr">
        <is>
          <t xml:space="preserve">S₂</t>
        </is>
      </c>
      <c r="D110" s="60" t="inlineStr">
        <is>
          <t xml:space="preserve">S₃</t>
        </is>
      </c>
      <c r="E110" s="60" t="inlineStr">
        <is>
          <t xml:space="preserve">S₄</t>
        </is>
      </c>
      <c r="F110" s="60" t="inlineStr">
        <is>
          <t xml:space="preserve">S₅</t>
        </is>
      </c>
      <c r="G110" s="60" t="inlineStr">
        <is>
          <t xml:space="preserve">S₆</t>
        </is>
      </c>
      <c r="H110" s="60" t="inlineStr">
        <is>
          <t xml:space="preserve">S₇</t>
        </is>
      </c>
      <c r="J110" s="61" t="inlineStr">
        <is>
          <t xml:space="preserve">Iteration summary</t>
        </is>
      </c>
      <c r="K110" s="61" t="inlineStr">
        <is>
          <t xml:space="preserve">Value</t>
        </is>
      </c>
    </row>
    <row r="111">
      <c r="A111" s="63" t="inlineStr">
        <is>
          <t xml:space="preserve">Class</t>
        </is>
      </c>
      <c r="B111" s="68">
        <f>'Dataset'!$P$5</f>
        <v>2</v>
      </c>
      <c r="C111" s="68">
        <f>'Dataset'!$P$6</f>
        <v>2</v>
      </c>
      <c r="D111" s="68">
        <f>'Dataset'!$P$7</f>
        <v>1</v>
      </c>
      <c r="E111" s="68">
        <f>'Dataset'!$P$8</f>
        <v>2</v>
      </c>
      <c r="F111" s="68">
        <f>'Dataset'!$P$9</f>
        <v>2</v>
      </c>
      <c r="G111" s="68">
        <f>'Dataset'!$P$10</f>
        <v>1</v>
      </c>
      <c r="H111" s="68">
        <f>'Dataset'!$P$11</f>
        <v>1</v>
      </c>
      <c r="J111" s="82" t="inlineStr">
        <is>
          <t xml:space="preserve">Queue length (Step 2)</t>
        </is>
      </c>
      <c r="K111" s="85">
        <f>SUM(B115:H115)</f>
        <v>2</v>
      </c>
    </row>
    <row r="112">
      <c r="A112" s="63" t="inlineStr">
        <is>
          <t xml:space="preserve">In F before the iteration (1 = in the working set)</t>
        </is>
      </c>
      <c r="B112" s="76">
        <f>B104</f>
        <v>0</v>
      </c>
      <c r="C112" s="76">
        <f>C104</f>
        <v>0</v>
      </c>
      <c r="D112" s="76">
        <f>D104</f>
        <v>1</v>
      </c>
      <c r="E112" s="76">
        <f>E104</f>
        <v>1</v>
      </c>
      <c r="F112" s="76">
        <f>F104</f>
        <v>0</v>
      </c>
      <c r="G112" s="76">
        <f>G104</f>
        <v>1</v>
      </c>
      <c r="H112" s="76">
        <f>H104</f>
        <v>0</v>
      </c>
      <c r="J112" s="82" t="inlineStr">
        <is>
          <t xml:space="preserve">Smallest queue key</t>
        </is>
      </c>
      <c r="K112" s="85">
        <f>MIN(B116:H116)</f>
        <v>6</v>
      </c>
    </row>
    <row r="113">
      <c r="A113" s="63" t="inlineStr">
        <is>
          <t xml:space="preserve">Processed before (blocked: d &lt; 0)</t>
        </is>
      </c>
      <c r="B113" s="76">
        <f>B105</f>
        <v>1</v>
      </c>
      <c r="C113" s="76">
        <f>C105</f>
        <v>1</v>
      </c>
      <c r="D113" s="76">
        <f>D105</f>
        <v>1</v>
      </c>
      <c r="E113" s="76">
        <f>E105</f>
        <v>0</v>
      </c>
      <c r="F113" s="76">
        <f>F105</f>
        <v>1</v>
      </c>
      <c r="G113" s="76">
        <f>G105</f>
        <v>0</v>
      </c>
      <c r="H113" s="76">
        <f>H105</f>
        <v>0</v>
      </c>
      <c r="J113" s="82" t="inlineStr">
        <is>
          <t xml:space="preserve">Selected index i (0 = queue empty)</t>
        </is>
      </c>
      <c r="K113" s="85">
        <f>IF(K112=99,0,MATCH(K112,B116:H116,0))</f>
        <v>6</v>
      </c>
    </row>
    <row r="114">
      <c r="A114" s="63" t="inlineStr">
        <is>
          <t xml:space="preserve">g before the iteration</t>
        </is>
      </c>
      <c r="B114" s="80">
        <f>B101</f>
        <v>1</v>
      </c>
      <c r="C114" s="80">
        <f>C101</f>
        <v>2</v>
      </c>
      <c r="D114" s="80">
        <f>D101</f>
        <v>2</v>
      </c>
      <c r="E114" s="80">
        <f>E101</f>
        <v>1</v>
      </c>
      <c r="F114" s="80">
        <f>F101</f>
        <v>1</v>
      </c>
      <c r="G114" s="80">
        <f>G101</f>
        <v>1</v>
      </c>
      <c r="H114" s="80">
        <f>H101</f>
        <v>1</v>
      </c>
      <c r="J114" s="82" t="inlineStr">
        <is>
          <t xml:space="preserve">Step 3 · selected Sᵢ</t>
        </is>
      </c>
      <c r="K114" s="85" t="str">
        <f>IF(K113=0,"— (queue empty → Step 6)",INDEX(B110:H110,K113))</f>
        <v>S₆</v>
      </c>
    </row>
    <row r="115">
      <c r="A115" s="63" t="inlineStr">
        <is>
          <t xml:space="preserve">Step 2 · in the queue: in F and not processed</t>
        </is>
      </c>
      <c r="B115" s="76">
        <f>IF(AND(B112=1,B113=0),1,0)</f>
        <v>0</v>
      </c>
      <c r="C115" s="76">
        <f>IF(AND(C112=1,C113=0),1,0)</f>
        <v>0</v>
      </c>
      <c r="D115" s="76">
        <f>IF(AND(D112=1,D113=0),1,0)</f>
        <v>0</v>
      </c>
      <c r="E115" s="76">
        <f>IF(AND(E112=1,E113=0),1,0)</f>
        <v>1</v>
      </c>
      <c r="F115" s="76">
        <f>IF(AND(F112=1,F113=0),1,0)</f>
        <v>0</v>
      </c>
      <c r="G115" s="76">
        <f>IF(AND(G112=1,G113=0),1,0)</f>
        <v>1</v>
      </c>
      <c r="H115" s="76">
        <f>IF(AND(H112=1,H113=0),1,0)</f>
        <v>0</v>
      </c>
      <c r="J115" s="82" t="inlineStr">
        <is>
          <t xml:space="preserve">d(Sᵢ)</t>
        </is>
      </c>
      <c r="K115" s="96">
        <f>IF(K113=0,"—",INDEX('ERDR Characteristics'!$J$5:$J$11,K113))</f>
        <v>0.1692169896</v>
      </c>
    </row>
    <row r="116">
      <c r="A116" s="63" t="inlineStr">
        <is>
          <t xml:space="preserve">Step 2 · queue key = priority position (99 = not in the queue)</t>
        </is>
      </c>
      <c r="B116" s="76">
        <f>IF(B115=1,'ERDR Characteristics'!$K$5,99)</f>
        <v>99</v>
      </c>
      <c r="C116" s="76">
        <f>IF(C115=1,'ERDR Characteristics'!$K$6,99)</f>
        <v>99</v>
      </c>
      <c r="D116" s="76">
        <f>IF(D115=1,'ERDR Characteristics'!$K$7,99)</f>
        <v>99</v>
      </c>
      <c r="E116" s="76">
        <f>IF(E115=1,'ERDR Characteristics'!$K$8,99)</f>
        <v>7</v>
      </c>
      <c r="F116" s="76">
        <f>IF(F115=1,'ERDR Characteristics'!$K$9,99)</f>
        <v>99</v>
      </c>
      <c r="G116" s="76">
        <f>IF(G115=1,'ERDR Characteristics'!$K$10,99)</f>
        <v>6</v>
      </c>
      <c r="H116" s="76">
        <f>IF(H115=1,'ERDR Characteristics'!$K$11,99)</f>
        <v>99</v>
      </c>
      <c r="J116" s="82" t="inlineStr">
        <is>
          <t xml:space="preserve">r(Sᵢ)</t>
        </is>
      </c>
      <c r="K116" s="96">
        <f>IF(K113=0,"—",INDEX('ERDR Characteristics'!$D$5:$D$11,K113))</f>
        <v>3.7071187508</v>
      </c>
    </row>
    <row r="117">
      <c r="A117" s="63" t="inlineStr">
        <is>
          <t xml:space="preserve">Step 3 · selected Sᵢ (smallest key)</t>
        </is>
      </c>
      <c r="B117" s="77">
        <f>IF($K$113=1,1,0)</f>
        <v>0</v>
      </c>
      <c r="C117" s="77">
        <f>IF($K$113=2,1,0)</f>
        <v>0</v>
      </c>
      <c r="D117" s="77">
        <f>IF($K$113=3,1,0)</f>
        <v>0</v>
      </c>
      <c r="E117" s="77">
        <f>IF($K$113=4,1,0)</f>
        <v>0</v>
      </c>
      <c r="F117" s="77">
        <f>IF($K$113=5,1,0)</f>
        <v>0</v>
      </c>
      <c r="G117" s="77">
        <f>IF($K$113=6,1,0)</f>
        <v>1</v>
      </c>
      <c r="H117" s="77">
        <f>IF($K$113=7,1,0)</f>
        <v>0</v>
      </c>
      <c r="J117" s="82" t="inlineStr">
        <is>
          <t xml:space="preserve">Step 4 · L</t>
        </is>
      </c>
      <c r="K117" s="85" t="str">
        <f>IF(K118=0,"∅","{"&amp;MID(IF(B124=1,", "&amp;B$110,"")&amp;IF(C124=1,", "&amp;C$110,"")&amp;IF(D124=1,", "&amp;D$110,"")&amp;IF(E124=1,", "&amp;E$110,"")&amp;IF(F124=1,", "&amp;F$110,"")&amp;IF(G124=1,", "&amp;G$110,"")&amp;IF(H124=1,", "&amp;H$110,""),3,200)&amp;"}")</f>
        <v>{S₃}</v>
      </c>
    </row>
    <row r="118">
      <c r="A118" s="63" t="inlineStr">
        <is>
          <t xml:space="preserve">Same class as Sᵢ</t>
        </is>
      </c>
      <c r="B118" s="76">
        <f>IF($K$113=0,0,IF(B111=INDEX($B$111:$H$111,$K$113),1,0))</f>
        <v>0</v>
      </c>
      <c r="C118" s="76">
        <f>IF($K$113=0,0,IF(C111=INDEX($B$111:$H$111,$K$113),1,0))</f>
        <v>0</v>
      </c>
      <c r="D118" s="76">
        <f>IF($K$113=0,0,IF(D111=INDEX($B$111:$H$111,$K$113),1,0))</f>
        <v>1</v>
      </c>
      <c r="E118" s="76">
        <f>IF($K$113=0,0,IF(E111=INDEX($B$111:$H$111,$K$113),1,0))</f>
        <v>0</v>
      </c>
      <c r="F118" s="76">
        <f>IF($K$113=0,0,IF(F111=INDEX($B$111:$H$111,$K$113),1,0))</f>
        <v>0</v>
      </c>
      <c r="G118" s="76">
        <f>IF($K$113=0,0,IF(G111=INDEX($B$111:$H$111,$K$113),1,0))</f>
        <v>1</v>
      </c>
      <c r="H118" s="76">
        <f>IF($K$113=0,0,IF(H111=INDEX($B$111:$H$111,$K$113),1,0))</f>
        <v>1</v>
      </c>
      <c r="J118" s="82" t="inlineStr">
        <is>
          <t xml:space="preserve">|L|</t>
        </is>
      </c>
      <c r="K118" s="85">
        <f>SUM(B124:H124)</f>
        <v>1</v>
      </c>
    </row>
    <row r="119">
      <c r="A119" s="63" t="inlineStr">
        <is>
          <t xml:space="preserve">ρ(Sⱼ, Sᵢ)</t>
        </is>
      </c>
      <c r="B119" s="73">
        <f>IF($K$113=0,"—",INDEX('Zhuravlev Distances'!$B$5:$H$5,$K$113))</f>
        <v>6.8015669516</v>
      </c>
      <c r="C119" s="73">
        <f>IF($K$113=0,"—",INDEX('Zhuravlev Distances'!$B$6:$H$6,$K$113))</f>
        <v>8.742951174</v>
      </c>
      <c r="D119" s="73">
        <f>IF($K$113=0,"—",INDEX('Zhuravlev Distances'!$B$7:$H$7,$K$113))</f>
        <v>5.2172783643</v>
      </c>
      <c r="E119" s="73">
        <f>IF($K$113=0,"—",INDEX('Zhuravlev Distances'!$B$8:$H$8,$K$113))</f>
        <v>3.7071187508</v>
      </c>
      <c r="F119" s="73">
        <f>IF($K$113=0,"—",INDEX('Zhuravlev Distances'!$B$9:$H$9,$K$113))</f>
        <v>9.0234774016</v>
      </c>
      <c r="G119" s="73">
        <f>IF($K$113=0,"—",INDEX('Zhuravlev Distances'!$B$10:$H$10,$K$113))</f>
        <v>0</v>
      </c>
      <c r="H119" s="73">
        <f>IF($K$113=0,"—",INDEX('Zhuravlev Distances'!$B$11:$H$11,$K$113))</f>
        <v>5.0314314939</v>
      </c>
      <c r="J119" s="82" t="inlineStr">
        <is>
          <t xml:space="preserve">Decision</t>
        </is>
      </c>
      <c r="K119" s="85" t="str">
        <f>IF(K113=0,"Step 6 · stop",IF(K118=0,"|L| = 0 → Sᵢ is only blocked and stays in F",IF(K118=1,"|L| = 1 → Sᵢ moves to D","|L| &gt; 1 → Step 5 corrects g")))</f>
        <v>|L| = 1 → Sᵢ moves to D</v>
      </c>
    </row>
    <row r="120">
      <c r="A120" s="63" t="inlineStr">
        <is>
          <t xml:space="preserve">r(Sⱼ)</t>
        </is>
      </c>
      <c r="B120" s="73">
        <f>'ERDR Characteristics'!$D$5</f>
        <v>5.60708061</v>
      </c>
      <c r="C120" s="73">
        <f>'ERDR Characteristics'!$D$6</f>
        <v>7.4699698919</v>
      </c>
      <c r="D120" s="73">
        <f>'ERDR Characteristics'!$D$7</f>
        <v>5.60708061</v>
      </c>
      <c r="E120" s="73">
        <f>'ERDR Characteristics'!$D$8</f>
        <v>3.7071187508</v>
      </c>
      <c r="F120" s="73">
        <f>'ERDR Characteristics'!$D$9</f>
        <v>7.1117040273</v>
      </c>
      <c r="G120" s="73">
        <f>'ERDR Characteristics'!$D$10</f>
        <v>3.7071187508</v>
      </c>
      <c r="H120" s="73">
        <f>'ERDR Characteristics'!$D$11</f>
        <v>3.9109813746</v>
      </c>
      <c r="J120" s="82" t="inlineStr">
        <is>
          <t xml:space="preserve">Step 5 · counters g: before → after</t>
        </is>
      </c>
      <c r="K120" s="85" t="str">
        <f>IF(SUM(B126:H126)=0,"—",MID(IF(B126=1,", "&amp;B$110&amp;": "&amp;B114&amp;" → "&amp;B127,"")&amp;IF(C126=1,", "&amp;C$110&amp;": "&amp;C114&amp;" → "&amp;C127,"")&amp;IF(D126=1,", "&amp;D$110&amp;": "&amp;D114&amp;" → "&amp;D127,"")&amp;IF(E126=1,", "&amp;E$110&amp;": "&amp;E114&amp;" → "&amp;E127,"")&amp;IF(F126=1,", "&amp;F$110&amp;": "&amp;F114&amp;" → "&amp;F127,"")&amp;IF(G126=1,", "&amp;G$110&amp;": "&amp;G114&amp;" → "&amp;G127,"")&amp;IF(H126=1,", "&amp;H$110&amp;": "&amp;H114&amp;" → "&amp;H127,""),3,300))</f>
        <v>—</v>
      </c>
    </row>
    <row r="121">
      <c r="A121" s="63" t="inlineStr">
        <is>
          <t xml:space="preserve">Sᵢ inside the sphere of Sⱼ:  ρ(Sⱼ, Sᵢ) &lt; r(Sⱼ)</t>
        </is>
      </c>
      <c r="B121" s="76">
        <f>IF($K$113=0,0,IF(B119&lt;B120,1,0))</f>
        <v>0</v>
      </c>
      <c r="C121" s="76">
        <f>IF($K$113=0,0,IF(C119&lt;C120,1,0))</f>
        <v>0</v>
      </c>
      <c r="D121" s="76">
        <f>IF($K$113=0,0,IF(D119&lt;D120,1,0))</f>
        <v>1</v>
      </c>
      <c r="E121" s="76">
        <f>IF($K$113=0,0,IF(E119&lt;E120,1,0))</f>
        <v>0</v>
      </c>
      <c r="F121" s="76">
        <f>IF($K$113=0,0,IF(F119&lt;F120,1,0))</f>
        <v>0</v>
      </c>
      <c r="G121" s="76">
        <f>IF($K$113=0,0,IF(G119&lt;G120,1,0))</f>
        <v>1</v>
      </c>
      <c r="H121" s="76">
        <f>IF($K$113=0,0,IF(H119&lt;H120,1,0))</f>
        <v>0</v>
      </c>
      <c r="J121" s="82" t="inlineStr">
        <is>
          <t xml:space="preserve">Moved to D</t>
        </is>
      </c>
      <c r="K121" s="85" t="str">
        <f>IF(SUM(B129:H129)=0,"—",MID(IF(B129=1,", "&amp;B$110&amp;IF(B125=1," (Step 4)"," (Step 5)"),"")&amp;IF(C129=1,", "&amp;C$110&amp;IF(C125=1," (Step 4)"," (Step 5)"),"")&amp;IF(D129=1,", "&amp;D$110&amp;IF(D125=1," (Step 4)"," (Step 5)"),"")&amp;IF(E129=1,", "&amp;E$110&amp;IF(E125=1," (Step 4)"," (Step 5)"),"")&amp;IF(F129=1,", "&amp;F$110&amp;IF(F125=1," (Step 4)"," (Step 5)"),"")&amp;IF(G129=1,", "&amp;G$110&amp;IF(G125=1," (Step 4)"," (Step 5)"),"")&amp;IF(H129=1,", "&amp;H$110&amp;IF(H125=1," (Step 4)"," (Step 5)"),""),3,300))</f>
        <v>S₆ (Step 4)</v>
      </c>
    </row>
    <row r="122">
      <c r="A122" s="63" t="inlineStr">
        <is>
          <t xml:space="preserve">g(Sⱼ) &gt; 1</t>
        </is>
      </c>
      <c r="B122" s="76">
        <f>IF(B114&gt;1,1,0)</f>
        <v>0</v>
      </c>
      <c r="C122" s="76">
        <f>IF(C114&gt;1,1,0)</f>
        <v>1</v>
      </c>
      <c r="D122" s="76">
        <f>IF(D114&gt;1,1,0)</f>
        <v>1</v>
      </c>
      <c r="E122" s="76">
        <f>IF(E114&gt;1,1,0)</f>
        <v>0</v>
      </c>
      <c r="F122" s="76">
        <f>IF(F114&gt;1,1,0)</f>
        <v>0</v>
      </c>
      <c r="G122" s="76">
        <f>IF(G114&gt;1,1,0)</f>
        <v>0</v>
      </c>
      <c r="H122" s="76">
        <f>IF(H114&gt;1,1,0)</f>
        <v>0</v>
      </c>
      <c r="J122" s="82" t="inlineStr">
        <is>
          <t xml:space="preserve">|F| after</t>
        </is>
      </c>
      <c r="K122" s="85">
        <f>SUM(B130:H130)</f>
        <v>2</v>
      </c>
    </row>
    <row r="123">
      <c r="A123" s="63" t="inlineStr">
        <is>
          <t xml:space="preserve">Allowed by readings A (Sᵢ itself) and B (processed Sⱼ)</t>
        </is>
      </c>
      <c r="B123" s="76">
        <f>IF($K$113=0,0,IF($K$113=1,IF('Parameters'!$B$24=1,1,0),IF(OR('Parameters'!$B$25=1,B113=0),1,0)))</f>
        <v>1</v>
      </c>
      <c r="C123" s="76">
        <f>IF($K$113=0,0,IF($K$113=2,IF('Parameters'!$B$24=1,1,0),IF(OR('Parameters'!$B$25=1,C113=0),1,0)))</f>
        <v>1</v>
      </c>
      <c r="D123" s="76">
        <f>IF($K$113=0,0,IF($K$113=3,IF('Parameters'!$B$24=1,1,0),IF(OR('Parameters'!$B$25=1,D113=0),1,0)))</f>
        <v>1</v>
      </c>
      <c r="E123" s="76">
        <f>IF($K$113=0,0,IF($K$113=4,IF('Parameters'!$B$24=1,1,0),IF(OR('Parameters'!$B$25=1,E113=0),1,0)))</f>
        <v>1</v>
      </c>
      <c r="F123" s="76">
        <f>IF($K$113=0,0,IF($K$113=5,IF('Parameters'!$B$24=1,1,0),IF(OR('Parameters'!$B$25=1,F113=0),1,0)))</f>
        <v>1</v>
      </c>
      <c r="G123" s="76">
        <f>IF($K$113=0,0,IF($K$113=6,IF('Parameters'!$B$24=1,1,0),IF(OR('Parameters'!$B$25=1,G113=0),1,0)))</f>
        <v>1</v>
      </c>
      <c r="H123" s="76">
        <f>IF($K$113=0,0,IF($K$113=7,IF('Parameters'!$B$24=1,1,0),IF(OR('Parameters'!$B$25=1,H113=0),1,0)))</f>
        <v>1</v>
      </c>
      <c r="J123" s="82" t="inlineStr">
        <is>
          <t xml:space="preserve">|D| after</t>
        </is>
      </c>
      <c r="K123" s="85">
        <f>SUM(B133:H133)</f>
        <v>5</v>
      </c>
    </row>
    <row r="124">
      <c r="A124" s="63" t="inlineStr">
        <is>
          <t xml:space="preserve">Step 4 · Sⱼ ∈ L</t>
        </is>
      </c>
      <c r="B124" s="77">
        <f>B112*B118*B121*B122*B123</f>
        <v>0</v>
      </c>
      <c r="C124" s="77">
        <f>C112*C118*C121*C122*C123</f>
        <v>0</v>
      </c>
      <c r="D124" s="77">
        <f>D112*D118*D121*D122*D123</f>
        <v>1</v>
      </c>
      <c r="E124" s="77">
        <f>E112*E118*E121*E122*E123</f>
        <v>0</v>
      </c>
      <c r="F124" s="77">
        <f>F112*F118*F121*F122*F123</f>
        <v>0</v>
      </c>
      <c r="G124" s="77">
        <f>G112*G118*G121*G122*G123</f>
        <v>0</v>
      </c>
      <c r="H124" s="77">
        <f>H112*H118*H121*H122*H123</f>
        <v>0</v>
      </c>
      <c r="J124" s="82" t="inlineStr">
        <is>
          <t xml:space="preserve">Objects left in the queue</t>
        </is>
      </c>
      <c r="K124" s="85">
        <f>SUMPRODUCT(B130:H130*(1-B131:H131))</f>
        <v>1</v>
      </c>
    </row>
    <row r="125">
      <c r="A125" s="63" t="inlineStr">
        <is>
          <t xml:space="preserve">Step 4 · |L| = 1 → Sᵢ moves to D</t>
        </is>
      </c>
      <c r="B125" s="76">
        <f>IF(AND(B117=1,$K$118=1),1,0)</f>
        <v>0</v>
      </c>
      <c r="C125" s="76">
        <f>IF(AND(C117=1,$K$118=1),1,0)</f>
        <v>0</v>
      </c>
      <c r="D125" s="76">
        <f>IF(AND(D117=1,$K$118=1),1,0)</f>
        <v>0</v>
      </c>
      <c r="E125" s="76">
        <f>IF(AND(E117=1,$K$118=1),1,0)</f>
        <v>0</v>
      </c>
      <c r="F125" s="76">
        <f>IF(AND(F117=1,$K$118=1),1,0)</f>
        <v>0</v>
      </c>
      <c r="G125" s="76">
        <f>IF(AND(G117=1,$K$118=1),1,0)</f>
        <v>1</v>
      </c>
      <c r="H125" s="76">
        <f>IF(AND(H117=1,$K$118=1),1,0)</f>
        <v>0</v>
      </c>
      <c r="J125" s="82" t="inlineStr">
        <is>
          <t xml:space="preserve">Step 4 · Sᵢ blocked: d(Sᵢ) ← −(d + ε)</t>
        </is>
      </c>
      <c r="K125" s="96">
        <f>IF(K113=0,"—",-(INDEX('ERDR Characteristics'!$J$5:$J$11,K113)+'Parameters'!$B$17))</f>
        <v>-0.1702169896</v>
      </c>
    </row>
    <row r="126">
      <c r="A126" s="63" t="inlineStr">
        <is>
          <t xml:space="preserve">Step 5 · counter decreased (|L| &gt; 1)</t>
        </is>
      </c>
      <c r="B126" s="76">
        <f>IF($K$118&gt;1,B124,0)</f>
        <v>0</v>
      </c>
      <c r="C126" s="76">
        <f>IF($K$118&gt;1,C124*IF('Parameters'!$B$26=1,1,IF(SUMPRODUCT($B$124:B$124*($B$114:B$114=2))=0,1,0)),0)</f>
        <v>0</v>
      </c>
      <c r="D126" s="76">
        <f>IF($K$118&gt;1,D124*IF('Parameters'!$B$26=1,1,IF(SUMPRODUCT($B$124:C$124*($B$114:C$114=2))=0,1,0)),0)</f>
        <v>0</v>
      </c>
      <c r="E126" s="76">
        <f>IF($K$118&gt;1,E124*IF('Parameters'!$B$26=1,1,IF(SUMPRODUCT($B$124:D$124*($B$114:D$114=2))=0,1,0)),0)</f>
        <v>0</v>
      </c>
      <c r="F126" s="76">
        <f>IF($K$118&gt;1,F124*IF('Parameters'!$B$26=1,1,IF(SUMPRODUCT($B$124:E$124*($B$114:E$114=2))=0,1,0)),0)</f>
        <v>0</v>
      </c>
      <c r="G126" s="76">
        <f>IF($K$118&gt;1,G124*IF('Parameters'!$B$26=1,1,IF(SUMPRODUCT($B$124:F$124*($B$114:F$114=2))=0,1,0)),0)</f>
        <v>0</v>
      </c>
      <c r="H126" s="76">
        <f>IF($K$118&gt;1,H124*IF('Parameters'!$B$26=1,1,IF(SUMPRODUCT($B$124:G$124*($B$114:G$114=2))=0,1,0)),0)</f>
        <v>0</v>
      </c>
      <c r="J126" s="101" t="inlineStr">
        <is>
          <t xml:space="preserve"/>
        </is>
      </c>
      <c r="K126" s="101" t="inlineStr">
        <is>
          <t xml:space="preserve"/>
        </is>
      </c>
    </row>
    <row r="127">
      <c r="A127" s="63" t="inlineStr">
        <is>
          <t xml:space="preserve">g after the iteration</t>
        </is>
      </c>
      <c r="B127" s="80">
        <f>B114-B126</f>
        <v>1</v>
      </c>
      <c r="C127" s="80">
        <f>C114-C126</f>
        <v>2</v>
      </c>
      <c r="D127" s="80">
        <f>D114-D126</f>
        <v>2</v>
      </c>
      <c r="E127" s="80">
        <f>E114-E126</f>
        <v>1</v>
      </c>
      <c r="F127" s="80">
        <f>F114-F126</f>
        <v>1</v>
      </c>
      <c r="G127" s="80">
        <f>G114-G126</f>
        <v>1</v>
      </c>
      <c r="H127" s="80">
        <f>H114-H126</f>
        <v>1</v>
      </c>
      <c r="J127" s="101" t="inlineStr">
        <is>
          <t xml:space="preserve"/>
        </is>
      </c>
      <c r="K127" s="101" t="inlineStr">
        <is>
          <t xml:space="preserve"/>
        </is>
      </c>
    </row>
    <row r="128">
      <c r="A128" s="63" t="inlineStr">
        <is>
          <t xml:space="preserve">Step 5 · g fell to 1 → Sⱼ moves to D</t>
        </is>
      </c>
      <c r="B128" s="76">
        <f>IF(AND(B126=1,B127=1),1,0)</f>
        <v>0</v>
      </c>
      <c r="C128" s="76">
        <f>IF(AND(C126=1,C127=1),1,0)</f>
        <v>0</v>
      </c>
      <c r="D128" s="76">
        <f>IF(AND(D126=1,D127=1),1,0)</f>
        <v>0</v>
      </c>
      <c r="E128" s="76">
        <f>IF(AND(E126=1,E127=1),1,0)</f>
        <v>0</v>
      </c>
      <c r="F128" s="76">
        <f>IF(AND(F126=1,F127=1),1,0)</f>
        <v>0</v>
      </c>
      <c r="G128" s="76">
        <f>IF(AND(G126=1,G127=1),1,0)</f>
        <v>0</v>
      </c>
      <c r="H128" s="76">
        <f>IF(AND(H126=1,H127=1),1,0)</f>
        <v>0</v>
      </c>
      <c r="J128" s="101" t="inlineStr">
        <is>
          <t xml:space="preserve"/>
        </is>
      </c>
      <c r="K128" s="101" t="inlineStr">
        <is>
          <t xml:space="preserve"/>
        </is>
      </c>
    </row>
    <row r="129">
      <c r="A129" s="63" t="inlineStr">
        <is>
          <t xml:space="preserve">Moves to D in this iteration</t>
        </is>
      </c>
      <c r="B129" s="77">
        <f>B125+B128</f>
        <v>0</v>
      </c>
      <c r="C129" s="77">
        <f>C125+C128</f>
        <v>0</v>
      </c>
      <c r="D129" s="77">
        <f>D125+D128</f>
        <v>0</v>
      </c>
      <c r="E129" s="77">
        <f>E125+E128</f>
        <v>0</v>
      </c>
      <c r="F129" s="77">
        <f>F125+F128</f>
        <v>0</v>
      </c>
      <c r="G129" s="77">
        <f>G125+G128</f>
        <v>1</v>
      </c>
      <c r="H129" s="77">
        <f>H125+H128</f>
        <v>0</v>
      </c>
      <c r="J129" s="101" t="inlineStr">
        <is>
          <t xml:space="preserve"/>
        </is>
      </c>
      <c r="K129" s="101" t="inlineStr">
        <is>
          <t xml:space="preserve"/>
        </is>
      </c>
    </row>
    <row r="130">
      <c r="A130" s="63" t="inlineStr">
        <is>
          <t xml:space="preserve">In F after the iteration</t>
        </is>
      </c>
      <c r="B130" s="76">
        <f>B112-B129</f>
        <v>0</v>
      </c>
      <c r="C130" s="76">
        <f>C112-C129</f>
        <v>0</v>
      </c>
      <c r="D130" s="76">
        <f>D112-D129</f>
        <v>1</v>
      </c>
      <c r="E130" s="76">
        <f>E112-E129</f>
        <v>1</v>
      </c>
      <c r="F130" s="76">
        <f>F112-F129</f>
        <v>0</v>
      </c>
      <c r="G130" s="76">
        <f>G112-G129</f>
        <v>0</v>
      </c>
      <c r="H130" s="76">
        <f>H112-H129</f>
        <v>0</v>
      </c>
      <c r="J130" s="101" t="inlineStr">
        <is>
          <t xml:space="preserve"/>
        </is>
      </c>
      <c r="K130" s="101" t="inlineStr">
        <is>
          <t xml:space="preserve"/>
        </is>
      </c>
    </row>
    <row r="131">
      <c r="A131" s="63" t="inlineStr">
        <is>
          <t xml:space="preserve">Processed after the iteration</t>
        </is>
      </c>
      <c r="B131" s="76">
        <f>MIN(1,B113+B117)</f>
        <v>1</v>
      </c>
      <c r="C131" s="76">
        <f>MIN(1,C113+C117)</f>
        <v>1</v>
      </c>
      <c r="D131" s="76">
        <f>MIN(1,D113+D117)</f>
        <v>1</v>
      </c>
      <c r="E131" s="76">
        <f>MIN(1,E113+E117)</f>
        <v>0</v>
      </c>
      <c r="F131" s="76">
        <f>MIN(1,F113+F117)</f>
        <v>1</v>
      </c>
      <c r="G131" s="76">
        <f>MIN(1,G113+G117)</f>
        <v>1</v>
      </c>
      <c r="H131" s="76">
        <f>MIN(1,H113+H117)</f>
        <v>0</v>
      </c>
      <c r="J131" s="101" t="inlineStr">
        <is>
          <t xml:space="preserve"/>
        </is>
      </c>
      <c r="K131" s="101" t="inlineStr">
        <is>
          <t xml:space="preserve"/>
        </is>
      </c>
    </row>
    <row r="132">
      <c r="A132" s="63" t="inlineStr">
        <is>
          <t xml:space="preserve">d after (article: −(d + ε) once processed)</t>
        </is>
      </c>
      <c r="B132" s="73">
        <f>IF(B131=1,-('ERDR Characteristics'!$J$5+'Parameters'!$B$17),'ERDR Characteristics'!$J$5)</f>
        <v>-0.001</v>
      </c>
      <c r="C132" s="73">
        <f>IF(C131=1,-('ERDR Characteristics'!$J$6+'Parameters'!$B$17),'ERDR Characteristics'!$J$6)</f>
        <v>-0.0805428388</v>
      </c>
      <c r="D132" s="73">
        <f>IF(D131=1,-('ERDR Characteristics'!$J$7+'Parameters'!$B$17),'ERDR Characteristics'!$J$7)</f>
        <v>-0.001</v>
      </c>
      <c r="E132" s="73">
        <f>IF(E131=1,-('ERDR Characteristics'!$J$8+'Parameters'!$B$17),'ERDR Characteristics'!$J$8)</f>
        <v>0.2529498997</v>
      </c>
      <c r="F132" s="73">
        <f>IF(F131=1,-('ERDR Characteristics'!$J$9+'Parameters'!$B$17),'ERDR Characteristics'!$J$9)</f>
        <v>-0.001</v>
      </c>
      <c r="G132" s="73">
        <f>IF(G131=1,-('ERDR Characteristics'!$J$10+'Parameters'!$B$17),'ERDR Characteristics'!$J$10)</f>
        <v>-0.1702169896</v>
      </c>
      <c r="H132" s="73">
        <f>IF(H131=1,-('ERDR Characteristics'!$J$11+'Parameters'!$B$17),'ERDR Characteristics'!$J$11)</f>
        <v>0.1252961741</v>
      </c>
      <c r="J132" s="101" t="inlineStr">
        <is>
          <t xml:space="preserve"/>
        </is>
      </c>
      <c r="K132" s="101" t="inlineStr">
        <is>
          <t xml:space="preserve"/>
        </is>
      </c>
    </row>
    <row r="133">
      <c r="A133" s="63" t="inlineStr">
        <is>
          <t xml:space="preserve">In D after the iteration</t>
        </is>
      </c>
      <c r="B133" s="76">
        <f>1-B130</f>
        <v>1</v>
      </c>
      <c r="C133" s="76">
        <f>1-C130</f>
        <v>1</v>
      </c>
      <c r="D133" s="76">
        <f>1-D130</f>
        <v>0</v>
      </c>
      <c r="E133" s="76">
        <f>1-E130</f>
        <v>0</v>
      </c>
      <c r="F133" s="76">
        <f>1-F130</f>
        <v>1</v>
      </c>
      <c r="G133" s="76">
        <f>1-G130</f>
        <v>1</v>
      </c>
      <c r="H133" s="76">
        <f>1-H130</f>
        <v>1</v>
      </c>
      <c r="J133" s="101" t="inlineStr">
        <is>
          <t xml:space="preserve"/>
        </is>
      </c>
      <c r="K133" s="101" t="inlineStr">
        <is>
          <t xml:space="preserve"/>
        </is>
      </c>
    </row>
    <row r="134"/>
    <row r="135">
      <c r="A135" s="59" t="str">
        <f>"Iteration 6  ·  "&amp;IF($K$139=0,"queue empty → Step 6 (stop)","Step 3 selects "&amp;$K$140&amp;"  ·  L = "&amp;$K$143&amp;"  ·  "&amp;$K$145)</f>
        <v>Iteration 6  ·  Step 3 selects S₄  ·  L = ∅  ·  |L| = 0 → Sᵢ is only blocked and stays in F</v>
      </c>
      <c r="B135" s="59"/>
      <c r="C135" s="59"/>
      <c r="D135" s="59"/>
      <c r="E135" s="59"/>
      <c r="F135" s="59"/>
      <c r="G135" s="59"/>
      <c r="H135" s="59"/>
      <c r="I135" s="59"/>
      <c r="J135" s="59"/>
      <c r="K135" s="59"/>
    </row>
    <row r="136">
      <c r="A136" s="61" t="inlineStr">
        <is>
          <t xml:space="preserve">Row</t>
        </is>
      </c>
      <c r="B136" s="60" t="inlineStr">
        <is>
          <t xml:space="preserve">S₁</t>
        </is>
      </c>
      <c r="C136" s="60" t="inlineStr">
        <is>
          <t xml:space="preserve">S₂</t>
        </is>
      </c>
      <c r="D136" s="60" t="inlineStr">
        <is>
          <t xml:space="preserve">S₃</t>
        </is>
      </c>
      <c r="E136" s="60" t="inlineStr">
        <is>
          <t xml:space="preserve">S₄</t>
        </is>
      </c>
      <c r="F136" s="60" t="inlineStr">
        <is>
          <t xml:space="preserve">S₅</t>
        </is>
      </c>
      <c r="G136" s="60" t="inlineStr">
        <is>
          <t xml:space="preserve">S₆</t>
        </is>
      </c>
      <c r="H136" s="60" t="inlineStr">
        <is>
          <t xml:space="preserve">S₇</t>
        </is>
      </c>
      <c r="J136" s="61" t="inlineStr">
        <is>
          <t xml:space="preserve">Iteration summary</t>
        </is>
      </c>
      <c r="K136" s="61" t="inlineStr">
        <is>
          <t xml:space="preserve">Value</t>
        </is>
      </c>
    </row>
    <row r="137">
      <c r="A137" s="63" t="inlineStr">
        <is>
          <t xml:space="preserve">Class</t>
        </is>
      </c>
      <c r="B137" s="68">
        <f>'Dataset'!$P$5</f>
        <v>2</v>
      </c>
      <c r="C137" s="68">
        <f>'Dataset'!$P$6</f>
        <v>2</v>
      </c>
      <c r="D137" s="68">
        <f>'Dataset'!$P$7</f>
        <v>1</v>
      </c>
      <c r="E137" s="68">
        <f>'Dataset'!$P$8</f>
        <v>2</v>
      </c>
      <c r="F137" s="68">
        <f>'Dataset'!$P$9</f>
        <v>2</v>
      </c>
      <c r="G137" s="68">
        <f>'Dataset'!$P$10</f>
        <v>1</v>
      </c>
      <c r="H137" s="68">
        <f>'Dataset'!$P$11</f>
        <v>1</v>
      </c>
      <c r="J137" s="82" t="inlineStr">
        <is>
          <t xml:space="preserve">Queue length (Step 2)</t>
        </is>
      </c>
      <c r="K137" s="85">
        <f>SUM(B141:H141)</f>
        <v>1</v>
      </c>
    </row>
    <row r="138">
      <c r="A138" s="63" t="inlineStr">
        <is>
          <t xml:space="preserve">In F before the iteration (1 = in the working set)</t>
        </is>
      </c>
      <c r="B138" s="76">
        <f>B130</f>
        <v>0</v>
      </c>
      <c r="C138" s="76">
        <f>C130</f>
        <v>0</v>
      </c>
      <c r="D138" s="76">
        <f>D130</f>
        <v>1</v>
      </c>
      <c r="E138" s="76">
        <f>E130</f>
        <v>1</v>
      </c>
      <c r="F138" s="76">
        <f>F130</f>
        <v>0</v>
      </c>
      <c r="G138" s="76">
        <f>G130</f>
        <v>0</v>
      </c>
      <c r="H138" s="76">
        <f>H130</f>
        <v>0</v>
      </c>
      <c r="J138" s="82" t="inlineStr">
        <is>
          <t xml:space="preserve">Smallest queue key</t>
        </is>
      </c>
      <c r="K138" s="85">
        <f>MIN(B142:H142)</f>
        <v>7</v>
      </c>
    </row>
    <row r="139">
      <c r="A139" s="63" t="inlineStr">
        <is>
          <t xml:space="preserve">Processed before (blocked: d &lt; 0)</t>
        </is>
      </c>
      <c r="B139" s="76">
        <f>B131</f>
        <v>1</v>
      </c>
      <c r="C139" s="76">
        <f>C131</f>
        <v>1</v>
      </c>
      <c r="D139" s="76">
        <f>D131</f>
        <v>1</v>
      </c>
      <c r="E139" s="76">
        <f>E131</f>
        <v>0</v>
      </c>
      <c r="F139" s="76">
        <f>F131</f>
        <v>1</v>
      </c>
      <c r="G139" s="76">
        <f>G131</f>
        <v>1</v>
      </c>
      <c r="H139" s="76">
        <f>H131</f>
        <v>0</v>
      </c>
      <c r="J139" s="82" t="inlineStr">
        <is>
          <t xml:space="preserve">Selected index i (0 = queue empty)</t>
        </is>
      </c>
      <c r="K139" s="85">
        <f>IF(K138=99,0,MATCH(K138,B142:H142,0))</f>
        <v>4</v>
      </c>
    </row>
    <row r="140">
      <c r="A140" s="63" t="inlineStr">
        <is>
          <t xml:space="preserve">g before the iteration</t>
        </is>
      </c>
      <c r="B140" s="80">
        <f>B127</f>
        <v>1</v>
      </c>
      <c r="C140" s="80">
        <f>C127</f>
        <v>2</v>
      </c>
      <c r="D140" s="80">
        <f>D127</f>
        <v>2</v>
      </c>
      <c r="E140" s="80">
        <f>E127</f>
        <v>1</v>
      </c>
      <c r="F140" s="80">
        <f>F127</f>
        <v>1</v>
      </c>
      <c r="G140" s="80">
        <f>G127</f>
        <v>1</v>
      </c>
      <c r="H140" s="80">
        <f>H127</f>
        <v>1</v>
      </c>
      <c r="J140" s="82" t="inlineStr">
        <is>
          <t xml:space="preserve">Step 3 · selected Sᵢ</t>
        </is>
      </c>
      <c r="K140" s="85" t="str">
        <f>IF(K139=0,"— (queue empty → Step 6)",INDEX(B136:H136,K139))</f>
        <v>S₄</v>
      </c>
    </row>
    <row r="141">
      <c r="A141" s="63" t="inlineStr">
        <is>
          <t xml:space="preserve">Step 2 · in the queue: in F and not processed</t>
        </is>
      </c>
      <c r="B141" s="76">
        <f>IF(AND(B138=1,B139=0),1,0)</f>
        <v>0</v>
      </c>
      <c r="C141" s="76">
        <f>IF(AND(C138=1,C139=0),1,0)</f>
        <v>0</v>
      </c>
      <c r="D141" s="76">
        <f>IF(AND(D138=1,D139=0),1,0)</f>
        <v>0</v>
      </c>
      <c r="E141" s="76">
        <f>IF(AND(E138=1,E139=0),1,0)</f>
        <v>1</v>
      </c>
      <c r="F141" s="76">
        <f>IF(AND(F138=1,F139=0),1,0)</f>
        <v>0</v>
      </c>
      <c r="G141" s="76">
        <f>IF(AND(G138=1,G139=0),1,0)</f>
        <v>0</v>
      </c>
      <c r="H141" s="76">
        <f>IF(AND(H138=1,H139=0),1,0)</f>
        <v>0</v>
      </c>
      <c r="J141" s="82" t="inlineStr">
        <is>
          <t xml:space="preserve">d(Sᵢ)</t>
        </is>
      </c>
      <c r="K141" s="96">
        <f>IF(K139=0,"—",INDEX('ERDR Characteristics'!$J$5:$J$11,K139))</f>
        <v>0.2529498997</v>
      </c>
    </row>
    <row r="142">
      <c r="A142" s="63" t="inlineStr">
        <is>
          <t xml:space="preserve">Step 2 · queue key = priority position (99 = not in the queue)</t>
        </is>
      </c>
      <c r="B142" s="76">
        <f>IF(B141=1,'ERDR Characteristics'!$K$5,99)</f>
        <v>99</v>
      </c>
      <c r="C142" s="76">
        <f>IF(C141=1,'ERDR Characteristics'!$K$6,99)</f>
        <v>99</v>
      </c>
      <c r="D142" s="76">
        <f>IF(D141=1,'ERDR Characteristics'!$K$7,99)</f>
        <v>99</v>
      </c>
      <c r="E142" s="76">
        <f>IF(E141=1,'ERDR Characteristics'!$K$8,99)</f>
        <v>7</v>
      </c>
      <c r="F142" s="76">
        <f>IF(F141=1,'ERDR Characteristics'!$K$9,99)</f>
        <v>99</v>
      </c>
      <c r="G142" s="76">
        <f>IF(G141=1,'ERDR Characteristics'!$K$10,99)</f>
        <v>99</v>
      </c>
      <c r="H142" s="76">
        <f>IF(H141=1,'ERDR Characteristics'!$K$11,99)</f>
        <v>99</v>
      </c>
      <c r="J142" s="82" t="inlineStr">
        <is>
          <t xml:space="preserve">r(Sᵢ)</t>
        </is>
      </c>
      <c r="K142" s="96">
        <f>IF(K139=0,"—",INDEX('ERDR Characteristics'!$D$5:$D$11,K139))</f>
        <v>3.7071187508</v>
      </c>
    </row>
    <row r="143">
      <c r="A143" s="63" t="inlineStr">
        <is>
          <t xml:space="preserve">Step 3 · selected Sᵢ (smallest key)</t>
        </is>
      </c>
      <c r="B143" s="77">
        <f>IF($K$139=1,1,0)</f>
        <v>0</v>
      </c>
      <c r="C143" s="77">
        <f>IF($K$139=2,1,0)</f>
        <v>0</v>
      </c>
      <c r="D143" s="77">
        <f>IF($K$139=3,1,0)</f>
        <v>0</v>
      </c>
      <c r="E143" s="77">
        <f>IF($K$139=4,1,0)</f>
        <v>1</v>
      </c>
      <c r="F143" s="77">
        <f>IF($K$139=5,1,0)</f>
        <v>0</v>
      </c>
      <c r="G143" s="77">
        <f>IF($K$139=6,1,0)</f>
        <v>0</v>
      </c>
      <c r="H143" s="77">
        <f>IF($K$139=7,1,0)</f>
        <v>0</v>
      </c>
      <c r="J143" s="82" t="inlineStr">
        <is>
          <t xml:space="preserve">Step 4 · L</t>
        </is>
      </c>
      <c r="K143" s="85" t="str">
        <f>IF(K144=0,"∅","{"&amp;MID(IF(B150=1,", "&amp;B$136,"")&amp;IF(C150=1,", "&amp;C$136,"")&amp;IF(D150=1,", "&amp;D$136,"")&amp;IF(E150=1,", "&amp;E$136,"")&amp;IF(F150=1,", "&amp;F$136,"")&amp;IF(G150=1,", "&amp;G$136,"")&amp;IF(H150=1,", "&amp;H$136,""),3,200)&amp;"}")</f>
        <v>∅</v>
      </c>
    </row>
    <row r="144">
      <c r="A144" s="63" t="inlineStr">
        <is>
          <t xml:space="preserve">Same class as Sᵢ</t>
        </is>
      </c>
      <c r="B144" s="76">
        <f>IF($K$139=0,0,IF(B137=INDEX($B$137:$H$137,$K$139),1,0))</f>
        <v>1</v>
      </c>
      <c r="C144" s="76">
        <f>IF($K$139=0,0,IF(C137=INDEX($B$137:$H$137,$K$139),1,0))</f>
        <v>1</v>
      </c>
      <c r="D144" s="76">
        <f>IF($K$139=0,0,IF(D137=INDEX($B$137:$H$137,$K$139),1,0))</f>
        <v>0</v>
      </c>
      <c r="E144" s="76">
        <f>IF($K$139=0,0,IF(E137=INDEX($B$137:$H$137,$K$139),1,0))</f>
        <v>1</v>
      </c>
      <c r="F144" s="76">
        <f>IF($K$139=0,0,IF(F137=INDEX($B$137:$H$137,$K$139),1,0))</f>
        <v>1</v>
      </c>
      <c r="G144" s="76">
        <f>IF($K$139=0,0,IF(G137=INDEX($B$137:$H$137,$K$139),1,0))</f>
        <v>0</v>
      </c>
      <c r="H144" s="76">
        <f>IF($K$139=0,0,IF(H137=INDEX($B$137:$H$137,$K$139),1,0))</f>
        <v>0</v>
      </c>
      <c r="J144" s="82" t="inlineStr">
        <is>
          <t xml:space="preserve">|L|</t>
        </is>
      </c>
      <c r="K144" s="85">
        <f>SUM(B150:H150)</f>
        <v>0</v>
      </c>
    </row>
    <row r="145">
      <c r="A145" s="63" t="inlineStr">
        <is>
          <t xml:space="preserve">ρ(Sⱼ, Sᵢ)</t>
        </is>
      </c>
      <c r="B145" s="73">
        <f>IF($K$139=0,"—",INDEX('Zhuravlev Distances'!$B$5:$H$5,$K$139))</f>
        <v>6.6272117335</v>
      </c>
      <c r="C145" s="73">
        <f>IF($K$139=0,"—",INDEX('Zhuravlev Distances'!$B$6:$H$6,$K$139))</f>
        <v>6.3691657565</v>
      </c>
      <c r="D145" s="73">
        <f>IF($K$139=0,"—",INDEX('Zhuravlev Distances'!$B$7:$H$7,$K$139))</f>
        <v>6.2175670209</v>
      </c>
      <c r="E145" s="73">
        <f>IF($K$139=0,"—",INDEX('Zhuravlev Distances'!$B$8:$H$8,$K$139))</f>
        <v>0</v>
      </c>
      <c r="F145" s="73">
        <f>IF($K$139=0,"—",INDEX('Zhuravlev Distances'!$B$9:$H$9,$K$139))</f>
        <v>7.8491221835</v>
      </c>
      <c r="G145" s="73">
        <f>IF($K$139=0,"—",INDEX('Zhuravlev Distances'!$B$10:$H$10,$K$139))</f>
        <v>3.7071187508</v>
      </c>
      <c r="H145" s="73">
        <f>IF($K$139=0,"—",INDEX('Zhuravlev Distances'!$B$11:$H$11,$K$139))</f>
        <v>3.9109813746</v>
      </c>
      <c r="J145" s="82" t="inlineStr">
        <is>
          <t xml:space="preserve">Decision</t>
        </is>
      </c>
      <c r="K145" s="85" t="str">
        <f>IF(K139=0,"Step 6 · stop",IF(K144=0,"|L| = 0 → Sᵢ is only blocked and stays in F",IF(K144=1,"|L| = 1 → Sᵢ moves to D","|L| &gt; 1 → Step 5 corrects g")))</f>
        <v>|L| = 0 → Sᵢ is only blocked and stays in F</v>
      </c>
    </row>
    <row r="146">
      <c r="A146" s="63" t="inlineStr">
        <is>
          <t xml:space="preserve">r(Sⱼ)</t>
        </is>
      </c>
      <c r="B146" s="73">
        <f>'ERDR Characteristics'!$D$5</f>
        <v>5.60708061</v>
      </c>
      <c r="C146" s="73">
        <f>'ERDR Characteristics'!$D$6</f>
        <v>7.4699698919</v>
      </c>
      <c r="D146" s="73">
        <f>'ERDR Characteristics'!$D$7</f>
        <v>5.60708061</v>
      </c>
      <c r="E146" s="73">
        <f>'ERDR Characteristics'!$D$8</f>
        <v>3.7071187508</v>
      </c>
      <c r="F146" s="73">
        <f>'ERDR Characteristics'!$D$9</f>
        <v>7.1117040273</v>
      </c>
      <c r="G146" s="73">
        <f>'ERDR Characteristics'!$D$10</f>
        <v>3.7071187508</v>
      </c>
      <c r="H146" s="73">
        <f>'ERDR Characteristics'!$D$11</f>
        <v>3.9109813746</v>
      </c>
      <c r="J146" s="82" t="inlineStr">
        <is>
          <t xml:space="preserve">Step 5 · counters g: before → after</t>
        </is>
      </c>
      <c r="K146" s="85" t="str">
        <f>IF(SUM(B152:H152)=0,"—",MID(IF(B152=1,", "&amp;B$136&amp;": "&amp;B140&amp;" → "&amp;B153,"")&amp;IF(C152=1,", "&amp;C$136&amp;": "&amp;C140&amp;" → "&amp;C153,"")&amp;IF(D152=1,", "&amp;D$136&amp;": "&amp;D140&amp;" → "&amp;D153,"")&amp;IF(E152=1,", "&amp;E$136&amp;": "&amp;E140&amp;" → "&amp;E153,"")&amp;IF(F152=1,", "&amp;F$136&amp;": "&amp;F140&amp;" → "&amp;F153,"")&amp;IF(G152=1,", "&amp;G$136&amp;": "&amp;G140&amp;" → "&amp;G153,"")&amp;IF(H152=1,", "&amp;H$136&amp;": "&amp;H140&amp;" → "&amp;H153,""),3,300))</f>
        <v>—</v>
      </c>
    </row>
    <row r="147">
      <c r="A147" s="63" t="inlineStr">
        <is>
          <t xml:space="preserve">Sᵢ inside the sphere of Sⱼ:  ρ(Sⱼ, Sᵢ) &lt; r(Sⱼ)</t>
        </is>
      </c>
      <c r="B147" s="76">
        <f>IF($K$139=0,0,IF(B145&lt;B146,1,0))</f>
        <v>0</v>
      </c>
      <c r="C147" s="76">
        <f>IF($K$139=0,0,IF(C145&lt;C146,1,0))</f>
        <v>1</v>
      </c>
      <c r="D147" s="76">
        <f>IF($K$139=0,0,IF(D145&lt;D146,1,0))</f>
        <v>0</v>
      </c>
      <c r="E147" s="76">
        <f>IF($K$139=0,0,IF(E145&lt;E146,1,0))</f>
        <v>1</v>
      </c>
      <c r="F147" s="76">
        <f>IF($K$139=0,0,IF(F145&lt;F146,1,0))</f>
        <v>0</v>
      </c>
      <c r="G147" s="76">
        <f>IF($K$139=0,0,IF(G145&lt;G146,1,0))</f>
        <v>0</v>
      </c>
      <c r="H147" s="76">
        <f>IF($K$139=0,0,IF(H145&lt;H146,1,0))</f>
        <v>0</v>
      </c>
      <c r="J147" s="82" t="inlineStr">
        <is>
          <t xml:space="preserve">Moved to D</t>
        </is>
      </c>
      <c r="K147" s="85" t="str">
        <f>IF(SUM(B155:H155)=0,"—",MID(IF(B155=1,", "&amp;B$136&amp;IF(B151=1," (Step 4)"," (Step 5)"),"")&amp;IF(C155=1,", "&amp;C$136&amp;IF(C151=1," (Step 4)"," (Step 5)"),"")&amp;IF(D155=1,", "&amp;D$136&amp;IF(D151=1," (Step 4)"," (Step 5)"),"")&amp;IF(E155=1,", "&amp;E$136&amp;IF(E151=1," (Step 4)"," (Step 5)"),"")&amp;IF(F155=1,", "&amp;F$136&amp;IF(F151=1," (Step 4)"," (Step 5)"),"")&amp;IF(G155=1,", "&amp;G$136&amp;IF(G151=1," (Step 4)"," (Step 5)"),"")&amp;IF(H155=1,", "&amp;H$136&amp;IF(H151=1," (Step 4)"," (Step 5)"),""),3,300))</f>
        <v>—</v>
      </c>
    </row>
    <row r="148">
      <c r="A148" s="63" t="inlineStr">
        <is>
          <t xml:space="preserve">g(Sⱼ) &gt; 1</t>
        </is>
      </c>
      <c r="B148" s="76">
        <f>IF(B140&gt;1,1,0)</f>
        <v>0</v>
      </c>
      <c r="C148" s="76">
        <f>IF(C140&gt;1,1,0)</f>
        <v>1</v>
      </c>
      <c r="D148" s="76">
        <f>IF(D140&gt;1,1,0)</f>
        <v>1</v>
      </c>
      <c r="E148" s="76">
        <f>IF(E140&gt;1,1,0)</f>
        <v>0</v>
      </c>
      <c r="F148" s="76">
        <f>IF(F140&gt;1,1,0)</f>
        <v>0</v>
      </c>
      <c r="G148" s="76">
        <f>IF(G140&gt;1,1,0)</f>
        <v>0</v>
      </c>
      <c r="H148" s="76">
        <f>IF(H140&gt;1,1,0)</f>
        <v>0</v>
      </c>
      <c r="J148" s="82" t="inlineStr">
        <is>
          <t xml:space="preserve">|F| after</t>
        </is>
      </c>
      <c r="K148" s="85">
        <f>SUM(B156:H156)</f>
        <v>2</v>
      </c>
    </row>
    <row r="149">
      <c r="A149" s="63" t="inlineStr">
        <is>
          <t xml:space="preserve">Allowed by readings A (Sᵢ itself) and B (processed Sⱼ)</t>
        </is>
      </c>
      <c r="B149" s="76">
        <f>IF($K$139=0,0,IF($K$139=1,IF('Parameters'!$B$24=1,1,0),IF(OR('Parameters'!$B$25=1,B139=0),1,0)))</f>
        <v>1</v>
      </c>
      <c r="C149" s="76">
        <f>IF($K$139=0,0,IF($K$139=2,IF('Parameters'!$B$24=1,1,0),IF(OR('Parameters'!$B$25=1,C139=0),1,0)))</f>
        <v>1</v>
      </c>
      <c r="D149" s="76">
        <f>IF($K$139=0,0,IF($K$139=3,IF('Parameters'!$B$24=1,1,0),IF(OR('Parameters'!$B$25=1,D139=0),1,0)))</f>
        <v>1</v>
      </c>
      <c r="E149" s="76">
        <f>IF($K$139=0,0,IF($K$139=4,IF('Parameters'!$B$24=1,1,0),IF(OR('Parameters'!$B$25=1,E139=0),1,0)))</f>
        <v>1</v>
      </c>
      <c r="F149" s="76">
        <f>IF($K$139=0,0,IF($K$139=5,IF('Parameters'!$B$24=1,1,0),IF(OR('Parameters'!$B$25=1,F139=0),1,0)))</f>
        <v>1</v>
      </c>
      <c r="G149" s="76">
        <f>IF($K$139=0,0,IF($K$139=6,IF('Parameters'!$B$24=1,1,0),IF(OR('Parameters'!$B$25=1,G139=0),1,0)))</f>
        <v>1</v>
      </c>
      <c r="H149" s="76">
        <f>IF($K$139=0,0,IF($K$139=7,IF('Parameters'!$B$24=1,1,0),IF(OR('Parameters'!$B$25=1,H139=0),1,0)))</f>
        <v>1</v>
      </c>
      <c r="J149" s="82" t="inlineStr">
        <is>
          <t xml:space="preserve">|D| after</t>
        </is>
      </c>
      <c r="K149" s="85">
        <f>SUM(B159:H159)</f>
        <v>5</v>
      </c>
    </row>
    <row r="150">
      <c r="A150" s="63" t="inlineStr">
        <is>
          <t xml:space="preserve">Step 4 · Sⱼ ∈ L</t>
        </is>
      </c>
      <c r="B150" s="77">
        <f>B138*B144*B147*B148*B149</f>
        <v>0</v>
      </c>
      <c r="C150" s="77">
        <f>C138*C144*C147*C148*C149</f>
        <v>0</v>
      </c>
      <c r="D150" s="77">
        <f>D138*D144*D147*D148*D149</f>
        <v>0</v>
      </c>
      <c r="E150" s="77">
        <f>E138*E144*E147*E148*E149</f>
        <v>0</v>
      </c>
      <c r="F150" s="77">
        <f>F138*F144*F147*F148*F149</f>
        <v>0</v>
      </c>
      <c r="G150" s="77">
        <f>G138*G144*G147*G148*G149</f>
        <v>0</v>
      </c>
      <c r="H150" s="77">
        <f>H138*H144*H147*H148*H149</f>
        <v>0</v>
      </c>
      <c r="J150" s="82" t="inlineStr">
        <is>
          <t xml:space="preserve">Objects left in the queue</t>
        </is>
      </c>
      <c r="K150" s="85">
        <f>SUMPRODUCT(B156:H156*(1-B157:H157))</f>
        <v>0</v>
      </c>
    </row>
    <row r="151">
      <c r="A151" s="63" t="inlineStr">
        <is>
          <t xml:space="preserve">Step 4 · |L| = 1 → Sᵢ moves to D</t>
        </is>
      </c>
      <c r="B151" s="76">
        <f>IF(AND(B143=1,$K$144=1),1,0)</f>
        <v>0</v>
      </c>
      <c r="C151" s="76">
        <f>IF(AND(C143=1,$K$144=1),1,0)</f>
        <v>0</v>
      </c>
      <c r="D151" s="76">
        <f>IF(AND(D143=1,$K$144=1),1,0)</f>
        <v>0</v>
      </c>
      <c r="E151" s="76">
        <f>IF(AND(E143=1,$K$144=1),1,0)</f>
        <v>0</v>
      </c>
      <c r="F151" s="76">
        <f>IF(AND(F143=1,$K$144=1),1,0)</f>
        <v>0</v>
      </c>
      <c r="G151" s="76">
        <f>IF(AND(G143=1,$K$144=1),1,0)</f>
        <v>0</v>
      </c>
      <c r="H151" s="76">
        <f>IF(AND(H143=1,$K$144=1),1,0)</f>
        <v>0</v>
      </c>
      <c r="J151" s="82" t="inlineStr">
        <is>
          <t xml:space="preserve">Step 4 · Sᵢ blocked: d(Sᵢ) ← −(d + ε)</t>
        </is>
      </c>
      <c r="K151" s="96">
        <f>IF(K139=0,"—",-(INDEX('ERDR Characteristics'!$J$5:$J$11,K139)+'Parameters'!$B$17))</f>
        <v>-0.2539498997</v>
      </c>
    </row>
    <row r="152">
      <c r="A152" s="63" t="inlineStr">
        <is>
          <t xml:space="preserve">Step 5 · counter decreased (|L| &gt; 1)</t>
        </is>
      </c>
      <c r="B152" s="76">
        <f>IF($K$144&gt;1,B150,0)</f>
        <v>0</v>
      </c>
      <c r="C152" s="76">
        <f>IF($K$144&gt;1,C150*IF('Parameters'!$B$26=1,1,IF(SUMPRODUCT($B$150:B$150*($B$140:B$140=2))=0,1,0)),0)</f>
        <v>0</v>
      </c>
      <c r="D152" s="76">
        <f>IF($K$144&gt;1,D150*IF('Parameters'!$B$26=1,1,IF(SUMPRODUCT($B$150:C$150*($B$140:C$140=2))=0,1,0)),0)</f>
        <v>0</v>
      </c>
      <c r="E152" s="76">
        <f>IF($K$144&gt;1,E150*IF('Parameters'!$B$26=1,1,IF(SUMPRODUCT($B$150:D$150*($B$140:D$140=2))=0,1,0)),0)</f>
        <v>0</v>
      </c>
      <c r="F152" s="76">
        <f>IF($K$144&gt;1,F150*IF('Parameters'!$B$26=1,1,IF(SUMPRODUCT($B$150:E$150*($B$140:E$140=2))=0,1,0)),0)</f>
        <v>0</v>
      </c>
      <c r="G152" s="76">
        <f>IF($K$144&gt;1,G150*IF('Parameters'!$B$26=1,1,IF(SUMPRODUCT($B$150:F$150*($B$140:F$140=2))=0,1,0)),0)</f>
        <v>0</v>
      </c>
      <c r="H152" s="76">
        <f>IF($K$144&gt;1,H150*IF('Parameters'!$B$26=1,1,IF(SUMPRODUCT($B$150:G$150*($B$140:G$140=2))=0,1,0)),0)</f>
        <v>0</v>
      </c>
      <c r="J152" s="101" t="inlineStr">
        <is>
          <t xml:space="preserve"/>
        </is>
      </c>
      <c r="K152" s="101" t="inlineStr">
        <is>
          <t xml:space="preserve"/>
        </is>
      </c>
    </row>
    <row r="153">
      <c r="A153" s="63" t="inlineStr">
        <is>
          <t xml:space="preserve">g after the iteration</t>
        </is>
      </c>
      <c r="B153" s="80">
        <f>B140-B152</f>
        <v>1</v>
      </c>
      <c r="C153" s="80">
        <f>C140-C152</f>
        <v>2</v>
      </c>
      <c r="D153" s="80">
        <f>D140-D152</f>
        <v>2</v>
      </c>
      <c r="E153" s="80">
        <f>E140-E152</f>
        <v>1</v>
      </c>
      <c r="F153" s="80">
        <f>F140-F152</f>
        <v>1</v>
      </c>
      <c r="G153" s="80">
        <f>G140-G152</f>
        <v>1</v>
      </c>
      <c r="H153" s="80">
        <f>H140-H152</f>
        <v>1</v>
      </c>
      <c r="J153" s="101" t="inlineStr">
        <is>
          <t xml:space="preserve"/>
        </is>
      </c>
      <c r="K153" s="101" t="inlineStr">
        <is>
          <t xml:space="preserve"/>
        </is>
      </c>
    </row>
    <row r="154">
      <c r="A154" s="63" t="inlineStr">
        <is>
          <t xml:space="preserve">Step 5 · g fell to 1 → Sⱼ moves to D</t>
        </is>
      </c>
      <c r="B154" s="76">
        <f>IF(AND(B152=1,B153=1),1,0)</f>
        <v>0</v>
      </c>
      <c r="C154" s="76">
        <f>IF(AND(C152=1,C153=1),1,0)</f>
        <v>0</v>
      </c>
      <c r="D154" s="76">
        <f>IF(AND(D152=1,D153=1),1,0)</f>
        <v>0</v>
      </c>
      <c r="E154" s="76">
        <f>IF(AND(E152=1,E153=1),1,0)</f>
        <v>0</v>
      </c>
      <c r="F154" s="76">
        <f>IF(AND(F152=1,F153=1),1,0)</f>
        <v>0</v>
      </c>
      <c r="G154" s="76">
        <f>IF(AND(G152=1,G153=1),1,0)</f>
        <v>0</v>
      </c>
      <c r="H154" s="76">
        <f>IF(AND(H152=1,H153=1),1,0)</f>
        <v>0</v>
      </c>
      <c r="J154" s="101" t="inlineStr">
        <is>
          <t xml:space="preserve"/>
        </is>
      </c>
      <c r="K154" s="101" t="inlineStr">
        <is>
          <t xml:space="preserve"/>
        </is>
      </c>
    </row>
    <row r="155">
      <c r="A155" s="63" t="inlineStr">
        <is>
          <t xml:space="preserve">Moves to D in this iteration</t>
        </is>
      </c>
      <c r="B155" s="77">
        <f>B151+B154</f>
        <v>0</v>
      </c>
      <c r="C155" s="77">
        <f>C151+C154</f>
        <v>0</v>
      </c>
      <c r="D155" s="77">
        <f>D151+D154</f>
        <v>0</v>
      </c>
      <c r="E155" s="77">
        <f>E151+E154</f>
        <v>0</v>
      </c>
      <c r="F155" s="77">
        <f>F151+F154</f>
        <v>0</v>
      </c>
      <c r="G155" s="77">
        <f>G151+G154</f>
        <v>0</v>
      </c>
      <c r="H155" s="77">
        <f>H151+H154</f>
        <v>0</v>
      </c>
      <c r="J155" s="101" t="inlineStr">
        <is>
          <t xml:space="preserve"/>
        </is>
      </c>
      <c r="K155" s="101" t="inlineStr">
        <is>
          <t xml:space="preserve"/>
        </is>
      </c>
    </row>
    <row r="156">
      <c r="A156" s="63" t="inlineStr">
        <is>
          <t xml:space="preserve">In F after the iteration</t>
        </is>
      </c>
      <c r="B156" s="76">
        <f>B138-B155</f>
        <v>0</v>
      </c>
      <c r="C156" s="76">
        <f>C138-C155</f>
        <v>0</v>
      </c>
      <c r="D156" s="76">
        <f>D138-D155</f>
        <v>1</v>
      </c>
      <c r="E156" s="76">
        <f>E138-E155</f>
        <v>1</v>
      </c>
      <c r="F156" s="76">
        <f>F138-F155</f>
        <v>0</v>
      </c>
      <c r="G156" s="76">
        <f>G138-G155</f>
        <v>0</v>
      </c>
      <c r="H156" s="76">
        <f>H138-H155</f>
        <v>0</v>
      </c>
      <c r="J156" s="101" t="inlineStr">
        <is>
          <t xml:space="preserve"/>
        </is>
      </c>
      <c r="K156" s="101" t="inlineStr">
        <is>
          <t xml:space="preserve"/>
        </is>
      </c>
    </row>
    <row r="157">
      <c r="A157" s="63" t="inlineStr">
        <is>
          <t xml:space="preserve">Processed after the iteration</t>
        </is>
      </c>
      <c r="B157" s="76">
        <f>MIN(1,B139+B143)</f>
        <v>1</v>
      </c>
      <c r="C157" s="76">
        <f>MIN(1,C139+C143)</f>
        <v>1</v>
      </c>
      <c r="D157" s="76">
        <f>MIN(1,D139+D143)</f>
        <v>1</v>
      </c>
      <c r="E157" s="76">
        <f>MIN(1,E139+E143)</f>
        <v>1</v>
      </c>
      <c r="F157" s="76">
        <f>MIN(1,F139+F143)</f>
        <v>1</v>
      </c>
      <c r="G157" s="76">
        <f>MIN(1,G139+G143)</f>
        <v>1</v>
      </c>
      <c r="H157" s="76">
        <f>MIN(1,H139+H143)</f>
        <v>0</v>
      </c>
      <c r="J157" s="101" t="inlineStr">
        <is>
          <t xml:space="preserve"/>
        </is>
      </c>
      <c r="K157" s="101" t="inlineStr">
        <is>
          <t xml:space="preserve"/>
        </is>
      </c>
    </row>
    <row r="158">
      <c r="A158" s="63" t="inlineStr">
        <is>
          <t xml:space="preserve">d after (article: −(d + ε) once processed)</t>
        </is>
      </c>
      <c r="B158" s="73">
        <f>IF(B157=1,-('ERDR Characteristics'!$J$5+'Parameters'!$B$17),'ERDR Characteristics'!$J$5)</f>
        <v>-0.001</v>
      </c>
      <c r="C158" s="73">
        <f>IF(C157=1,-('ERDR Characteristics'!$J$6+'Parameters'!$B$17),'ERDR Characteristics'!$J$6)</f>
        <v>-0.0805428388</v>
      </c>
      <c r="D158" s="73">
        <f>IF(D157=1,-('ERDR Characteristics'!$J$7+'Parameters'!$B$17),'ERDR Characteristics'!$J$7)</f>
        <v>-0.001</v>
      </c>
      <c r="E158" s="73">
        <f>IF(E157=1,-('ERDR Characteristics'!$J$8+'Parameters'!$B$17),'ERDR Characteristics'!$J$8)</f>
        <v>-0.2539498997</v>
      </c>
      <c r="F158" s="73">
        <f>IF(F157=1,-('ERDR Characteristics'!$J$9+'Parameters'!$B$17),'ERDR Characteristics'!$J$9)</f>
        <v>-0.001</v>
      </c>
      <c r="G158" s="73">
        <f>IF(G157=1,-('ERDR Characteristics'!$J$10+'Parameters'!$B$17),'ERDR Characteristics'!$J$10)</f>
        <v>-0.1702169896</v>
      </c>
      <c r="H158" s="73">
        <f>IF(H157=1,-('ERDR Characteristics'!$J$11+'Parameters'!$B$17),'ERDR Characteristics'!$J$11)</f>
        <v>0.1252961741</v>
      </c>
      <c r="J158" s="101" t="inlineStr">
        <is>
          <t xml:space="preserve"/>
        </is>
      </c>
      <c r="K158" s="101" t="inlineStr">
        <is>
          <t xml:space="preserve"/>
        </is>
      </c>
    </row>
    <row r="159">
      <c r="A159" s="63" t="inlineStr">
        <is>
          <t xml:space="preserve">In D after the iteration</t>
        </is>
      </c>
      <c r="B159" s="76">
        <f>1-B156</f>
        <v>1</v>
      </c>
      <c r="C159" s="76">
        <f>1-C156</f>
        <v>1</v>
      </c>
      <c r="D159" s="76">
        <f>1-D156</f>
        <v>0</v>
      </c>
      <c r="E159" s="76">
        <f>1-E156</f>
        <v>0</v>
      </c>
      <c r="F159" s="76">
        <f>1-F156</f>
        <v>1</v>
      </c>
      <c r="G159" s="76">
        <f>1-G156</f>
        <v>1</v>
      </c>
      <c r="H159" s="76">
        <f>1-H156</f>
        <v>1</v>
      </c>
      <c r="J159" s="101" t="inlineStr">
        <is>
          <t xml:space="preserve"/>
        </is>
      </c>
      <c r="K159" s="101" t="inlineStr">
        <is>
          <t xml:space="preserve"/>
        </is>
      </c>
    </row>
    <row r="160"/>
    <row r="161">
      <c r="A161" s="59" t="str">
        <f>"Iteration 7  ·  "&amp;IF($K$165=0,"queue empty → Step 6 (stop)","Step 3 selects "&amp;$K$166&amp;"  ·  L = "&amp;$K$169&amp;"  ·  "&amp;$K$171)</f>
        <v>Iteration 7  ·  queue empty → Step 6 (stop)</v>
      </c>
      <c r="B161" s="59"/>
      <c r="C161" s="59"/>
      <c r="D161" s="59"/>
      <c r="E161" s="59"/>
      <c r="F161" s="59"/>
      <c r="G161" s="59"/>
      <c r="H161" s="59"/>
      <c r="I161" s="59"/>
      <c r="J161" s="59"/>
      <c r="K161" s="59"/>
    </row>
    <row r="162">
      <c r="A162" s="61" t="inlineStr">
        <is>
          <t xml:space="preserve">Row</t>
        </is>
      </c>
      <c r="B162" s="60" t="inlineStr">
        <is>
          <t xml:space="preserve">S₁</t>
        </is>
      </c>
      <c r="C162" s="60" t="inlineStr">
        <is>
          <t xml:space="preserve">S₂</t>
        </is>
      </c>
      <c r="D162" s="60" t="inlineStr">
        <is>
          <t xml:space="preserve">S₃</t>
        </is>
      </c>
      <c r="E162" s="60" t="inlineStr">
        <is>
          <t xml:space="preserve">S₄</t>
        </is>
      </c>
      <c r="F162" s="60" t="inlineStr">
        <is>
          <t xml:space="preserve">S₅</t>
        </is>
      </c>
      <c r="G162" s="60" t="inlineStr">
        <is>
          <t xml:space="preserve">S₆</t>
        </is>
      </c>
      <c r="H162" s="60" t="inlineStr">
        <is>
          <t xml:space="preserve">S₇</t>
        </is>
      </c>
      <c r="J162" s="61" t="inlineStr">
        <is>
          <t xml:space="preserve">Iteration summary</t>
        </is>
      </c>
      <c r="K162" s="61" t="inlineStr">
        <is>
          <t xml:space="preserve">Value</t>
        </is>
      </c>
    </row>
    <row r="163">
      <c r="A163" s="63" t="inlineStr">
        <is>
          <t xml:space="preserve">Class</t>
        </is>
      </c>
      <c r="B163" s="68">
        <f>'Dataset'!$P$5</f>
        <v>2</v>
      </c>
      <c r="C163" s="68">
        <f>'Dataset'!$P$6</f>
        <v>2</v>
      </c>
      <c r="D163" s="68">
        <f>'Dataset'!$P$7</f>
        <v>1</v>
      </c>
      <c r="E163" s="68">
        <f>'Dataset'!$P$8</f>
        <v>2</v>
      </c>
      <c r="F163" s="68">
        <f>'Dataset'!$P$9</f>
        <v>2</v>
      </c>
      <c r="G163" s="68">
        <f>'Dataset'!$P$10</f>
        <v>1</v>
      </c>
      <c r="H163" s="68">
        <f>'Dataset'!$P$11</f>
        <v>1</v>
      </c>
      <c r="J163" s="82" t="inlineStr">
        <is>
          <t xml:space="preserve">Queue length (Step 2)</t>
        </is>
      </c>
      <c r="K163" s="85">
        <f>SUM(B167:H167)</f>
        <v>0</v>
      </c>
    </row>
    <row r="164">
      <c r="A164" s="63" t="inlineStr">
        <is>
          <t xml:space="preserve">In F before the iteration (1 = in the working set)</t>
        </is>
      </c>
      <c r="B164" s="76">
        <f>B156</f>
        <v>0</v>
      </c>
      <c r="C164" s="76">
        <f>C156</f>
        <v>0</v>
      </c>
      <c r="D164" s="76">
        <f>D156</f>
        <v>1</v>
      </c>
      <c r="E164" s="76">
        <f>E156</f>
        <v>1</v>
      </c>
      <c r="F164" s="76">
        <f>F156</f>
        <v>0</v>
      </c>
      <c r="G164" s="76">
        <f>G156</f>
        <v>0</v>
      </c>
      <c r="H164" s="76">
        <f>H156</f>
        <v>0</v>
      </c>
      <c r="J164" s="82" t="inlineStr">
        <is>
          <t xml:space="preserve">Smallest queue key</t>
        </is>
      </c>
      <c r="K164" s="85">
        <f>MIN(B168:H168)</f>
        <v>99</v>
      </c>
    </row>
    <row r="165">
      <c r="A165" s="63" t="inlineStr">
        <is>
          <t xml:space="preserve">Processed before (blocked: d &lt; 0)</t>
        </is>
      </c>
      <c r="B165" s="76">
        <f>B157</f>
        <v>1</v>
      </c>
      <c r="C165" s="76">
        <f>C157</f>
        <v>1</v>
      </c>
      <c r="D165" s="76">
        <f>D157</f>
        <v>1</v>
      </c>
      <c r="E165" s="76">
        <f>E157</f>
        <v>1</v>
      </c>
      <c r="F165" s="76">
        <f>F157</f>
        <v>1</v>
      </c>
      <c r="G165" s="76">
        <f>G157</f>
        <v>1</v>
      </c>
      <c r="H165" s="76">
        <f>H157</f>
        <v>0</v>
      </c>
      <c r="J165" s="82" t="inlineStr">
        <is>
          <t xml:space="preserve">Selected index i (0 = queue empty)</t>
        </is>
      </c>
      <c r="K165" s="85">
        <f>IF(K164=99,0,MATCH(K164,B168:H168,0))</f>
        <v>0</v>
      </c>
    </row>
    <row r="166">
      <c r="A166" s="63" t="inlineStr">
        <is>
          <t xml:space="preserve">g before the iteration</t>
        </is>
      </c>
      <c r="B166" s="80">
        <f>B153</f>
        <v>1</v>
      </c>
      <c r="C166" s="80">
        <f>C153</f>
        <v>2</v>
      </c>
      <c r="D166" s="80">
        <f>D153</f>
        <v>2</v>
      </c>
      <c r="E166" s="80">
        <f>E153</f>
        <v>1</v>
      </c>
      <c r="F166" s="80">
        <f>F153</f>
        <v>1</v>
      </c>
      <c r="G166" s="80">
        <f>G153</f>
        <v>1</v>
      </c>
      <c r="H166" s="80">
        <f>H153</f>
        <v>1</v>
      </c>
      <c r="J166" s="82" t="inlineStr">
        <is>
          <t xml:space="preserve">Step 3 · selected Sᵢ</t>
        </is>
      </c>
      <c r="K166" s="85" t="str">
        <f>IF(K165=0,"— (queue empty → Step 6)",INDEX(B162:H162,K165))</f>
        <v>— (queue empty → Step 6)</v>
      </c>
    </row>
    <row r="167">
      <c r="A167" s="63" t="inlineStr">
        <is>
          <t xml:space="preserve">Step 2 · in the queue: in F and not processed</t>
        </is>
      </c>
      <c r="B167" s="76">
        <f>IF(AND(B164=1,B165=0),1,0)</f>
        <v>0</v>
      </c>
      <c r="C167" s="76">
        <f>IF(AND(C164=1,C165=0),1,0)</f>
        <v>0</v>
      </c>
      <c r="D167" s="76">
        <f>IF(AND(D164=1,D165=0),1,0)</f>
        <v>0</v>
      </c>
      <c r="E167" s="76">
        <f>IF(AND(E164=1,E165=0),1,0)</f>
        <v>0</v>
      </c>
      <c r="F167" s="76">
        <f>IF(AND(F164=1,F165=0),1,0)</f>
        <v>0</v>
      </c>
      <c r="G167" s="76">
        <f>IF(AND(G164=1,G165=0),1,0)</f>
        <v>0</v>
      </c>
      <c r="H167" s="76">
        <f>IF(AND(H164=1,H165=0),1,0)</f>
        <v>0</v>
      </c>
      <c r="J167" s="82" t="inlineStr">
        <is>
          <t xml:space="preserve">d(Sᵢ)</t>
        </is>
      </c>
      <c r="K167" s="96" t="str">
        <f>IF(K165=0,"—",INDEX('ERDR Characteristics'!$J$5:$J$11,K165))</f>
        <v>—</v>
      </c>
    </row>
    <row r="168">
      <c r="A168" s="63" t="inlineStr">
        <is>
          <t xml:space="preserve">Step 2 · queue key = priority position (99 = not in the queue)</t>
        </is>
      </c>
      <c r="B168" s="76">
        <f>IF(B167=1,'ERDR Characteristics'!$K$5,99)</f>
        <v>99</v>
      </c>
      <c r="C168" s="76">
        <f>IF(C167=1,'ERDR Characteristics'!$K$6,99)</f>
        <v>99</v>
      </c>
      <c r="D168" s="76">
        <f>IF(D167=1,'ERDR Characteristics'!$K$7,99)</f>
        <v>99</v>
      </c>
      <c r="E168" s="76">
        <f>IF(E167=1,'ERDR Characteristics'!$K$8,99)</f>
        <v>99</v>
      </c>
      <c r="F168" s="76">
        <f>IF(F167=1,'ERDR Characteristics'!$K$9,99)</f>
        <v>99</v>
      </c>
      <c r="G168" s="76">
        <f>IF(G167=1,'ERDR Characteristics'!$K$10,99)</f>
        <v>99</v>
      </c>
      <c r="H168" s="76">
        <f>IF(H167=1,'ERDR Characteristics'!$K$11,99)</f>
        <v>99</v>
      </c>
      <c r="J168" s="82" t="inlineStr">
        <is>
          <t xml:space="preserve">r(Sᵢ)</t>
        </is>
      </c>
      <c r="K168" s="96" t="str">
        <f>IF(K165=0,"—",INDEX('ERDR Characteristics'!$D$5:$D$11,K165))</f>
        <v>—</v>
      </c>
    </row>
    <row r="169">
      <c r="A169" s="63" t="inlineStr">
        <is>
          <t xml:space="preserve">Step 3 · selected Sᵢ (smallest key)</t>
        </is>
      </c>
      <c r="B169" s="77">
        <f>IF($K$165=1,1,0)</f>
        <v>0</v>
      </c>
      <c r="C169" s="77">
        <f>IF($K$165=2,1,0)</f>
        <v>0</v>
      </c>
      <c r="D169" s="77">
        <f>IF($K$165=3,1,0)</f>
        <v>0</v>
      </c>
      <c r="E169" s="77">
        <f>IF($K$165=4,1,0)</f>
        <v>0</v>
      </c>
      <c r="F169" s="77">
        <f>IF($K$165=5,1,0)</f>
        <v>0</v>
      </c>
      <c r="G169" s="77">
        <f>IF($K$165=6,1,0)</f>
        <v>0</v>
      </c>
      <c r="H169" s="77">
        <f>IF($K$165=7,1,0)</f>
        <v>0</v>
      </c>
      <c r="J169" s="82" t="inlineStr">
        <is>
          <t xml:space="preserve">Step 4 · L</t>
        </is>
      </c>
      <c r="K169" s="85" t="str">
        <f>IF(K170=0,"∅","{"&amp;MID(IF(B176=1,", "&amp;B$162,"")&amp;IF(C176=1,", "&amp;C$162,"")&amp;IF(D176=1,", "&amp;D$162,"")&amp;IF(E176=1,", "&amp;E$162,"")&amp;IF(F176=1,", "&amp;F$162,"")&amp;IF(G176=1,", "&amp;G$162,"")&amp;IF(H176=1,", "&amp;H$162,""),3,200)&amp;"}")</f>
        <v>∅</v>
      </c>
    </row>
    <row r="170">
      <c r="A170" s="63" t="inlineStr">
        <is>
          <t xml:space="preserve">Same class as Sᵢ</t>
        </is>
      </c>
      <c r="B170" s="76">
        <f>IF($K$165=0,0,IF(B163=INDEX($B$163:$H$163,$K$165),1,0))</f>
        <v>0</v>
      </c>
      <c r="C170" s="76">
        <f>IF($K$165=0,0,IF(C163=INDEX($B$163:$H$163,$K$165),1,0))</f>
        <v>0</v>
      </c>
      <c r="D170" s="76">
        <f>IF($K$165=0,0,IF(D163=INDEX($B$163:$H$163,$K$165),1,0))</f>
        <v>0</v>
      </c>
      <c r="E170" s="76">
        <f>IF($K$165=0,0,IF(E163=INDEX($B$163:$H$163,$K$165),1,0))</f>
        <v>0</v>
      </c>
      <c r="F170" s="76">
        <f>IF($K$165=0,0,IF(F163=INDEX($B$163:$H$163,$K$165),1,0))</f>
        <v>0</v>
      </c>
      <c r="G170" s="76">
        <f>IF($K$165=0,0,IF(G163=INDEX($B$163:$H$163,$K$165),1,0))</f>
        <v>0</v>
      </c>
      <c r="H170" s="76">
        <f>IF($K$165=0,0,IF(H163=INDEX($B$163:$H$163,$K$165),1,0))</f>
        <v>0</v>
      </c>
      <c r="J170" s="82" t="inlineStr">
        <is>
          <t xml:space="preserve">|L|</t>
        </is>
      </c>
      <c r="K170" s="85">
        <f>SUM(B176:H176)</f>
        <v>0</v>
      </c>
    </row>
    <row r="171">
      <c r="A171" s="63" t="inlineStr">
        <is>
          <t xml:space="preserve">ρ(Sⱼ, Sᵢ)</t>
        </is>
      </c>
      <c r="B171" s="73" t="str">
        <f>IF($K$165=0,"—",INDEX('Zhuravlev Distances'!$B$5:$H$5,$K$165))</f>
        <v>—</v>
      </c>
      <c r="C171" s="73" t="str">
        <f>IF($K$165=0,"—",INDEX('Zhuravlev Distances'!$B$6:$H$6,$K$165))</f>
        <v>—</v>
      </c>
      <c r="D171" s="73" t="str">
        <f>IF($K$165=0,"—",INDEX('Zhuravlev Distances'!$B$7:$H$7,$K$165))</f>
        <v>—</v>
      </c>
      <c r="E171" s="73" t="str">
        <f>IF($K$165=0,"—",INDEX('Zhuravlev Distances'!$B$8:$H$8,$K$165))</f>
        <v>—</v>
      </c>
      <c r="F171" s="73" t="str">
        <f>IF($K$165=0,"—",INDEX('Zhuravlev Distances'!$B$9:$H$9,$K$165))</f>
        <v>—</v>
      </c>
      <c r="G171" s="73" t="str">
        <f>IF($K$165=0,"—",INDEX('Zhuravlev Distances'!$B$10:$H$10,$K$165))</f>
        <v>—</v>
      </c>
      <c r="H171" s="73" t="str">
        <f>IF($K$165=0,"—",INDEX('Zhuravlev Distances'!$B$11:$H$11,$K$165))</f>
        <v>—</v>
      </c>
      <c r="J171" s="82" t="inlineStr">
        <is>
          <t xml:space="preserve">Decision</t>
        </is>
      </c>
      <c r="K171" s="85" t="str">
        <f>IF(K165=0,"Step 6 · stop",IF(K170=0,"|L| = 0 → Sᵢ is only blocked and stays in F",IF(K170=1,"|L| = 1 → Sᵢ moves to D","|L| &gt; 1 → Step 5 corrects g")))</f>
        <v>Step 6 · stop</v>
      </c>
    </row>
    <row r="172">
      <c r="A172" s="63" t="inlineStr">
        <is>
          <t xml:space="preserve">r(Sⱼ)</t>
        </is>
      </c>
      <c r="B172" s="73">
        <f>'ERDR Characteristics'!$D$5</f>
        <v>5.60708061</v>
      </c>
      <c r="C172" s="73">
        <f>'ERDR Characteristics'!$D$6</f>
        <v>7.4699698919</v>
      </c>
      <c r="D172" s="73">
        <f>'ERDR Characteristics'!$D$7</f>
        <v>5.60708061</v>
      </c>
      <c r="E172" s="73">
        <f>'ERDR Characteristics'!$D$8</f>
        <v>3.7071187508</v>
      </c>
      <c r="F172" s="73">
        <f>'ERDR Characteristics'!$D$9</f>
        <v>7.1117040273</v>
      </c>
      <c r="G172" s="73">
        <f>'ERDR Characteristics'!$D$10</f>
        <v>3.7071187508</v>
      </c>
      <c r="H172" s="73">
        <f>'ERDR Characteristics'!$D$11</f>
        <v>3.9109813746</v>
      </c>
      <c r="J172" s="82" t="inlineStr">
        <is>
          <t xml:space="preserve">Step 5 · counters g: before → after</t>
        </is>
      </c>
      <c r="K172" s="85" t="str">
        <f>IF(SUM(B178:H178)=0,"—",MID(IF(B178=1,", "&amp;B$162&amp;": "&amp;B166&amp;" → "&amp;B179,"")&amp;IF(C178=1,", "&amp;C$162&amp;": "&amp;C166&amp;" → "&amp;C179,"")&amp;IF(D178=1,", "&amp;D$162&amp;": "&amp;D166&amp;" → "&amp;D179,"")&amp;IF(E178=1,", "&amp;E$162&amp;": "&amp;E166&amp;" → "&amp;E179,"")&amp;IF(F178=1,", "&amp;F$162&amp;": "&amp;F166&amp;" → "&amp;F179,"")&amp;IF(G178=1,", "&amp;G$162&amp;": "&amp;G166&amp;" → "&amp;G179,"")&amp;IF(H178=1,", "&amp;H$162&amp;": "&amp;H166&amp;" → "&amp;H179,""),3,300))</f>
        <v>—</v>
      </c>
    </row>
    <row r="173">
      <c r="A173" s="63" t="inlineStr">
        <is>
          <t xml:space="preserve">Sᵢ inside the sphere of Sⱼ:  ρ(Sⱼ, Sᵢ) &lt; r(Sⱼ)</t>
        </is>
      </c>
      <c r="B173" s="76">
        <f>IF($K$165=0,0,IF(B171&lt;B172,1,0))</f>
        <v>0</v>
      </c>
      <c r="C173" s="76">
        <f>IF($K$165=0,0,IF(C171&lt;C172,1,0))</f>
        <v>0</v>
      </c>
      <c r="D173" s="76">
        <f>IF($K$165=0,0,IF(D171&lt;D172,1,0))</f>
        <v>0</v>
      </c>
      <c r="E173" s="76">
        <f>IF($K$165=0,0,IF(E171&lt;E172,1,0))</f>
        <v>0</v>
      </c>
      <c r="F173" s="76">
        <f>IF($K$165=0,0,IF(F171&lt;F172,1,0))</f>
        <v>0</v>
      </c>
      <c r="G173" s="76">
        <f>IF($K$165=0,0,IF(G171&lt;G172,1,0))</f>
        <v>0</v>
      </c>
      <c r="H173" s="76">
        <f>IF($K$165=0,0,IF(H171&lt;H172,1,0))</f>
        <v>0</v>
      </c>
      <c r="J173" s="82" t="inlineStr">
        <is>
          <t xml:space="preserve">Moved to D</t>
        </is>
      </c>
      <c r="K173" s="85" t="str">
        <f>IF(SUM(B181:H181)=0,"—",MID(IF(B181=1,", "&amp;B$162&amp;IF(B177=1," (Step 4)"," (Step 5)"),"")&amp;IF(C181=1,", "&amp;C$162&amp;IF(C177=1," (Step 4)"," (Step 5)"),"")&amp;IF(D181=1,", "&amp;D$162&amp;IF(D177=1," (Step 4)"," (Step 5)"),"")&amp;IF(E181=1,", "&amp;E$162&amp;IF(E177=1," (Step 4)"," (Step 5)"),"")&amp;IF(F181=1,", "&amp;F$162&amp;IF(F177=1," (Step 4)"," (Step 5)"),"")&amp;IF(G181=1,", "&amp;G$162&amp;IF(G177=1," (Step 4)"," (Step 5)"),"")&amp;IF(H181=1,", "&amp;H$162&amp;IF(H177=1," (Step 4)"," (Step 5)"),""),3,300))</f>
        <v>—</v>
      </c>
    </row>
    <row r="174">
      <c r="A174" s="63" t="inlineStr">
        <is>
          <t xml:space="preserve">g(Sⱼ) &gt; 1</t>
        </is>
      </c>
      <c r="B174" s="76">
        <f>IF(B166&gt;1,1,0)</f>
        <v>0</v>
      </c>
      <c r="C174" s="76">
        <f>IF(C166&gt;1,1,0)</f>
        <v>1</v>
      </c>
      <c r="D174" s="76">
        <f>IF(D166&gt;1,1,0)</f>
        <v>1</v>
      </c>
      <c r="E174" s="76">
        <f>IF(E166&gt;1,1,0)</f>
        <v>0</v>
      </c>
      <c r="F174" s="76">
        <f>IF(F166&gt;1,1,0)</f>
        <v>0</v>
      </c>
      <c r="G174" s="76">
        <f>IF(G166&gt;1,1,0)</f>
        <v>0</v>
      </c>
      <c r="H174" s="76">
        <f>IF(H166&gt;1,1,0)</f>
        <v>0</v>
      </c>
      <c r="J174" s="82" t="inlineStr">
        <is>
          <t xml:space="preserve">|F| after</t>
        </is>
      </c>
      <c r="K174" s="85">
        <f>SUM(B182:H182)</f>
        <v>2</v>
      </c>
    </row>
    <row r="175">
      <c r="A175" s="63" t="inlineStr">
        <is>
          <t xml:space="preserve">Allowed by readings A (Sᵢ itself) and B (processed Sⱼ)</t>
        </is>
      </c>
      <c r="B175" s="76">
        <f>IF($K$165=0,0,IF($K$165=1,IF('Parameters'!$B$24=1,1,0),IF(OR('Parameters'!$B$25=1,B165=0),1,0)))</f>
        <v>0</v>
      </c>
      <c r="C175" s="76">
        <f>IF($K$165=0,0,IF($K$165=2,IF('Parameters'!$B$24=1,1,0),IF(OR('Parameters'!$B$25=1,C165=0),1,0)))</f>
        <v>0</v>
      </c>
      <c r="D175" s="76">
        <f>IF($K$165=0,0,IF($K$165=3,IF('Parameters'!$B$24=1,1,0),IF(OR('Parameters'!$B$25=1,D165=0),1,0)))</f>
        <v>0</v>
      </c>
      <c r="E175" s="76">
        <f>IF($K$165=0,0,IF($K$165=4,IF('Parameters'!$B$24=1,1,0),IF(OR('Parameters'!$B$25=1,E165=0),1,0)))</f>
        <v>0</v>
      </c>
      <c r="F175" s="76">
        <f>IF($K$165=0,0,IF($K$165=5,IF('Parameters'!$B$24=1,1,0),IF(OR('Parameters'!$B$25=1,F165=0),1,0)))</f>
        <v>0</v>
      </c>
      <c r="G175" s="76">
        <f>IF($K$165=0,0,IF($K$165=6,IF('Parameters'!$B$24=1,1,0),IF(OR('Parameters'!$B$25=1,G165=0),1,0)))</f>
        <v>0</v>
      </c>
      <c r="H175" s="76">
        <f>IF($K$165=0,0,IF($K$165=7,IF('Parameters'!$B$24=1,1,0),IF(OR('Parameters'!$B$25=1,H165=0),1,0)))</f>
        <v>0</v>
      </c>
      <c r="J175" s="82" t="inlineStr">
        <is>
          <t xml:space="preserve">|D| after</t>
        </is>
      </c>
      <c r="K175" s="85">
        <f>SUM(B185:H185)</f>
        <v>5</v>
      </c>
    </row>
    <row r="176">
      <c r="A176" s="63" t="inlineStr">
        <is>
          <t xml:space="preserve">Step 4 · Sⱼ ∈ L</t>
        </is>
      </c>
      <c r="B176" s="77">
        <f>B164*B170*B173*B174*B175</f>
        <v>0</v>
      </c>
      <c r="C176" s="77">
        <f>C164*C170*C173*C174*C175</f>
        <v>0</v>
      </c>
      <c r="D176" s="77">
        <f>D164*D170*D173*D174*D175</f>
        <v>0</v>
      </c>
      <c r="E176" s="77">
        <f>E164*E170*E173*E174*E175</f>
        <v>0</v>
      </c>
      <c r="F176" s="77">
        <f>F164*F170*F173*F174*F175</f>
        <v>0</v>
      </c>
      <c r="G176" s="77">
        <f>G164*G170*G173*G174*G175</f>
        <v>0</v>
      </c>
      <c r="H176" s="77">
        <f>H164*H170*H173*H174*H175</f>
        <v>0</v>
      </c>
      <c r="J176" s="82" t="inlineStr">
        <is>
          <t xml:space="preserve">Objects left in the queue</t>
        </is>
      </c>
      <c r="K176" s="85">
        <f>SUMPRODUCT(B182:H182*(1-B183:H183))</f>
        <v>0</v>
      </c>
    </row>
    <row r="177">
      <c r="A177" s="63" t="inlineStr">
        <is>
          <t xml:space="preserve">Step 4 · |L| = 1 → Sᵢ moves to D</t>
        </is>
      </c>
      <c r="B177" s="76">
        <f>IF(AND(B169=1,$K$170=1),1,0)</f>
        <v>0</v>
      </c>
      <c r="C177" s="76">
        <f>IF(AND(C169=1,$K$170=1),1,0)</f>
        <v>0</v>
      </c>
      <c r="D177" s="76">
        <f>IF(AND(D169=1,$K$170=1),1,0)</f>
        <v>0</v>
      </c>
      <c r="E177" s="76">
        <f>IF(AND(E169=1,$K$170=1),1,0)</f>
        <v>0</v>
      </c>
      <c r="F177" s="76">
        <f>IF(AND(F169=1,$K$170=1),1,0)</f>
        <v>0</v>
      </c>
      <c r="G177" s="76">
        <f>IF(AND(G169=1,$K$170=1),1,0)</f>
        <v>0</v>
      </c>
      <c r="H177" s="76">
        <f>IF(AND(H169=1,$K$170=1),1,0)</f>
        <v>0</v>
      </c>
      <c r="J177" s="82" t="inlineStr">
        <is>
          <t xml:space="preserve">Step 4 · Sᵢ blocked: d(Sᵢ) ← −(d + ε)</t>
        </is>
      </c>
      <c r="K177" s="96" t="str">
        <f>IF(K165=0,"—",-(INDEX('ERDR Characteristics'!$J$5:$J$11,K165)+'Parameters'!$B$17))</f>
        <v>—</v>
      </c>
    </row>
    <row r="178">
      <c r="A178" s="63" t="inlineStr">
        <is>
          <t xml:space="preserve">Step 5 · counter decreased (|L| &gt; 1)</t>
        </is>
      </c>
      <c r="B178" s="76">
        <f>IF($K$170&gt;1,B176,0)</f>
        <v>0</v>
      </c>
      <c r="C178" s="76">
        <f>IF($K$170&gt;1,C176*IF('Parameters'!$B$26=1,1,IF(SUMPRODUCT($B$176:B$176*($B$166:B$166=2))=0,1,0)),0)</f>
        <v>0</v>
      </c>
      <c r="D178" s="76">
        <f>IF($K$170&gt;1,D176*IF('Parameters'!$B$26=1,1,IF(SUMPRODUCT($B$176:C$176*($B$166:C$166=2))=0,1,0)),0)</f>
        <v>0</v>
      </c>
      <c r="E178" s="76">
        <f>IF($K$170&gt;1,E176*IF('Parameters'!$B$26=1,1,IF(SUMPRODUCT($B$176:D$176*($B$166:D$166=2))=0,1,0)),0)</f>
        <v>0</v>
      </c>
      <c r="F178" s="76">
        <f>IF($K$170&gt;1,F176*IF('Parameters'!$B$26=1,1,IF(SUMPRODUCT($B$176:E$176*($B$166:E$166=2))=0,1,0)),0)</f>
        <v>0</v>
      </c>
      <c r="G178" s="76">
        <f>IF($K$170&gt;1,G176*IF('Parameters'!$B$26=1,1,IF(SUMPRODUCT($B$176:F$176*($B$166:F$166=2))=0,1,0)),0)</f>
        <v>0</v>
      </c>
      <c r="H178" s="76">
        <f>IF($K$170&gt;1,H176*IF('Parameters'!$B$26=1,1,IF(SUMPRODUCT($B$176:G$176*($B$166:G$166=2))=0,1,0)),0)</f>
        <v>0</v>
      </c>
      <c r="J178" s="101" t="inlineStr">
        <is>
          <t xml:space="preserve"/>
        </is>
      </c>
      <c r="K178" s="101" t="inlineStr">
        <is>
          <t xml:space="preserve"/>
        </is>
      </c>
    </row>
    <row r="179">
      <c r="A179" s="63" t="inlineStr">
        <is>
          <t xml:space="preserve">g after the iteration</t>
        </is>
      </c>
      <c r="B179" s="80">
        <f>B166-B178</f>
        <v>1</v>
      </c>
      <c r="C179" s="80">
        <f>C166-C178</f>
        <v>2</v>
      </c>
      <c r="D179" s="80">
        <f>D166-D178</f>
        <v>2</v>
      </c>
      <c r="E179" s="80">
        <f>E166-E178</f>
        <v>1</v>
      </c>
      <c r="F179" s="80">
        <f>F166-F178</f>
        <v>1</v>
      </c>
      <c r="G179" s="80">
        <f>G166-G178</f>
        <v>1</v>
      </c>
      <c r="H179" s="80">
        <f>H166-H178</f>
        <v>1</v>
      </c>
      <c r="J179" s="101" t="inlineStr">
        <is>
          <t xml:space="preserve"/>
        </is>
      </c>
      <c r="K179" s="101" t="inlineStr">
        <is>
          <t xml:space="preserve"/>
        </is>
      </c>
    </row>
    <row r="180">
      <c r="A180" s="63" t="inlineStr">
        <is>
          <t xml:space="preserve">Step 5 · g fell to 1 → Sⱼ moves to D</t>
        </is>
      </c>
      <c r="B180" s="76">
        <f>IF(AND(B178=1,B179=1),1,0)</f>
        <v>0</v>
      </c>
      <c r="C180" s="76">
        <f>IF(AND(C178=1,C179=1),1,0)</f>
        <v>0</v>
      </c>
      <c r="D180" s="76">
        <f>IF(AND(D178=1,D179=1),1,0)</f>
        <v>0</v>
      </c>
      <c r="E180" s="76">
        <f>IF(AND(E178=1,E179=1),1,0)</f>
        <v>0</v>
      </c>
      <c r="F180" s="76">
        <f>IF(AND(F178=1,F179=1),1,0)</f>
        <v>0</v>
      </c>
      <c r="G180" s="76">
        <f>IF(AND(G178=1,G179=1),1,0)</f>
        <v>0</v>
      </c>
      <c r="H180" s="76">
        <f>IF(AND(H178=1,H179=1),1,0)</f>
        <v>0</v>
      </c>
      <c r="J180" s="101" t="inlineStr">
        <is>
          <t xml:space="preserve"/>
        </is>
      </c>
      <c r="K180" s="101" t="inlineStr">
        <is>
          <t xml:space="preserve"/>
        </is>
      </c>
    </row>
    <row r="181">
      <c r="A181" s="63" t="inlineStr">
        <is>
          <t xml:space="preserve">Moves to D in this iteration</t>
        </is>
      </c>
      <c r="B181" s="77">
        <f>B177+B180</f>
        <v>0</v>
      </c>
      <c r="C181" s="77">
        <f>C177+C180</f>
        <v>0</v>
      </c>
      <c r="D181" s="77">
        <f>D177+D180</f>
        <v>0</v>
      </c>
      <c r="E181" s="77">
        <f>E177+E180</f>
        <v>0</v>
      </c>
      <c r="F181" s="77">
        <f>F177+F180</f>
        <v>0</v>
      </c>
      <c r="G181" s="77">
        <f>G177+G180</f>
        <v>0</v>
      </c>
      <c r="H181" s="77">
        <f>H177+H180</f>
        <v>0</v>
      </c>
      <c r="J181" s="101" t="inlineStr">
        <is>
          <t xml:space="preserve"/>
        </is>
      </c>
      <c r="K181" s="101" t="inlineStr">
        <is>
          <t xml:space="preserve"/>
        </is>
      </c>
    </row>
    <row r="182">
      <c r="A182" s="63" t="inlineStr">
        <is>
          <t xml:space="preserve">In F after the iteration</t>
        </is>
      </c>
      <c r="B182" s="76">
        <f>B164-B181</f>
        <v>0</v>
      </c>
      <c r="C182" s="76">
        <f>C164-C181</f>
        <v>0</v>
      </c>
      <c r="D182" s="76">
        <f>D164-D181</f>
        <v>1</v>
      </c>
      <c r="E182" s="76">
        <f>E164-E181</f>
        <v>1</v>
      </c>
      <c r="F182" s="76">
        <f>F164-F181</f>
        <v>0</v>
      </c>
      <c r="G182" s="76">
        <f>G164-G181</f>
        <v>0</v>
      </c>
      <c r="H182" s="76">
        <f>H164-H181</f>
        <v>0</v>
      </c>
      <c r="J182" s="101" t="inlineStr">
        <is>
          <t xml:space="preserve"/>
        </is>
      </c>
      <c r="K182" s="101" t="inlineStr">
        <is>
          <t xml:space="preserve"/>
        </is>
      </c>
    </row>
    <row r="183">
      <c r="A183" s="63" t="inlineStr">
        <is>
          <t xml:space="preserve">Processed after the iteration</t>
        </is>
      </c>
      <c r="B183" s="76">
        <f>MIN(1,B165+B169)</f>
        <v>1</v>
      </c>
      <c r="C183" s="76">
        <f>MIN(1,C165+C169)</f>
        <v>1</v>
      </c>
      <c r="D183" s="76">
        <f>MIN(1,D165+D169)</f>
        <v>1</v>
      </c>
      <c r="E183" s="76">
        <f>MIN(1,E165+E169)</f>
        <v>1</v>
      </c>
      <c r="F183" s="76">
        <f>MIN(1,F165+F169)</f>
        <v>1</v>
      </c>
      <c r="G183" s="76">
        <f>MIN(1,G165+G169)</f>
        <v>1</v>
      </c>
      <c r="H183" s="76">
        <f>MIN(1,H165+H169)</f>
        <v>0</v>
      </c>
      <c r="J183" s="101" t="inlineStr">
        <is>
          <t xml:space="preserve"/>
        </is>
      </c>
      <c r="K183" s="101" t="inlineStr">
        <is>
          <t xml:space="preserve"/>
        </is>
      </c>
    </row>
    <row r="184">
      <c r="A184" s="63" t="inlineStr">
        <is>
          <t xml:space="preserve">d after (article: −(d + ε) once processed)</t>
        </is>
      </c>
      <c r="B184" s="73">
        <f>IF(B183=1,-('ERDR Characteristics'!$J$5+'Parameters'!$B$17),'ERDR Characteristics'!$J$5)</f>
        <v>-0.001</v>
      </c>
      <c r="C184" s="73">
        <f>IF(C183=1,-('ERDR Characteristics'!$J$6+'Parameters'!$B$17),'ERDR Characteristics'!$J$6)</f>
        <v>-0.0805428388</v>
      </c>
      <c r="D184" s="73">
        <f>IF(D183=1,-('ERDR Characteristics'!$J$7+'Parameters'!$B$17),'ERDR Characteristics'!$J$7)</f>
        <v>-0.001</v>
      </c>
      <c r="E184" s="73">
        <f>IF(E183=1,-('ERDR Characteristics'!$J$8+'Parameters'!$B$17),'ERDR Characteristics'!$J$8)</f>
        <v>-0.2539498997</v>
      </c>
      <c r="F184" s="73">
        <f>IF(F183=1,-('ERDR Characteristics'!$J$9+'Parameters'!$B$17),'ERDR Characteristics'!$J$9)</f>
        <v>-0.001</v>
      </c>
      <c r="G184" s="73">
        <f>IF(G183=1,-('ERDR Characteristics'!$J$10+'Parameters'!$B$17),'ERDR Characteristics'!$J$10)</f>
        <v>-0.1702169896</v>
      </c>
      <c r="H184" s="73">
        <f>IF(H183=1,-('ERDR Characteristics'!$J$11+'Parameters'!$B$17),'ERDR Characteristics'!$J$11)</f>
        <v>0.1252961741</v>
      </c>
      <c r="J184" s="101" t="inlineStr">
        <is>
          <t xml:space="preserve"/>
        </is>
      </c>
      <c r="K184" s="101" t="inlineStr">
        <is>
          <t xml:space="preserve"/>
        </is>
      </c>
    </row>
    <row r="185">
      <c r="A185" s="63" t="inlineStr">
        <is>
          <t xml:space="preserve">In D after the iteration</t>
        </is>
      </c>
      <c r="B185" s="76">
        <f>1-B182</f>
        <v>1</v>
      </c>
      <c r="C185" s="76">
        <f>1-C182</f>
        <v>1</v>
      </c>
      <c r="D185" s="76">
        <f>1-D182</f>
        <v>0</v>
      </c>
      <c r="E185" s="76">
        <f>1-E182</f>
        <v>0</v>
      </c>
      <c r="F185" s="76">
        <f>1-F182</f>
        <v>1</v>
      </c>
      <c r="G185" s="76">
        <f>1-G182</f>
        <v>1</v>
      </c>
      <c r="H185" s="76">
        <f>1-H182</f>
        <v>1</v>
      </c>
      <c r="J185" s="101" t="inlineStr">
        <is>
          <t xml:space="preserve"/>
        </is>
      </c>
      <c r="K185" s="101" t="inlineStr">
        <is>
          <t xml:space="preserve"/>
        </is>
      </c>
    </row>
    <row r="186"/>
    <row r="187">
      <c r="A187" s="100" t="inlineStr">
        <is>
          <t xml:space="preserve">Each block reads the state left by the previous block: In F, Processed and g. Block 1 starts with F = E₀, nothing processed and g from Step 1.</t>
        </is>
      </c>
    </row>
    <row r="188">
      <c r="A188" s="100" t="inlineStr">
        <is>
          <t xml:space="preserve">Step 2–3: the selected Sᵢ is the queue object with the smallest priority position (Priority Queue sheet). Step 4: L is built before Sᵢ is blocked, exactly as in the article.</t>
        </is>
      </c>
    </row>
    <row r="189">
      <c r="A189" s="100" t="inlineStr">
        <is>
          <t xml:space="preserve">Reading A decides whether Sᵢ itself can be in L; reading B whether already processed objects can still cover; reading C whether Step 5 stops at the first object whose g falls to 1.</t>
        </is>
      </c>
    </row>
    <row r="190">
      <c r="A190" s="100" t="inlineStr">
        <is>
          <t xml:space="preserve">When the queue is empty the block shows “Step 6 · stop” and only carries the state forward; D = objects moved in Steps 4–5, F = E₀ \ D.</t>
        </is>
      </c>
    </row>
  </sheetData>
  <mergeCells count="9">
    <mergeCell ref="A1:K1"/>
    <mergeCell ref="A3:K3"/>
    <mergeCell ref="A5:K5"/>
    <mergeCell ref="A31:K31"/>
    <mergeCell ref="A57:K57"/>
    <mergeCell ref="A83:K83"/>
    <mergeCell ref="A109:K109"/>
    <mergeCell ref="A135:K135"/>
    <mergeCell ref="A161:K161"/>
  </mergeCells>
  <conditionalFormatting sqref="B20:H20">
    <cfRule type="cellIs" dxfId="1" priority="1" operator="equal">
      <formula>1</formula>
    </cfRule>
  </conditionalFormatting>
  <conditionalFormatting sqref="B25:H25">
    <cfRule type="cellIs" dxfId="4" priority="2" operator="equal">
      <formula>1</formula>
    </cfRule>
  </conditionalFormatting>
  <conditionalFormatting sqref="B21:H21">
    <cfRule type="cellIs" dxfId="4" priority="3" operator="equal">
      <formula>1</formula>
    </cfRule>
  </conditionalFormatting>
  <conditionalFormatting sqref="B24:H24">
    <cfRule type="cellIs" dxfId="4" priority="4" operator="equal">
      <formula>1</formula>
    </cfRule>
  </conditionalFormatting>
  <conditionalFormatting sqref="B9:H9">
    <cfRule type="cellIs" dxfId="3" priority="5" operator="equal">
      <formula>1</formula>
    </cfRule>
  </conditionalFormatting>
  <conditionalFormatting sqref="B22:H22">
    <cfRule type="cellIs" dxfId="1" priority="6" operator="equal">
      <formula>1</formula>
    </cfRule>
  </conditionalFormatting>
  <conditionalFormatting sqref="B7:H29">
    <cfRule type="expression" dxfId="5" priority="7">
      <formula>B$13=1</formula>
    </cfRule>
  </conditionalFormatting>
  <conditionalFormatting sqref="B46:H46">
    <cfRule type="cellIs" dxfId="1" priority="8" operator="equal">
      <formula>1</formula>
    </cfRule>
  </conditionalFormatting>
  <conditionalFormatting sqref="B51:H51">
    <cfRule type="cellIs" dxfId="4" priority="9" operator="equal">
      <formula>1</formula>
    </cfRule>
  </conditionalFormatting>
  <conditionalFormatting sqref="B47:H47">
    <cfRule type="cellIs" dxfId="4" priority="10" operator="equal">
      <formula>1</formula>
    </cfRule>
  </conditionalFormatting>
  <conditionalFormatting sqref="B50:H50">
    <cfRule type="cellIs" dxfId="4" priority="11" operator="equal">
      <formula>1</formula>
    </cfRule>
  </conditionalFormatting>
  <conditionalFormatting sqref="B35:H35">
    <cfRule type="cellIs" dxfId="3" priority="12" operator="equal">
      <formula>1</formula>
    </cfRule>
  </conditionalFormatting>
  <conditionalFormatting sqref="B48:H48">
    <cfRule type="cellIs" dxfId="1" priority="13" operator="equal">
      <formula>1</formula>
    </cfRule>
  </conditionalFormatting>
  <conditionalFormatting sqref="B33:H55">
    <cfRule type="expression" dxfId="5" priority="14">
      <formula>B$39=1</formula>
    </cfRule>
  </conditionalFormatting>
  <conditionalFormatting sqref="B72:H72">
    <cfRule type="cellIs" dxfId="1" priority="15" operator="equal">
      <formula>1</formula>
    </cfRule>
  </conditionalFormatting>
  <conditionalFormatting sqref="B77:H77">
    <cfRule type="cellIs" dxfId="4" priority="16" operator="equal">
      <formula>1</formula>
    </cfRule>
  </conditionalFormatting>
  <conditionalFormatting sqref="B73:H73">
    <cfRule type="cellIs" dxfId="4" priority="17" operator="equal">
      <formula>1</formula>
    </cfRule>
  </conditionalFormatting>
  <conditionalFormatting sqref="B76:H76">
    <cfRule type="cellIs" dxfId="4" priority="18" operator="equal">
      <formula>1</formula>
    </cfRule>
  </conditionalFormatting>
  <conditionalFormatting sqref="B61:H61">
    <cfRule type="cellIs" dxfId="3" priority="19" operator="equal">
      <formula>1</formula>
    </cfRule>
  </conditionalFormatting>
  <conditionalFormatting sqref="B74:H74">
    <cfRule type="cellIs" dxfId="1" priority="20" operator="equal">
      <formula>1</formula>
    </cfRule>
  </conditionalFormatting>
  <conditionalFormatting sqref="B59:H81">
    <cfRule type="expression" dxfId="5" priority="21">
      <formula>B$65=1</formula>
    </cfRule>
  </conditionalFormatting>
  <conditionalFormatting sqref="B98:H98">
    <cfRule type="cellIs" dxfId="1" priority="22" operator="equal">
      <formula>1</formula>
    </cfRule>
  </conditionalFormatting>
  <conditionalFormatting sqref="B103:H103">
    <cfRule type="cellIs" dxfId="4" priority="23" operator="equal">
      <formula>1</formula>
    </cfRule>
  </conditionalFormatting>
  <conditionalFormatting sqref="B99:H99">
    <cfRule type="cellIs" dxfId="4" priority="24" operator="equal">
      <formula>1</formula>
    </cfRule>
  </conditionalFormatting>
  <conditionalFormatting sqref="B102:H102">
    <cfRule type="cellIs" dxfId="4" priority="25" operator="equal">
      <formula>1</formula>
    </cfRule>
  </conditionalFormatting>
  <conditionalFormatting sqref="B87:H87">
    <cfRule type="cellIs" dxfId="3" priority="26" operator="equal">
      <formula>1</formula>
    </cfRule>
  </conditionalFormatting>
  <conditionalFormatting sqref="B100:H100">
    <cfRule type="cellIs" dxfId="1" priority="27" operator="equal">
      <formula>1</formula>
    </cfRule>
  </conditionalFormatting>
  <conditionalFormatting sqref="B85:H107">
    <cfRule type="expression" dxfId="5" priority="28">
      <formula>B$91=1</formula>
    </cfRule>
  </conditionalFormatting>
  <conditionalFormatting sqref="B124:H124">
    <cfRule type="cellIs" dxfId="1" priority="29" operator="equal">
      <formula>1</formula>
    </cfRule>
  </conditionalFormatting>
  <conditionalFormatting sqref="B129:H129">
    <cfRule type="cellIs" dxfId="4" priority="30" operator="equal">
      <formula>1</formula>
    </cfRule>
  </conditionalFormatting>
  <conditionalFormatting sqref="B125:H125">
    <cfRule type="cellIs" dxfId="4" priority="31" operator="equal">
      <formula>1</formula>
    </cfRule>
  </conditionalFormatting>
  <conditionalFormatting sqref="B128:H128">
    <cfRule type="cellIs" dxfId="4" priority="32" operator="equal">
      <formula>1</formula>
    </cfRule>
  </conditionalFormatting>
  <conditionalFormatting sqref="B113:H113">
    <cfRule type="cellIs" dxfId="3" priority="33" operator="equal">
      <formula>1</formula>
    </cfRule>
  </conditionalFormatting>
  <conditionalFormatting sqref="B126:H126">
    <cfRule type="cellIs" dxfId="1" priority="34" operator="equal">
      <formula>1</formula>
    </cfRule>
  </conditionalFormatting>
  <conditionalFormatting sqref="B111:H133">
    <cfRule type="expression" dxfId="5" priority="35">
      <formula>B$117=1</formula>
    </cfRule>
  </conditionalFormatting>
  <conditionalFormatting sqref="B150:H150">
    <cfRule type="cellIs" dxfId="1" priority="36" operator="equal">
      <formula>1</formula>
    </cfRule>
  </conditionalFormatting>
  <conditionalFormatting sqref="B155:H155">
    <cfRule type="cellIs" dxfId="4" priority="37" operator="equal">
      <formula>1</formula>
    </cfRule>
  </conditionalFormatting>
  <conditionalFormatting sqref="B151:H151">
    <cfRule type="cellIs" dxfId="4" priority="38" operator="equal">
      <formula>1</formula>
    </cfRule>
  </conditionalFormatting>
  <conditionalFormatting sqref="B154:H154">
    <cfRule type="cellIs" dxfId="4" priority="39" operator="equal">
      <formula>1</formula>
    </cfRule>
  </conditionalFormatting>
  <conditionalFormatting sqref="B139:H139">
    <cfRule type="cellIs" dxfId="3" priority="40" operator="equal">
      <formula>1</formula>
    </cfRule>
  </conditionalFormatting>
  <conditionalFormatting sqref="B152:H152">
    <cfRule type="cellIs" dxfId="1" priority="41" operator="equal">
      <formula>1</formula>
    </cfRule>
  </conditionalFormatting>
  <conditionalFormatting sqref="B137:H159">
    <cfRule type="expression" dxfId="5" priority="42">
      <formula>B$143=1</formula>
    </cfRule>
  </conditionalFormatting>
  <conditionalFormatting sqref="B176:H176">
    <cfRule type="cellIs" dxfId="1" priority="43" operator="equal">
      <formula>1</formula>
    </cfRule>
  </conditionalFormatting>
  <conditionalFormatting sqref="B181:H181">
    <cfRule type="cellIs" dxfId="4" priority="44" operator="equal">
      <formula>1</formula>
    </cfRule>
  </conditionalFormatting>
  <conditionalFormatting sqref="B177:H177">
    <cfRule type="cellIs" dxfId="4" priority="45" operator="equal">
      <formula>1</formula>
    </cfRule>
  </conditionalFormatting>
  <conditionalFormatting sqref="B180:H180">
    <cfRule type="cellIs" dxfId="4" priority="46" operator="equal">
      <formula>1</formula>
    </cfRule>
  </conditionalFormatting>
  <conditionalFormatting sqref="B165:H165">
    <cfRule type="cellIs" dxfId="3" priority="47" operator="equal">
      <formula>1</formula>
    </cfRule>
  </conditionalFormatting>
  <conditionalFormatting sqref="B178:H178">
    <cfRule type="cellIs" dxfId="1" priority="48" operator="equal">
      <formula>1</formula>
    </cfRule>
  </conditionalFormatting>
  <conditionalFormatting sqref="B163:H185">
    <cfRule type="expression" dxfId="5" priority="49">
      <formula>B$169=1</formula>
    </cfRule>
  </conditionalFormatting>
  <printOptions horizontalCentered="1"/>
  <pageMargins left="0.4" right="0.4" top="0.7" bottom="0.6" header="0.3" footer="0.3"/>
  <pageSetup paperSize="9" orientation="landscape" fitToWidth="1" fitToHeight="0"/>
  <headerFooter>
    <oddHeader>&amp;L&amp;"Calibri,Bold"&amp;9ERDR Algorithm — Heart-Disease (7, 13, 2) selected from Heart-Disease (270, 13, 2)&amp;R&amp;"Calibri,Regular"&amp;9&amp;A</oddHeader>
    <oddFooter>&amp;C&amp;"Calibri,Regular"&amp;9Page &amp;P of &amp;N</oddFooter>
  </headerFooter>
  <drawing r:id="rIdDr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C55A11"/>
    <pageSetUpPr fitToPage="1"/>
  </sheetPr>
  <dimension ref="A1:O219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13.77734375" customWidth="1"/>
    <col min="2" max="4" width="9.77734375" customWidth="1"/>
    <col min="5" max="7" width="11.77734375" customWidth="1"/>
    <col min="8" max="8" width="11.77734375" customWidth="1"/>
    <col min="9" max="12" width="8.77734375" customWidth="1"/>
    <col min="13" max="13" width="13.77734375" customWidth="1"/>
    <col min="14" max="14" width="11.77734375" customWidth="1"/>
    <col min="15" max="15" width="54.77734375" customWidth="1"/>
    <col min="16" max="16" width="2.77734375" customWidth="1"/>
  </cols>
  <sheetData>
    <row r="1" ht="22" customHeight="1">
      <c r="A1" s="57" t="inlineStr">
        <is>
          <t xml:space="preserve">ERDR Steps 2–5 · Hyperspheres in every iteration — the enemy spheres of the own-class objects around the selected Sᵢ: the spheres in F that contain Sᵢ give the set L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</row>
    <row r="2"/>
    <row r="3">
      <c r="A3" s="97" t="str">
        <f>"Settings: k = "&amp;'Parameters'!$B$12&amp;"  ·  readings A = "&amp;'Parameters'!$B$24&amp;", B = "&amp;'Parameters'!$B$25&amp;", C = "&amp;'Parameters'!$B$26&amp;"  ·  the same state as ERDR Iterations (every value below is read from it, only the geometry is added)"</f>
        <v>Settings: k = 3  ·  readings A = 1, B = 1, C = 1  ·  the same state as ERDR Iterations (every value below is read from it, only the geometry is added)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</row>
    <row r="4"/>
    <row r="5">
      <c r="A5" s="58" t="inlineStr">
        <is>
          <t xml:space="preserve">Overview — for every iteration: the own-class spheres around Sᵢ, those that contain it, and the set L that Step 4 builds from them</t>
        </is>
      </c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</row>
    <row r="6" ht="48" customHeight="1">
      <c r="A6" s="60" t="inlineStr">
        <is>
          <t xml:space="preserve">t</t>
        </is>
      </c>
      <c r="B6" s="60" t="inlineStr">
        <is>
          <t xml:space="preserve">Selected Sᵢ</t>
        </is>
      </c>
      <c r="C6" s="60" t="inlineStr">
        <is>
          <t xml:space="preserve">Class</t>
        </is>
      </c>
      <c r="D6" s="60" t="inlineStr">
        <is>
          <t xml:space="preserve">r(Sᵢ)</t>
        </is>
      </c>
      <c r="E6" s="60" t="inlineStr">
        <is>
          <t xml:space="preserve">Own-class objects in F (Sᵢ included) — the candidates for L</t>
        </is>
      </c>
      <c r="F6" s="60"/>
      <c r="G6" s="60"/>
      <c r="H6" s="60" t="inlineStr">
        <is>
          <t xml:space="preserve">… whose sphere contains Sᵢ</t>
        </is>
      </c>
      <c r="I6" s="60"/>
      <c r="J6" s="60"/>
      <c r="K6" s="60" t="inlineStr">
        <is>
          <t xml:space="preserve">In D, but the sphere would contain Sᵢ</t>
        </is>
      </c>
      <c r="L6" s="60"/>
      <c r="M6" s="60" t="inlineStr">
        <is>
          <t xml:space="preserve">L (Step 4)</t>
        </is>
      </c>
      <c r="N6" s="60" t="inlineStr">
        <is>
          <t xml:space="preserve">|L|</t>
        </is>
      </c>
      <c r="O6" s="60" t="inlineStr">
        <is>
          <t xml:space="preserve">Decision  ·  moved to D</t>
        </is>
      </c>
    </row>
    <row r="7">
      <c r="A7" s="77">
        <v>1</v>
      </c>
      <c r="B7" s="62" t="str">
        <f>IF('ERDR Iterations'!$K$9=0,"— stop",'ERDR Iterations'!$K$10)</f>
        <v>S₁</v>
      </c>
      <c r="C7" s="68">
        <f>IF('ERDR Iterations'!$K$9=0,"—",INDEX('Dataset'!$P$5:$P$11,'ERDR Iterations'!$K$9))</f>
        <v>2</v>
      </c>
      <c r="D7" s="73">
        <f>'ERDR Iterations'!$K$12</f>
        <v>5.60708061</v>
      </c>
      <c r="E7" s="101" t="str">
        <f>IF('ERDR Iterations'!$K$9=0,"—",IF(IF(AND('ERDR Iterations'!B$14=1,'ERDR Iterations'!B$8=1),", S₁","")&amp;IF(AND('ERDR Iterations'!C$14=1,'ERDR Iterations'!C$8=1),", S₂","")&amp;IF(AND('ERDR Iterations'!D$14=1,'ERDR Iterations'!D$8=1),", S₃","")&amp;IF(AND('ERDR Iterations'!E$14=1,'ERDR Iterations'!E$8=1),", S₄","")&amp;IF(AND('ERDR Iterations'!F$14=1,'ERDR Iterations'!F$8=1),", S₅","")&amp;IF(AND('ERDR Iterations'!G$14=1,'ERDR Iterations'!G$8=1),", S₆","")&amp;IF(AND('ERDR Iterations'!H$14=1,'ERDR Iterations'!H$8=1),", S₇","")="","∅","{"&amp;MID(IF(AND('ERDR Iterations'!B$14=1,'ERDR Iterations'!B$8=1),", S₁","")&amp;IF(AND('ERDR Iterations'!C$14=1,'ERDR Iterations'!C$8=1),", S₂","")&amp;IF(AND('ERDR Iterations'!D$14=1,'ERDR Iterations'!D$8=1),", S₃","")&amp;IF(AND('ERDR Iterations'!E$14=1,'ERDR Iterations'!E$8=1),", S₄","")&amp;IF(AND('ERDR Iterations'!F$14=1,'ERDR Iterations'!F$8=1),", S₅","")&amp;IF(AND('ERDR Iterations'!G$14=1,'ERDR Iterations'!G$8=1),", S₆","")&amp;IF(AND('ERDR Iterations'!H$14=1,'ERDR Iterations'!H$8=1),", S₇",""),3,300)&amp;"}"))</f>
        <v>{S₁, S₂, S₄, S₅}</v>
      </c>
      <c r="F7" s="101"/>
      <c r="G7" s="101"/>
      <c r="H7" s="101" t="str">
        <f>IF('ERDR Iterations'!$K$9=0,"—",IF(IF(AND('ERDR Iterations'!B$14=1,'ERDR Iterations'!B$8=1,'ERDR Iterations'!B$17=1),", S₁","")&amp;IF(AND('ERDR Iterations'!C$14=1,'ERDR Iterations'!C$8=1,'ERDR Iterations'!C$17=1),", S₂","")&amp;IF(AND('ERDR Iterations'!D$14=1,'ERDR Iterations'!D$8=1,'ERDR Iterations'!D$17=1),", S₃","")&amp;IF(AND('ERDR Iterations'!E$14=1,'ERDR Iterations'!E$8=1,'ERDR Iterations'!E$17=1),", S₄","")&amp;IF(AND('ERDR Iterations'!F$14=1,'ERDR Iterations'!F$8=1,'ERDR Iterations'!F$17=1),", S₅","")&amp;IF(AND('ERDR Iterations'!G$14=1,'ERDR Iterations'!G$8=1,'ERDR Iterations'!G$17=1),", S₆","")&amp;IF(AND('ERDR Iterations'!H$14=1,'ERDR Iterations'!H$8=1,'ERDR Iterations'!H$17=1),", S₇","")="","∅","{"&amp;MID(IF(AND('ERDR Iterations'!B$14=1,'ERDR Iterations'!B$8=1,'ERDR Iterations'!B$17=1),", S₁","")&amp;IF(AND('ERDR Iterations'!C$14=1,'ERDR Iterations'!C$8=1,'ERDR Iterations'!C$17=1),", S₂","")&amp;IF(AND('ERDR Iterations'!D$14=1,'ERDR Iterations'!D$8=1,'ERDR Iterations'!D$17=1),", S₃","")&amp;IF(AND('ERDR Iterations'!E$14=1,'ERDR Iterations'!E$8=1,'ERDR Iterations'!E$17=1),", S₄","")&amp;IF(AND('ERDR Iterations'!F$14=1,'ERDR Iterations'!F$8=1,'ERDR Iterations'!F$17=1),", S₅","")&amp;IF(AND('ERDR Iterations'!G$14=1,'ERDR Iterations'!G$8=1,'ERDR Iterations'!G$17=1),", S₆","")&amp;IF(AND('ERDR Iterations'!H$14=1,'ERDR Iterations'!H$8=1,'ERDR Iterations'!H$17=1),", S₇",""),3,300)&amp;"}"))</f>
        <v>{S₁, S₂, S₅}</v>
      </c>
      <c r="I7" s="101"/>
      <c r="J7" s="101"/>
      <c r="K7" s="101" t="str">
        <f>IF('ERDR Iterations'!$K$9=0,"—",IF(IF(AND('ERDR Iterations'!B$14=1,'ERDR Iterations'!B$8=0,'ERDR Iterations'!B$17=1),", S₁","")&amp;IF(AND('ERDR Iterations'!C$14=1,'ERDR Iterations'!C$8=0,'ERDR Iterations'!C$17=1),", S₂","")&amp;IF(AND('ERDR Iterations'!D$14=1,'ERDR Iterations'!D$8=0,'ERDR Iterations'!D$17=1),", S₃","")&amp;IF(AND('ERDR Iterations'!E$14=1,'ERDR Iterations'!E$8=0,'ERDR Iterations'!E$17=1),", S₄","")&amp;IF(AND('ERDR Iterations'!F$14=1,'ERDR Iterations'!F$8=0,'ERDR Iterations'!F$17=1),", S₅","")&amp;IF(AND('ERDR Iterations'!G$14=1,'ERDR Iterations'!G$8=0,'ERDR Iterations'!G$17=1),", S₆","")&amp;IF(AND('ERDR Iterations'!H$14=1,'ERDR Iterations'!H$8=0,'ERDR Iterations'!H$17=1),", S₇","")="","∅","{"&amp;MID(IF(AND('ERDR Iterations'!B$14=1,'ERDR Iterations'!B$8=0,'ERDR Iterations'!B$17=1),", S₁","")&amp;IF(AND('ERDR Iterations'!C$14=1,'ERDR Iterations'!C$8=0,'ERDR Iterations'!C$17=1),", S₂","")&amp;IF(AND('ERDR Iterations'!D$14=1,'ERDR Iterations'!D$8=0,'ERDR Iterations'!D$17=1),", S₃","")&amp;IF(AND('ERDR Iterations'!E$14=1,'ERDR Iterations'!E$8=0,'ERDR Iterations'!E$17=1),", S₄","")&amp;IF(AND('ERDR Iterations'!F$14=1,'ERDR Iterations'!F$8=0,'ERDR Iterations'!F$17=1),", S₅","")&amp;IF(AND('ERDR Iterations'!G$14=1,'ERDR Iterations'!G$8=0,'ERDR Iterations'!G$17=1),", S₆","")&amp;IF(AND('ERDR Iterations'!H$14=1,'ERDR Iterations'!H$8=0,'ERDR Iterations'!H$17=1),", S₇",""),3,300)&amp;"}"))</f>
        <v>∅</v>
      </c>
      <c r="L7" s="101"/>
      <c r="M7" s="85" t="str">
        <f>IF('ERDR Iterations'!$K$9=0,"—",'ERDR Iterations'!$K$13)</f>
        <v>{S₁, S₂, S₅}</v>
      </c>
      <c r="N7" s="77">
        <f>IF('ERDR Iterations'!$K$9=0,"—",'ERDR Iterations'!$K$14)</f>
        <v>3</v>
      </c>
      <c r="O7" s="101" t="str">
        <f>'ERDR Iterations'!$K$15&amp;IF('ERDR Iterations'!$K$17="—","","  ·  "&amp;'ERDR Iterations'!$K$17)</f>
        <v>|L| &gt; 1 → Step 5 corrects g</v>
      </c>
    </row>
    <row r="8">
      <c r="A8" s="77">
        <v>2</v>
      </c>
      <c r="B8" s="62" t="str">
        <f>IF('ERDR Iterations'!$K$35=0,"— stop",'ERDR Iterations'!$K$36)</f>
        <v>S₃</v>
      </c>
      <c r="C8" s="68">
        <f>IF('ERDR Iterations'!$K$35=0,"—",INDEX('Dataset'!$P$5:$P$11,'ERDR Iterations'!$K$35))</f>
        <v>1</v>
      </c>
      <c r="D8" s="73">
        <f>'ERDR Iterations'!$K$38</f>
        <v>5.60708061</v>
      </c>
      <c r="E8" s="101" t="str">
        <f>IF('ERDR Iterations'!$K$35=0,"—",IF(IF(AND('ERDR Iterations'!B$40=1,'ERDR Iterations'!B$34=1),", S₁","")&amp;IF(AND('ERDR Iterations'!C$40=1,'ERDR Iterations'!C$34=1),", S₂","")&amp;IF(AND('ERDR Iterations'!D$40=1,'ERDR Iterations'!D$34=1),", S₃","")&amp;IF(AND('ERDR Iterations'!E$40=1,'ERDR Iterations'!E$34=1),", S₄","")&amp;IF(AND('ERDR Iterations'!F$40=1,'ERDR Iterations'!F$34=1),", S₅","")&amp;IF(AND('ERDR Iterations'!G$40=1,'ERDR Iterations'!G$34=1),", S₆","")&amp;IF(AND('ERDR Iterations'!H$40=1,'ERDR Iterations'!H$34=1),", S₇","")="","∅","{"&amp;MID(IF(AND('ERDR Iterations'!B$40=1,'ERDR Iterations'!B$34=1),", S₁","")&amp;IF(AND('ERDR Iterations'!C$40=1,'ERDR Iterations'!C$34=1),", S₂","")&amp;IF(AND('ERDR Iterations'!D$40=1,'ERDR Iterations'!D$34=1),", S₃","")&amp;IF(AND('ERDR Iterations'!E$40=1,'ERDR Iterations'!E$34=1),", S₄","")&amp;IF(AND('ERDR Iterations'!F$40=1,'ERDR Iterations'!F$34=1),", S₅","")&amp;IF(AND('ERDR Iterations'!G$40=1,'ERDR Iterations'!G$34=1),", S₆","")&amp;IF(AND('ERDR Iterations'!H$40=1,'ERDR Iterations'!H$34=1),", S₇",""),3,300)&amp;"}"))</f>
        <v>{S₃, S₆, S₇}</v>
      </c>
      <c r="F8" s="101"/>
      <c r="G8" s="101"/>
      <c r="H8" s="101" t="str">
        <f>IF('ERDR Iterations'!$K$35=0,"—",IF(IF(AND('ERDR Iterations'!B$40=1,'ERDR Iterations'!B$34=1,'ERDR Iterations'!B$43=1),", S₁","")&amp;IF(AND('ERDR Iterations'!C$40=1,'ERDR Iterations'!C$34=1,'ERDR Iterations'!C$43=1),", S₂","")&amp;IF(AND('ERDR Iterations'!D$40=1,'ERDR Iterations'!D$34=1,'ERDR Iterations'!D$43=1),", S₃","")&amp;IF(AND('ERDR Iterations'!E$40=1,'ERDR Iterations'!E$34=1,'ERDR Iterations'!E$43=1),", S₄","")&amp;IF(AND('ERDR Iterations'!F$40=1,'ERDR Iterations'!F$34=1,'ERDR Iterations'!F$43=1),", S₅","")&amp;IF(AND('ERDR Iterations'!G$40=1,'ERDR Iterations'!G$34=1,'ERDR Iterations'!G$43=1),", S₆","")&amp;IF(AND('ERDR Iterations'!H$40=1,'ERDR Iterations'!H$34=1,'ERDR Iterations'!H$43=1),", S₇","")="","∅","{"&amp;MID(IF(AND('ERDR Iterations'!B$40=1,'ERDR Iterations'!B$34=1,'ERDR Iterations'!B$43=1),", S₁","")&amp;IF(AND('ERDR Iterations'!C$40=1,'ERDR Iterations'!C$34=1,'ERDR Iterations'!C$43=1),", S₂","")&amp;IF(AND('ERDR Iterations'!D$40=1,'ERDR Iterations'!D$34=1,'ERDR Iterations'!D$43=1),", S₃","")&amp;IF(AND('ERDR Iterations'!E$40=1,'ERDR Iterations'!E$34=1,'ERDR Iterations'!E$43=1),", S₄","")&amp;IF(AND('ERDR Iterations'!F$40=1,'ERDR Iterations'!F$34=1,'ERDR Iterations'!F$43=1),", S₅","")&amp;IF(AND('ERDR Iterations'!G$40=1,'ERDR Iterations'!G$34=1,'ERDR Iterations'!G$43=1),", S₆","")&amp;IF(AND('ERDR Iterations'!H$40=1,'ERDR Iterations'!H$34=1,'ERDR Iterations'!H$43=1),", S₇",""),3,300)&amp;"}"))</f>
        <v>{S₃, S₇}</v>
      </c>
      <c r="I8" s="101"/>
      <c r="J8" s="101"/>
      <c r="K8" s="101" t="str">
        <f>IF('ERDR Iterations'!$K$35=0,"—",IF(IF(AND('ERDR Iterations'!B$40=1,'ERDR Iterations'!B$34=0,'ERDR Iterations'!B$43=1),", S₁","")&amp;IF(AND('ERDR Iterations'!C$40=1,'ERDR Iterations'!C$34=0,'ERDR Iterations'!C$43=1),", S₂","")&amp;IF(AND('ERDR Iterations'!D$40=1,'ERDR Iterations'!D$34=0,'ERDR Iterations'!D$43=1),", S₃","")&amp;IF(AND('ERDR Iterations'!E$40=1,'ERDR Iterations'!E$34=0,'ERDR Iterations'!E$43=1),", S₄","")&amp;IF(AND('ERDR Iterations'!F$40=1,'ERDR Iterations'!F$34=0,'ERDR Iterations'!F$43=1),", S₅","")&amp;IF(AND('ERDR Iterations'!G$40=1,'ERDR Iterations'!G$34=0,'ERDR Iterations'!G$43=1),", S₆","")&amp;IF(AND('ERDR Iterations'!H$40=1,'ERDR Iterations'!H$34=0,'ERDR Iterations'!H$43=1),", S₇","")="","∅","{"&amp;MID(IF(AND('ERDR Iterations'!B$40=1,'ERDR Iterations'!B$34=0,'ERDR Iterations'!B$43=1),", S₁","")&amp;IF(AND('ERDR Iterations'!C$40=1,'ERDR Iterations'!C$34=0,'ERDR Iterations'!C$43=1),", S₂","")&amp;IF(AND('ERDR Iterations'!D$40=1,'ERDR Iterations'!D$34=0,'ERDR Iterations'!D$43=1),", S₃","")&amp;IF(AND('ERDR Iterations'!E$40=1,'ERDR Iterations'!E$34=0,'ERDR Iterations'!E$43=1),", S₄","")&amp;IF(AND('ERDR Iterations'!F$40=1,'ERDR Iterations'!F$34=0,'ERDR Iterations'!F$43=1),", S₅","")&amp;IF(AND('ERDR Iterations'!G$40=1,'ERDR Iterations'!G$34=0,'ERDR Iterations'!G$43=1),", S₆","")&amp;IF(AND('ERDR Iterations'!H$40=1,'ERDR Iterations'!H$34=0,'ERDR Iterations'!H$43=1),", S₇",""),3,300)&amp;"}"))</f>
        <v>∅</v>
      </c>
      <c r="L8" s="101"/>
      <c r="M8" s="85" t="str">
        <f>IF('ERDR Iterations'!$K$35=0,"—",'ERDR Iterations'!$K$39)</f>
        <v>{S₃, S₇}</v>
      </c>
      <c r="N8" s="77">
        <f>IF('ERDR Iterations'!$K$35=0,"—",'ERDR Iterations'!$K$40)</f>
        <v>2</v>
      </c>
      <c r="O8" s="101" t="str">
        <f>'ERDR Iterations'!$K$41&amp;IF('ERDR Iterations'!$K$43="—","","  ·  "&amp;'ERDR Iterations'!$K$43)</f>
        <v>|L| &gt; 1 → Step 5 corrects g  ·  S₇ (Step 5)</v>
      </c>
    </row>
    <row r="9">
      <c r="A9" s="77">
        <v>3</v>
      </c>
      <c r="B9" s="62" t="str">
        <f>IF('ERDR Iterations'!$K$61=0,"— stop",'ERDR Iterations'!$K$62)</f>
        <v>S₅</v>
      </c>
      <c r="C9" s="68">
        <f>IF('ERDR Iterations'!$K$61=0,"—",INDEX('Dataset'!$P$5:$P$11,'ERDR Iterations'!$K$61))</f>
        <v>2</v>
      </c>
      <c r="D9" s="73">
        <f>'ERDR Iterations'!$K$64</f>
        <v>7.1117040273</v>
      </c>
      <c r="E9" s="101" t="str">
        <f>IF('ERDR Iterations'!$K$61=0,"—",IF(IF(AND('ERDR Iterations'!B$66=1,'ERDR Iterations'!B$60=1),", S₁","")&amp;IF(AND('ERDR Iterations'!C$66=1,'ERDR Iterations'!C$60=1),", S₂","")&amp;IF(AND('ERDR Iterations'!D$66=1,'ERDR Iterations'!D$60=1),", S₃","")&amp;IF(AND('ERDR Iterations'!E$66=1,'ERDR Iterations'!E$60=1),", S₄","")&amp;IF(AND('ERDR Iterations'!F$66=1,'ERDR Iterations'!F$60=1),", S₅","")&amp;IF(AND('ERDR Iterations'!G$66=1,'ERDR Iterations'!G$60=1),", S₆","")&amp;IF(AND('ERDR Iterations'!H$66=1,'ERDR Iterations'!H$60=1),", S₇","")="","∅","{"&amp;MID(IF(AND('ERDR Iterations'!B$66=1,'ERDR Iterations'!B$60=1),", S₁","")&amp;IF(AND('ERDR Iterations'!C$66=1,'ERDR Iterations'!C$60=1),", S₂","")&amp;IF(AND('ERDR Iterations'!D$66=1,'ERDR Iterations'!D$60=1),", S₃","")&amp;IF(AND('ERDR Iterations'!E$66=1,'ERDR Iterations'!E$60=1),", S₄","")&amp;IF(AND('ERDR Iterations'!F$66=1,'ERDR Iterations'!F$60=1),", S₅","")&amp;IF(AND('ERDR Iterations'!G$66=1,'ERDR Iterations'!G$60=1),", S₆","")&amp;IF(AND('ERDR Iterations'!H$66=1,'ERDR Iterations'!H$60=1),", S₇",""),3,300)&amp;"}"))</f>
        <v>{S₁, S₂, S₄, S₅}</v>
      </c>
      <c r="F9" s="101"/>
      <c r="G9" s="101"/>
      <c r="H9" s="101" t="str">
        <f>IF('ERDR Iterations'!$K$61=0,"—",IF(IF(AND('ERDR Iterations'!B$66=1,'ERDR Iterations'!B$60=1,'ERDR Iterations'!B$69=1),", S₁","")&amp;IF(AND('ERDR Iterations'!C$66=1,'ERDR Iterations'!C$60=1,'ERDR Iterations'!C$69=1),", S₂","")&amp;IF(AND('ERDR Iterations'!D$66=1,'ERDR Iterations'!D$60=1,'ERDR Iterations'!D$69=1),", S₃","")&amp;IF(AND('ERDR Iterations'!E$66=1,'ERDR Iterations'!E$60=1,'ERDR Iterations'!E$69=1),", S₄","")&amp;IF(AND('ERDR Iterations'!F$66=1,'ERDR Iterations'!F$60=1,'ERDR Iterations'!F$69=1),", S₅","")&amp;IF(AND('ERDR Iterations'!G$66=1,'ERDR Iterations'!G$60=1,'ERDR Iterations'!G$69=1),", S₆","")&amp;IF(AND('ERDR Iterations'!H$66=1,'ERDR Iterations'!H$60=1,'ERDR Iterations'!H$69=1),", S₇","")="","∅","{"&amp;MID(IF(AND('ERDR Iterations'!B$66=1,'ERDR Iterations'!B$60=1,'ERDR Iterations'!B$69=1),", S₁","")&amp;IF(AND('ERDR Iterations'!C$66=1,'ERDR Iterations'!C$60=1,'ERDR Iterations'!C$69=1),", S₂","")&amp;IF(AND('ERDR Iterations'!D$66=1,'ERDR Iterations'!D$60=1,'ERDR Iterations'!D$69=1),", S₃","")&amp;IF(AND('ERDR Iterations'!E$66=1,'ERDR Iterations'!E$60=1,'ERDR Iterations'!E$69=1),", S₄","")&amp;IF(AND('ERDR Iterations'!F$66=1,'ERDR Iterations'!F$60=1,'ERDR Iterations'!F$69=1),", S₅","")&amp;IF(AND('ERDR Iterations'!G$66=1,'ERDR Iterations'!G$60=1,'ERDR Iterations'!G$69=1),", S₆","")&amp;IF(AND('ERDR Iterations'!H$66=1,'ERDR Iterations'!H$60=1,'ERDR Iterations'!H$69=1),", S₇",""),3,300)&amp;"}"))</f>
        <v>{S₁, S₂, S₅}</v>
      </c>
      <c r="I9" s="101"/>
      <c r="J9" s="101"/>
      <c r="K9" s="101" t="str">
        <f>IF('ERDR Iterations'!$K$61=0,"—",IF(IF(AND('ERDR Iterations'!B$66=1,'ERDR Iterations'!B$60=0,'ERDR Iterations'!B$69=1),", S₁","")&amp;IF(AND('ERDR Iterations'!C$66=1,'ERDR Iterations'!C$60=0,'ERDR Iterations'!C$69=1),", S₂","")&amp;IF(AND('ERDR Iterations'!D$66=1,'ERDR Iterations'!D$60=0,'ERDR Iterations'!D$69=1),", S₃","")&amp;IF(AND('ERDR Iterations'!E$66=1,'ERDR Iterations'!E$60=0,'ERDR Iterations'!E$69=1),", S₄","")&amp;IF(AND('ERDR Iterations'!F$66=1,'ERDR Iterations'!F$60=0,'ERDR Iterations'!F$69=1),", S₅","")&amp;IF(AND('ERDR Iterations'!G$66=1,'ERDR Iterations'!G$60=0,'ERDR Iterations'!G$69=1),", S₆","")&amp;IF(AND('ERDR Iterations'!H$66=1,'ERDR Iterations'!H$60=0,'ERDR Iterations'!H$69=1),", S₇","")="","∅","{"&amp;MID(IF(AND('ERDR Iterations'!B$66=1,'ERDR Iterations'!B$60=0,'ERDR Iterations'!B$69=1),", S₁","")&amp;IF(AND('ERDR Iterations'!C$66=1,'ERDR Iterations'!C$60=0,'ERDR Iterations'!C$69=1),", S₂","")&amp;IF(AND('ERDR Iterations'!D$66=1,'ERDR Iterations'!D$60=0,'ERDR Iterations'!D$69=1),", S₃","")&amp;IF(AND('ERDR Iterations'!E$66=1,'ERDR Iterations'!E$60=0,'ERDR Iterations'!E$69=1),", S₄","")&amp;IF(AND('ERDR Iterations'!F$66=1,'ERDR Iterations'!F$60=0,'ERDR Iterations'!F$69=1),", S₅","")&amp;IF(AND('ERDR Iterations'!G$66=1,'ERDR Iterations'!G$60=0,'ERDR Iterations'!G$69=1),", S₆","")&amp;IF(AND('ERDR Iterations'!H$66=1,'ERDR Iterations'!H$60=0,'ERDR Iterations'!H$69=1),", S₇",""),3,300)&amp;"}"))</f>
        <v>∅</v>
      </c>
      <c r="L9" s="101"/>
      <c r="M9" s="85" t="str">
        <f>IF('ERDR Iterations'!$K$61=0,"—",'ERDR Iterations'!$K$65)</f>
        <v>{S₁, S₂, S₅}</v>
      </c>
      <c r="N9" s="77">
        <f>IF('ERDR Iterations'!$K$61=0,"—",'ERDR Iterations'!$K$66)</f>
        <v>3</v>
      </c>
      <c r="O9" s="101" t="str">
        <f>'ERDR Iterations'!$K$67&amp;IF('ERDR Iterations'!$K$69="—","","  ·  "&amp;'ERDR Iterations'!$K$69)</f>
        <v>|L| &gt; 1 → Step 5 corrects g  ·  S₁ (Step 5), S₅ (Step 5)</v>
      </c>
    </row>
    <row r="10">
      <c r="A10" s="77">
        <v>4</v>
      </c>
      <c r="B10" s="62" t="str">
        <f>IF('ERDR Iterations'!$K$87=0,"— stop",'ERDR Iterations'!$K$88)</f>
        <v>S₂</v>
      </c>
      <c r="C10" s="68">
        <f>IF('ERDR Iterations'!$K$87=0,"—",INDEX('Dataset'!$P$5:$P$11,'ERDR Iterations'!$K$87))</f>
        <v>2</v>
      </c>
      <c r="D10" s="73">
        <f>'ERDR Iterations'!$K$90</f>
        <v>7.4699698919</v>
      </c>
      <c r="E10" s="101" t="str">
        <f>IF('ERDR Iterations'!$K$87=0,"—",IF(IF(AND('ERDR Iterations'!B$92=1,'ERDR Iterations'!B$86=1),", S₁","")&amp;IF(AND('ERDR Iterations'!C$92=1,'ERDR Iterations'!C$86=1),", S₂","")&amp;IF(AND('ERDR Iterations'!D$92=1,'ERDR Iterations'!D$86=1),", S₃","")&amp;IF(AND('ERDR Iterations'!E$92=1,'ERDR Iterations'!E$86=1),", S₄","")&amp;IF(AND('ERDR Iterations'!F$92=1,'ERDR Iterations'!F$86=1),", S₅","")&amp;IF(AND('ERDR Iterations'!G$92=1,'ERDR Iterations'!G$86=1),", S₆","")&amp;IF(AND('ERDR Iterations'!H$92=1,'ERDR Iterations'!H$86=1),", S₇","")="","∅","{"&amp;MID(IF(AND('ERDR Iterations'!B$92=1,'ERDR Iterations'!B$86=1),", S₁","")&amp;IF(AND('ERDR Iterations'!C$92=1,'ERDR Iterations'!C$86=1),", S₂","")&amp;IF(AND('ERDR Iterations'!D$92=1,'ERDR Iterations'!D$86=1),", S₃","")&amp;IF(AND('ERDR Iterations'!E$92=1,'ERDR Iterations'!E$86=1),", S₄","")&amp;IF(AND('ERDR Iterations'!F$92=1,'ERDR Iterations'!F$86=1),", S₅","")&amp;IF(AND('ERDR Iterations'!G$92=1,'ERDR Iterations'!G$86=1),", S₆","")&amp;IF(AND('ERDR Iterations'!H$92=1,'ERDR Iterations'!H$86=1),", S₇",""),3,300)&amp;"}"))</f>
        <v>{S₂, S₄}</v>
      </c>
      <c r="F10" s="101"/>
      <c r="G10" s="101"/>
      <c r="H10" s="101" t="str">
        <f>IF('ERDR Iterations'!$K$87=0,"—",IF(IF(AND('ERDR Iterations'!B$92=1,'ERDR Iterations'!B$86=1,'ERDR Iterations'!B$95=1),", S₁","")&amp;IF(AND('ERDR Iterations'!C$92=1,'ERDR Iterations'!C$86=1,'ERDR Iterations'!C$95=1),", S₂","")&amp;IF(AND('ERDR Iterations'!D$92=1,'ERDR Iterations'!D$86=1,'ERDR Iterations'!D$95=1),", S₃","")&amp;IF(AND('ERDR Iterations'!E$92=1,'ERDR Iterations'!E$86=1,'ERDR Iterations'!E$95=1),", S₄","")&amp;IF(AND('ERDR Iterations'!F$92=1,'ERDR Iterations'!F$86=1,'ERDR Iterations'!F$95=1),", S₅","")&amp;IF(AND('ERDR Iterations'!G$92=1,'ERDR Iterations'!G$86=1,'ERDR Iterations'!G$95=1),", S₆","")&amp;IF(AND('ERDR Iterations'!H$92=1,'ERDR Iterations'!H$86=1,'ERDR Iterations'!H$95=1),", S₇","")="","∅","{"&amp;MID(IF(AND('ERDR Iterations'!B$92=1,'ERDR Iterations'!B$86=1,'ERDR Iterations'!B$95=1),", S₁","")&amp;IF(AND('ERDR Iterations'!C$92=1,'ERDR Iterations'!C$86=1,'ERDR Iterations'!C$95=1),", S₂","")&amp;IF(AND('ERDR Iterations'!D$92=1,'ERDR Iterations'!D$86=1,'ERDR Iterations'!D$95=1),", S₃","")&amp;IF(AND('ERDR Iterations'!E$92=1,'ERDR Iterations'!E$86=1,'ERDR Iterations'!E$95=1),", S₄","")&amp;IF(AND('ERDR Iterations'!F$92=1,'ERDR Iterations'!F$86=1,'ERDR Iterations'!F$95=1),", S₅","")&amp;IF(AND('ERDR Iterations'!G$92=1,'ERDR Iterations'!G$86=1,'ERDR Iterations'!G$95=1),", S₆","")&amp;IF(AND('ERDR Iterations'!H$92=1,'ERDR Iterations'!H$86=1,'ERDR Iterations'!H$95=1),", S₇",""),3,300)&amp;"}"))</f>
        <v>{S₂}</v>
      </c>
      <c r="I10" s="101"/>
      <c r="J10" s="101"/>
      <c r="K10" s="101" t="str">
        <f>IF('ERDR Iterations'!$K$87=0,"—",IF(IF(AND('ERDR Iterations'!B$92=1,'ERDR Iterations'!B$86=0,'ERDR Iterations'!B$95=1),", S₁","")&amp;IF(AND('ERDR Iterations'!C$92=1,'ERDR Iterations'!C$86=0,'ERDR Iterations'!C$95=1),", S₂","")&amp;IF(AND('ERDR Iterations'!D$92=1,'ERDR Iterations'!D$86=0,'ERDR Iterations'!D$95=1),", S₃","")&amp;IF(AND('ERDR Iterations'!E$92=1,'ERDR Iterations'!E$86=0,'ERDR Iterations'!E$95=1),", S₄","")&amp;IF(AND('ERDR Iterations'!F$92=1,'ERDR Iterations'!F$86=0,'ERDR Iterations'!F$95=1),", S₅","")&amp;IF(AND('ERDR Iterations'!G$92=1,'ERDR Iterations'!G$86=0,'ERDR Iterations'!G$95=1),", S₆","")&amp;IF(AND('ERDR Iterations'!H$92=1,'ERDR Iterations'!H$86=0,'ERDR Iterations'!H$95=1),", S₇","")="","∅","{"&amp;MID(IF(AND('ERDR Iterations'!B$92=1,'ERDR Iterations'!B$86=0,'ERDR Iterations'!B$95=1),", S₁","")&amp;IF(AND('ERDR Iterations'!C$92=1,'ERDR Iterations'!C$86=0,'ERDR Iterations'!C$95=1),", S₂","")&amp;IF(AND('ERDR Iterations'!D$92=1,'ERDR Iterations'!D$86=0,'ERDR Iterations'!D$95=1),", S₃","")&amp;IF(AND('ERDR Iterations'!E$92=1,'ERDR Iterations'!E$86=0,'ERDR Iterations'!E$95=1),", S₄","")&amp;IF(AND('ERDR Iterations'!F$92=1,'ERDR Iterations'!F$86=0,'ERDR Iterations'!F$95=1),", S₅","")&amp;IF(AND('ERDR Iterations'!G$92=1,'ERDR Iterations'!G$86=0,'ERDR Iterations'!G$95=1),", S₆","")&amp;IF(AND('ERDR Iterations'!H$92=1,'ERDR Iterations'!H$86=0,'ERDR Iterations'!H$95=1),", S₇",""),3,300)&amp;"}"))</f>
        <v>{S₁, S₅}</v>
      </c>
      <c r="L10" s="101"/>
      <c r="M10" s="85" t="str">
        <f>IF('ERDR Iterations'!$K$87=0,"—",'ERDR Iterations'!$K$91)</f>
        <v>{S₂}</v>
      </c>
      <c r="N10" s="77">
        <f>IF('ERDR Iterations'!$K$87=0,"—",'ERDR Iterations'!$K$92)</f>
        <v>1</v>
      </c>
      <c r="O10" s="101" t="str">
        <f>'ERDR Iterations'!$K$93&amp;IF('ERDR Iterations'!$K$95="—","","  ·  "&amp;'ERDR Iterations'!$K$95)</f>
        <v>|L| = 1 → Sᵢ moves to D  ·  S₂ (Step 4)</v>
      </c>
    </row>
    <row r="11">
      <c r="A11" s="77">
        <v>5</v>
      </c>
      <c r="B11" s="62" t="str">
        <f>IF('ERDR Iterations'!$K$113=0,"— stop",'ERDR Iterations'!$K$114)</f>
        <v>S₆</v>
      </c>
      <c r="C11" s="68">
        <f>IF('ERDR Iterations'!$K$113=0,"—",INDEX('Dataset'!$P$5:$P$11,'ERDR Iterations'!$K$113))</f>
        <v>1</v>
      </c>
      <c r="D11" s="73">
        <f>'ERDR Iterations'!$K$116</f>
        <v>3.7071187508</v>
      </c>
      <c r="E11" s="101" t="str">
        <f>IF('ERDR Iterations'!$K$113=0,"—",IF(IF(AND('ERDR Iterations'!B$118=1,'ERDR Iterations'!B$112=1),", S₁","")&amp;IF(AND('ERDR Iterations'!C$118=1,'ERDR Iterations'!C$112=1),", S₂","")&amp;IF(AND('ERDR Iterations'!D$118=1,'ERDR Iterations'!D$112=1),", S₃","")&amp;IF(AND('ERDR Iterations'!E$118=1,'ERDR Iterations'!E$112=1),", S₄","")&amp;IF(AND('ERDR Iterations'!F$118=1,'ERDR Iterations'!F$112=1),", S₅","")&amp;IF(AND('ERDR Iterations'!G$118=1,'ERDR Iterations'!G$112=1),", S₆","")&amp;IF(AND('ERDR Iterations'!H$118=1,'ERDR Iterations'!H$112=1),", S₇","")="","∅","{"&amp;MID(IF(AND('ERDR Iterations'!B$118=1,'ERDR Iterations'!B$112=1),", S₁","")&amp;IF(AND('ERDR Iterations'!C$118=1,'ERDR Iterations'!C$112=1),", S₂","")&amp;IF(AND('ERDR Iterations'!D$118=1,'ERDR Iterations'!D$112=1),", S₃","")&amp;IF(AND('ERDR Iterations'!E$118=1,'ERDR Iterations'!E$112=1),", S₄","")&amp;IF(AND('ERDR Iterations'!F$118=1,'ERDR Iterations'!F$112=1),", S₅","")&amp;IF(AND('ERDR Iterations'!G$118=1,'ERDR Iterations'!G$112=1),", S₆","")&amp;IF(AND('ERDR Iterations'!H$118=1,'ERDR Iterations'!H$112=1),", S₇",""),3,300)&amp;"}"))</f>
        <v>{S₃, S₆}</v>
      </c>
      <c r="F11" s="101"/>
      <c r="G11" s="101"/>
      <c r="H11" s="101" t="str">
        <f>IF('ERDR Iterations'!$K$113=0,"—",IF(IF(AND('ERDR Iterations'!B$118=1,'ERDR Iterations'!B$112=1,'ERDR Iterations'!B$121=1),", S₁","")&amp;IF(AND('ERDR Iterations'!C$118=1,'ERDR Iterations'!C$112=1,'ERDR Iterations'!C$121=1),", S₂","")&amp;IF(AND('ERDR Iterations'!D$118=1,'ERDR Iterations'!D$112=1,'ERDR Iterations'!D$121=1),", S₃","")&amp;IF(AND('ERDR Iterations'!E$118=1,'ERDR Iterations'!E$112=1,'ERDR Iterations'!E$121=1),", S₄","")&amp;IF(AND('ERDR Iterations'!F$118=1,'ERDR Iterations'!F$112=1,'ERDR Iterations'!F$121=1),", S₅","")&amp;IF(AND('ERDR Iterations'!G$118=1,'ERDR Iterations'!G$112=1,'ERDR Iterations'!G$121=1),", S₆","")&amp;IF(AND('ERDR Iterations'!H$118=1,'ERDR Iterations'!H$112=1,'ERDR Iterations'!H$121=1),", S₇","")="","∅","{"&amp;MID(IF(AND('ERDR Iterations'!B$118=1,'ERDR Iterations'!B$112=1,'ERDR Iterations'!B$121=1),", S₁","")&amp;IF(AND('ERDR Iterations'!C$118=1,'ERDR Iterations'!C$112=1,'ERDR Iterations'!C$121=1),", S₂","")&amp;IF(AND('ERDR Iterations'!D$118=1,'ERDR Iterations'!D$112=1,'ERDR Iterations'!D$121=1),", S₃","")&amp;IF(AND('ERDR Iterations'!E$118=1,'ERDR Iterations'!E$112=1,'ERDR Iterations'!E$121=1),", S₄","")&amp;IF(AND('ERDR Iterations'!F$118=1,'ERDR Iterations'!F$112=1,'ERDR Iterations'!F$121=1),", S₅","")&amp;IF(AND('ERDR Iterations'!G$118=1,'ERDR Iterations'!G$112=1,'ERDR Iterations'!G$121=1),", S₆","")&amp;IF(AND('ERDR Iterations'!H$118=1,'ERDR Iterations'!H$112=1,'ERDR Iterations'!H$121=1),", S₇",""),3,300)&amp;"}"))</f>
        <v>{S₃, S₆}</v>
      </c>
      <c r="I11" s="101"/>
      <c r="J11" s="101"/>
      <c r="K11" s="101" t="str">
        <f>IF('ERDR Iterations'!$K$113=0,"—",IF(IF(AND('ERDR Iterations'!B$118=1,'ERDR Iterations'!B$112=0,'ERDR Iterations'!B$121=1),", S₁","")&amp;IF(AND('ERDR Iterations'!C$118=1,'ERDR Iterations'!C$112=0,'ERDR Iterations'!C$121=1),", S₂","")&amp;IF(AND('ERDR Iterations'!D$118=1,'ERDR Iterations'!D$112=0,'ERDR Iterations'!D$121=1),", S₃","")&amp;IF(AND('ERDR Iterations'!E$118=1,'ERDR Iterations'!E$112=0,'ERDR Iterations'!E$121=1),", S₄","")&amp;IF(AND('ERDR Iterations'!F$118=1,'ERDR Iterations'!F$112=0,'ERDR Iterations'!F$121=1),", S₅","")&amp;IF(AND('ERDR Iterations'!G$118=1,'ERDR Iterations'!G$112=0,'ERDR Iterations'!G$121=1),", S₆","")&amp;IF(AND('ERDR Iterations'!H$118=1,'ERDR Iterations'!H$112=0,'ERDR Iterations'!H$121=1),", S₇","")="","∅","{"&amp;MID(IF(AND('ERDR Iterations'!B$118=1,'ERDR Iterations'!B$112=0,'ERDR Iterations'!B$121=1),", S₁","")&amp;IF(AND('ERDR Iterations'!C$118=1,'ERDR Iterations'!C$112=0,'ERDR Iterations'!C$121=1),", S₂","")&amp;IF(AND('ERDR Iterations'!D$118=1,'ERDR Iterations'!D$112=0,'ERDR Iterations'!D$121=1),", S₃","")&amp;IF(AND('ERDR Iterations'!E$118=1,'ERDR Iterations'!E$112=0,'ERDR Iterations'!E$121=1),", S₄","")&amp;IF(AND('ERDR Iterations'!F$118=1,'ERDR Iterations'!F$112=0,'ERDR Iterations'!F$121=1),", S₅","")&amp;IF(AND('ERDR Iterations'!G$118=1,'ERDR Iterations'!G$112=0,'ERDR Iterations'!G$121=1),", S₆","")&amp;IF(AND('ERDR Iterations'!H$118=1,'ERDR Iterations'!H$112=0,'ERDR Iterations'!H$121=1),", S₇",""),3,300)&amp;"}"))</f>
        <v>∅</v>
      </c>
      <c r="L11" s="101"/>
      <c r="M11" s="85" t="str">
        <f>IF('ERDR Iterations'!$K$113=0,"—",'ERDR Iterations'!$K$117)</f>
        <v>{S₃}</v>
      </c>
      <c r="N11" s="77">
        <f>IF('ERDR Iterations'!$K$113=0,"—",'ERDR Iterations'!$K$118)</f>
        <v>1</v>
      </c>
      <c r="O11" s="101" t="str">
        <f>'ERDR Iterations'!$K$119&amp;IF('ERDR Iterations'!$K$121="—","","  ·  "&amp;'ERDR Iterations'!$K$121)</f>
        <v>|L| = 1 → Sᵢ moves to D  ·  S₆ (Step 4)</v>
      </c>
    </row>
    <row r="12">
      <c r="A12" s="77">
        <v>6</v>
      </c>
      <c r="B12" s="62" t="str">
        <f>IF('ERDR Iterations'!$K$139=0,"— stop",'ERDR Iterations'!$K$140)</f>
        <v>S₄</v>
      </c>
      <c r="C12" s="68">
        <f>IF('ERDR Iterations'!$K$139=0,"—",INDEX('Dataset'!$P$5:$P$11,'ERDR Iterations'!$K$139))</f>
        <v>2</v>
      </c>
      <c r="D12" s="73">
        <f>'ERDR Iterations'!$K$142</f>
        <v>3.7071187508</v>
      </c>
      <c r="E12" s="101" t="str">
        <f>IF('ERDR Iterations'!$K$139=0,"—",IF(IF(AND('ERDR Iterations'!B$144=1,'ERDR Iterations'!B$138=1),", S₁","")&amp;IF(AND('ERDR Iterations'!C$144=1,'ERDR Iterations'!C$138=1),", S₂","")&amp;IF(AND('ERDR Iterations'!D$144=1,'ERDR Iterations'!D$138=1),", S₃","")&amp;IF(AND('ERDR Iterations'!E$144=1,'ERDR Iterations'!E$138=1),", S₄","")&amp;IF(AND('ERDR Iterations'!F$144=1,'ERDR Iterations'!F$138=1),", S₅","")&amp;IF(AND('ERDR Iterations'!G$144=1,'ERDR Iterations'!G$138=1),", S₆","")&amp;IF(AND('ERDR Iterations'!H$144=1,'ERDR Iterations'!H$138=1),", S₇","")="","∅","{"&amp;MID(IF(AND('ERDR Iterations'!B$144=1,'ERDR Iterations'!B$138=1),", S₁","")&amp;IF(AND('ERDR Iterations'!C$144=1,'ERDR Iterations'!C$138=1),", S₂","")&amp;IF(AND('ERDR Iterations'!D$144=1,'ERDR Iterations'!D$138=1),", S₃","")&amp;IF(AND('ERDR Iterations'!E$144=1,'ERDR Iterations'!E$138=1),", S₄","")&amp;IF(AND('ERDR Iterations'!F$144=1,'ERDR Iterations'!F$138=1),", S₅","")&amp;IF(AND('ERDR Iterations'!G$144=1,'ERDR Iterations'!G$138=1),", S₆","")&amp;IF(AND('ERDR Iterations'!H$144=1,'ERDR Iterations'!H$138=1),", S₇",""),3,300)&amp;"}"))</f>
        <v>{S₄}</v>
      </c>
      <c r="F12" s="101"/>
      <c r="G12" s="101"/>
      <c r="H12" s="101" t="str">
        <f>IF('ERDR Iterations'!$K$139=0,"—",IF(IF(AND('ERDR Iterations'!B$144=1,'ERDR Iterations'!B$138=1,'ERDR Iterations'!B$147=1),", S₁","")&amp;IF(AND('ERDR Iterations'!C$144=1,'ERDR Iterations'!C$138=1,'ERDR Iterations'!C$147=1),", S₂","")&amp;IF(AND('ERDR Iterations'!D$144=1,'ERDR Iterations'!D$138=1,'ERDR Iterations'!D$147=1),", S₃","")&amp;IF(AND('ERDR Iterations'!E$144=1,'ERDR Iterations'!E$138=1,'ERDR Iterations'!E$147=1),", S₄","")&amp;IF(AND('ERDR Iterations'!F$144=1,'ERDR Iterations'!F$138=1,'ERDR Iterations'!F$147=1),", S₅","")&amp;IF(AND('ERDR Iterations'!G$144=1,'ERDR Iterations'!G$138=1,'ERDR Iterations'!G$147=1),", S₆","")&amp;IF(AND('ERDR Iterations'!H$144=1,'ERDR Iterations'!H$138=1,'ERDR Iterations'!H$147=1),", S₇","")="","∅","{"&amp;MID(IF(AND('ERDR Iterations'!B$144=1,'ERDR Iterations'!B$138=1,'ERDR Iterations'!B$147=1),", S₁","")&amp;IF(AND('ERDR Iterations'!C$144=1,'ERDR Iterations'!C$138=1,'ERDR Iterations'!C$147=1),", S₂","")&amp;IF(AND('ERDR Iterations'!D$144=1,'ERDR Iterations'!D$138=1,'ERDR Iterations'!D$147=1),", S₃","")&amp;IF(AND('ERDR Iterations'!E$144=1,'ERDR Iterations'!E$138=1,'ERDR Iterations'!E$147=1),", S₄","")&amp;IF(AND('ERDR Iterations'!F$144=1,'ERDR Iterations'!F$138=1,'ERDR Iterations'!F$147=1),", S₅","")&amp;IF(AND('ERDR Iterations'!G$144=1,'ERDR Iterations'!G$138=1,'ERDR Iterations'!G$147=1),", S₆","")&amp;IF(AND('ERDR Iterations'!H$144=1,'ERDR Iterations'!H$138=1,'ERDR Iterations'!H$147=1),", S₇",""),3,300)&amp;"}"))</f>
        <v>{S₄}</v>
      </c>
      <c r="I12" s="101"/>
      <c r="J12" s="101"/>
      <c r="K12" s="101" t="str">
        <f>IF('ERDR Iterations'!$K$139=0,"—",IF(IF(AND('ERDR Iterations'!B$144=1,'ERDR Iterations'!B$138=0,'ERDR Iterations'!B$147=1),", S₁","")&amp;IF(AND('ERDR Iterations'!C$144=1,'ERDR Iterations'!C$138=0,'ERDR Iterations'!C$147=1),", S₂","")&amp;IF(AND('ERDR Iterations'!D$144=1,'ERDR Iterations'!D$138=0,'ERDR Iterations'!D$147=1),", S₃","")&amp;IF(AND('ERDR Iterations'!E$144=1,'ERDR Iterations'!E$138=0,'ERDR Iterations'!E$147=1),", S₄","")&amp;IF(AND('ERDR Iterations'!F$144=1,'ERDR Iterations'!F$138=0,'ERDR Iterations'!F$147=1),", S₅","")&amp;IF(AND('ERDR Iterations'!G$144=1,'ERDR Iterations'!G$138=0,'ERDR Iterations'!G$147=1),", S₆","")&amp;IF(AND('ERDR Iterations'!H$144=1,'ERDR Iterations'!H$138=0,'ERDR Iterations'!H$147=1),", S₇","")="","∅","{"&amp;MID(IF(AND('ERDR Iterations'!B$144=1,'ERDR Iterations'!B$138=0,'ERDR Iterations'!B$147=1),", S₁","")&amp;IF(AND('ERDR Iterations'!C$144=1,'ERDR Iterations'!C$138=0,'ERDR Iterations'!C$147=1),", S₂","")&amp;IF(AND('ERDR Iterations'!D$144=1,'ERDR Iterations'!D$138=0,'ERDR Iterations'!D$147=1),", S₃","")&amp;IF(AND('ERDR Iterations'!E$144=1,'ERDR Iterations'!E$138=0,'ERDR Iterations'!E$147=1),", S₄","")&amp;IF(AND('ERDR Iterations'!F$144=1,'ERDR Iterations'!F$138=0,'ERDR Iterations'!F$147=1),", S₅","")&amp;IF(AND('ERDR Iterations'!G$144=1,'ERDR Iterations'!G$138=0,'ERDR Iterations'!G$147=1),", S₆","")&amp;IF(AND('ERDR Iterations'!H$144=1,'ERDR Iterations'!H$138=0,'ERDR Iterations'!H$147=1),", S₇",""),3,300)&amp;"}"))</f>
        <v>{S₂}</v>
      </c>
      <c r="L12" s="101"/>
      <c r="M12" s="85" t="str">
        <f>IF('ERDR Iterations'!$K$139=0,"—",'ERDR Iterations'!$K$143)</f>
        <v>∅</v>
      </c>
      <c r="N12" s="77">
        <f>IF('ERDR Iterations'!$K$139=0,"—",'ERDR Iterations'!$K$144)</f>
        <v>0</v>
      </c>
      <c r="O12" s="101" t="str">
        <f>'ERDR Iterations'!$K$145&amp;IF('ERDR Iterations'!$K$147="—","","  ·  "&amp;'ERDR Iterations'!$K$147)</f>
        <v>|L| = 0 → Sᵢ is only blocked and stays in F</v>
      </c>
    </row>
    <row r="13">
      <c r="A13" s="77">
        <v>7</v>
      </c>
      <c r="B13" s="62" t="str">
        <f>IF('ERDR Iterations'!$K$165=0,"— stop",'ERDR Iterations'!$K$166)</f>
        <v>— stop</v>
      </c>
      <c r="C13" s="68" t="str">
        <f>IF('ERDR Iterations'!$K$165=0,"—",INDEX('Dataset'!$P$5:$P$11,'ERDR Iterations'!$K$165))</f>
        <v>—</v>
      </c>
      <c r="D13" s="73" t="str">
        <f>'ERDR Iterations'!$K$168</f>
        <v>—</v>
      </c>
      <c r="E13" s="101" t="str">
        <f>IF('ERDR Iterations'!$K$165=0,"—",IF(IF(AND('ERDR Iterations'!B$170=1,'ERDR Iterations'!B$164=1),", S₁","")&amp;IF(AND('ERDR Iterations'!C$170=1,'ERDR Iterations'!C$164=1),", S₂","")&amp;IF(AND('ERDR Iterations'!D$170=1,'ERDR Iterations'!D$164=1),", S₃","")&amp;IF(AND('ERDR Iterations'!E$170=1,'ERDR Iterations'!E$164=1),", S₄","")&amp;IF(AND('ERDR Iterations'!F$170=1,'ERDR Iterations'!F$164=1),", S₅","")&amp;IF(AND('ERDR Iterations'!G$170=1,'ERDR Iterations'!G$164=1),", S₆","")&amp;IF(AND('ERDR Iterations'!H$170=1,'ERDR Iterations'!H$164=1),", S₇","")="","∅","{"&amp;MID(IF(AND('ERDR Iterations'!B$170=1,'ERDR Iterations'!B$164=1),", S₁","")&amp;IF(AND('ERDR Iterations'!C$170=1,'ERDR Iterations'!C$164=1),", S₂","")&amp;IF(AND('ERDR Iterations'!D$170=1,'ERDR Iterations'!D$164=1),", S₃","")&amp;IF(AND('ERDR Iterations'!E$170=1,'ERDR Iterations'!E$164=1),", S₄","")&amp;IF(AND('ERDR Iterations'!F$170=1,'ERDR Iterations'!F$164=1),", S₅","")&amp;IF(AND('ERDR Iterations'!G$170=1,'ERDR Iterations'!G$164=1),", S₆","")&amp;IF(AND('ERDR Iterations'!H$170=1,'ERDR Iterations'!H$164=1),", S₇",""),3,300)&amp;"}"))</f>
        <v>—</v>
      </c>
      <c r="F13" s="101"/>
      <c r="G13" s="101"/>
      <c r="H13" s="101" t="str">
        <f>IF('ERDR Iterations'!$K$165=0,"—",IF(IF(AND('ERDR Iterations'!B$170=1,'ERDR Iterations'!B$164=1,'ERDR Iterations'!B$173=1),", S₁","")&amp;IF(AND('ERDR Iterations'!C$170=1,'ERDR Iterations'!C$164=1,'ERDR Iterations'!C$173=1),", S₂","")&amp;IF(AND('ERDR Iterations'!D$170=1,'ERDR Iterations'!D$164=1,'ERDR Iterations'!D$173=1),", S₃","")&amp;IF(AND('ERDR Iterations'!E$170=1,'ERDR Iterations'!E$164=1,'ERDR Iterations'!E$173=1),", S₄","")&amp;IF(AND('ERDR Iterations'!F$170=1,'ERDR Iterations'!F$164=1,'ERDR Iterations'!F$173=1),", S₅","")&amp;IF(AND('ERDR Iterations'!G$170=1,'ERDR Iterations'!G$164=1,'ERDR Iterations'!G$173=1),", S₆","")&amp;IF(AND('ERDR Iterations'!H$170=1,'ERDR Iterations'!H$164=1,'ERDR Iterations'!H$173=1),", S₇","")="","∅","{"&amp;MID(IF(AND('ERDR Iterations'!B$170=1,'ERDR Iterations'!B$164=1,'ERDR Iterations'!B$173=1),", S₁","")&amp;IF(AND('ERDR Iterations'!C$170=1,'ERDR Iterations'!C$164=1,'ERDR Iterations'!C$173=1),", S₂","")&amp;IF(AND('ERDR Iterations'!D$170=1,'ERDR Iterations'!D$164=1,'ERDR Iterations'!D$173=1),", S₃","")&amp;IF(AND('ERDR Iterations'!E$170=1,'ERDR Iterations'!E$164=1,'ERDR Iterations'!E$173=1),", S₄","")&amp;IF(AND('ERDR Iterations'!F$170=1,'ERDR Iterations'!F$164=1,'ERDR Iterations'!F$173=1),", S₅","")&amp;IF(AND('ERDR Iterations'!G$170=1,'ERDR Iterations'!G$164=1,'ERDR Iterations'!G$173=1),", S₆","")&amp;IF(AND('ERDR Iterations'!H$170=1,'ERDR Iterations'!H$164=1,'ERDR Iterations'!H$173=1),", S₇",""),3,300)&amp;"}"))</f>
        <v>—</v>
      </c>
      <c r="I13" s="101"/>
      <c r="J13" s="101"/>
      <c r="K13" s="101" t="str">
        <f>IF('ERDR Iterations'!$K$165=0,"—",IF(IF(AND('ERDR Iterations'!B$170=1,'ERDR Iterations'!B$164=0,'ERDR Iterations'!B$173=1),", S₁","")&amp;IF(AND('ERDR Iterations'!C$170=1,'ERDR Iterations'!C$164=0,'ERDR Iterations'!C$173=1),", S₂","")&amp;IF(AND('ERDR Iterations'!D$170=1,'ERDR Iterations'!D$164=0,'ERDR Iterations'!D$173=1),", S₃","")&amp;IF(AND('ERDR Iterations'!E$170=1,'ERDR Iterations'!E$164=0,'ERDR Iterations'!E$173=1),", S₄","")&amp;IF(AND('ERDR Iterations'!F$170=1,'ERDR Iterations'!F$164=0,'ERDR Iterations'!F$173=1),", S₅","")&amp;IF(AND('ERDR Iterations'!G$170=1,'ERDR Iterations'!G$164=0,'ERDR Iterations'!G$173=1),", S₆","")&amp;IF(AND('ERDR Iterations'!H$170=1,'ERDR Iterations'!H$164=0,'ERDR Iterations'!H$173=1),", S₇","")="","∅","{"&amp;MID(IF(AND('ERDR Iterations'!B$170=1,'ERDR Iterations'!B$164=0,'ERDR Iterations'!B$173=1),", S₁","")&amp;IF(AND('ERDR Iterations'!C$170=1,'ERDR Iterations'!C$164=0,'ERDR Iterations'!C$173=1),", S₂","")&amp;IF(AND('ERDR Iterations'!D$170=1,'ERDR Iterations'!D$164=0,'ERDR Iterations'!D$173=1),", S₃","")&amp;IF(AND('ERDR Iterations'!E$170=1,'ERDR Iterations'!E$164=0,'ERDR Iterations'!E$173=1),", S₄","")&amp;IF(AND('ERDR Iterations'!F$170=1,'ERDR Iterations'!F$164=0,'ERDR Iterations'!F$173=1),", S₅","")&amp;IF(AND('ERDR Iterations'!G$170=1,'ERDR Iterations'!G$164=0,'ERDR Iterations'!G$173=1),", S₆","")&amp;IF(AND('ERDR Iterations'!H$170=1,'ERDR Iterations'!H$164=0,'ERDR Iterations'!H$173=1),", S₇",""),3,300)&amp;"}"))</f>
        <v>—</v>
      </c>
      <c r="L13" s="101"/>
      <c r="M13" s="85" t="str">
        <f>IF('ERDR Iterations'!$K$165=0,"—",'ERDR Iterations'!$K$169)</f>
        <v>—</v>
      </c>
      <c r="N13" s="77" t="str">
        <f>IF('ERDR Iterations'!$K$165=0,"—",'ERDR Iterations'!$K$170)</f>
        <v>—</v>
      </c>
      <c r="O13" s="101" t="str">
        <f>'ERDR Iterations'!$K$171&amp;IF('ERDR Iterations'!$K$173="—","","  ·  "&amp;'ERDR Iterations'!$K$173)</f>
        <v>Step 6 · stop</v>
      </c>
    </row>
    <row r="14"/>
    <row r="15" ht="31" customHeight="1">
      <c r="A15" s="102" t="inlineStr">
        <is>
          <t xml:space="preserve">•  Sᵢ = the selected object (marker with a cross). Every other object stands at its true distance ρ(Sⱼ, Sᵢ) from it, in the neighbour order of Sᵢ (nearest at the top, then clockwise); the direction is a convention, and each diagram is fitted to what it draws (its own scale; Sᵢ need not be in the middle).</t>
        </is>
      </c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</row>
    <row r="16" ht="20" customHeight="1">
      <c r="A16" s="102" t="inlineStr">
        <is>
          <t xml:space="preserve">•  Around every own-class object its own enemy sphere is drawn with radius r(Sⱼ). Because the distance to the centre is true, the circle contains the centre exactly when ρ(Sⱼ, Sᵢ) &lt; r(Sⱼ) — the condition of Step 4.</t>
        </is>
      </c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</row>
    <row r="17" ht="31" customHeight="1">
      <c r="A17" s="102" t="inlineStr">
        <is>
          <t xml:space="preserve">•  Gold circle: Sⱼ ∈ L (Sⱼ in F, its sphere contains Sᵢ, g(Sⱼ) &gt; 1, allowed by readings A and B).  Grey dashed: own class in F but not in L.  Light dotted: own class already in D — its sphere no longer counts (Sⱼ ∉ F), even where it contains Sᵢ.</t>
        </is>
      </c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</row>
    <row r="18" ht="20" customHeight="1">
      <c r="A18" s="102" t="inlineStr">
        <is>
          <t xml:space="preserve">•  The own sphere of Sᵢ always contains Sᵢ; it is in L only when g(Sᵢ) &gt; 1 and reading A = 1. Light markers are objects already in D; labels show g before → after (Step 5) and “→ D” for the objects that move.</t>
        </is>
      </c>
      <c r="B18" s="10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</row>
    <row r="19" ht="20" customHeight="1">
      <c r="A19" s="102" t="inlineStr">
        <is>
          <t xml:space="preserve">•  Only the containment of the centre is exact: whether a circle seems to contain another outer object has no meaning, because distances between outer objects are not drawn.</t>
        </is>
      </c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</row>
    <row r="20"/>
    <row r="21"/>
    <row r="22">
      <c r="A22" s="59" t="str">
        <f>'Hypersphere Data'!$B$308</f>
        <v>Iteration 1  ·  Sᵢ = S₁  ·  L = {S₁, S₂, S₅}  ·  |L| &gt; 1 → Step 5 corrects g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</row>
    <row r="23" ht="34" customHeight="1">
      <c r="A23" s="60" t="inlineStr">
        <is>
          <t xml:space="preserve">Sⱼ</t>
        </is>
      </c>
      <c r="B23" s="60" t="inlineStr">
        <is>
          <t xml:space="preserve">Class</t>
        </is>
      </c>
      <c r="C23" s="60" t="inlineStr">
        <is>
          <t xml:space="preserve">In F</t>
        </is>
      </c>
      <c r="D23" s="60" t="inlineStr">
        <is>
          <t xml:space="preserve">Own class of Sᵢ</t>
        </is>
      </c>
      <c r="E23" s="60" t="inlineStr">
        <is>
          <t xml:space="preserve">ρ(Sⱼ, Sᵢ)</t>
        </is>
      </c>
      <c r="F23" s="60" t="inlineStr">
        <is>
          <t xml:space="preserve">r(Sⱼ)</t>
        </is>
      </c>
      <c r="G23" s="60" t="inlineStr">
        <is>
          <t xml:space="preserve">r(Sⱼ) − ρ(Sⱼ, Sᵢ)</t>
        </is>
      </c>
      <c r="H23" s="60" t="inlineStr">
        <is>
          <t xml:space="preserve">Sphere of Sⱼ contains Sᵢ</t>
        </is>
      </c>
      <c r="I23" s="60" t="inlineStr">
        <is>
          <t xml:space="preserve">g before</t>
        </is>
      </c>
      <c r="J23" s="60" t="inlineStr">
        <is>
          <t xml:space="preserve">g &gt; 1</t>
        </is>
      </c>
      <c r="K23" s="60" t="inlineStr">
        <is>
          <t xml:space="preserve">Allowed (A, B)</t>
        </is>
      </c>
      <c r="L23" s="60" t="inlineStr">
        <is>
          <t xml:space="preserve">Sⱼ ∈ L</t>
        </is>
      </c>
      <c r="M23" s="60" t="inlineStr">
        <is>
          <t xml:space="preserve">g after</t>
        </is>
      </c>
      <c r="N23" s="60" t="inlineStr">
        <is>
          <t xml:space="preserve">Moves to D</t>
        </is>
      </c>
      <c r="O23" s="60" t="inlineStr">
        <is>
          <t xml:space="preserve">Role in this iteration</t>
        </is>
      </c>
    </row>
    <row r="24">
      <c r="A24" s="62" t="inlineStr">
        <is>
          <t xml:space="preserve">S₁</t>
        </is>
      </c>
      <c r="B24" s="68">
        <f>'ERDR Iterations'!B$7</f>
        <v>2</v>
      </c>
      <c r="C24" s="76">
        <f>'ERDR Iterations'!B$8</f>
        <v>1</v>
      </c>
      <c r="D24" s="76">
        <f>'ERDR Iterations'!B$14</f>
        <v>1</v>
      </c>
      <c r="E24" s="73">
        <f>'ERDR Iterations'!B$15</f>
        <v>0</v>
      </c>
      <c r="F24" s="73">
        <f>'ERDR Iterations'!B$16</f>
        <v>5.60708061</v>
      </c>
      <c r="G24" s="143">
        <f>IF(ISNUMBER(E24),F24-E24,"—")</f>
        <v>5.60708061</v>
      </c>
      <c r="H24" s="76">
        <f>'ERDR Iterations'!B$17</f>
        <v>1</v>
      </c>
      <c r="I24" s="80">
        <f>'ERDR Iterations'!B$10</f>
        <v>3</v>
      </c>
      <c r="J24" s="76">
        <f>'ERDR Iterations'!B$18</f>
        <v>1</v>
      </c>
      <c r="K24" s="76">
        <f>'ERDR Iterations'!B$19</f>
        <v>1</v>
      </c>
      <c r="L24" s="77">
        <f>'ERDR Iterations'!B$20</f>
        <v>1</v>
      </c>
      <c r="M24" s="80">
        <f>'ERDR Iterations'!B$23</f>
        <v>2</v>
      </c>
      <c r="N24" s="85" t="str">
        <f>IF('ERDR Iterations'!B$25=1,IF('ERDR Iterations'!B$21=1,"Step 4","Step 5"),"")</f>
        <v/>
      </c>
      <c r="O24" s="101" t="str">
        <f>IF('ERDR Iterations'!$K$9=0,IF(C24=1,"in F — stays in the validation sample","in D — training sample"),IF('ERDR Iterations'!B$13=1,"Sᵢ (selected) · "&amp;IF(L24=1,"own sphere with g &gt; 1 → in L",IF(J24=0,"g = 1 → not in its own L","reading A = 2 → not in its own L")),IF(D24=0,"enemy (other class)"&amp;IF(C24=0," · in D",""),IF(C24=0,IF(H24=1,"in D — its sphere contains Sᵢ but no longer counts","in D — its sphere does not reach Sᵢ"),IF(H24=0,"own class in F — its sphere does not reach Sᵢ (ρ ≥ r)",IF(L24=1,"own class in F — its sphere contains Sᵢ → in L","own class in F — contains Sᵢ, excluded by reading B = 2 (processed)"))))))&amp;IF(N24&lt;&gt;"","  ·  moves to D ("&amp;N24&amp;")","")</f>
        <v>Sᵢ (selected) · own sphere with g &gt; 1 → in L</v>
      </c>
    </row>
    <row r="25">
      <c r="A25" s="62" t="inlineStr">
        <is>
          <t xml:space="preserve">S₂</t>
        </is>
      </c>
      <c r="B25" s="68">
        <f>'ERDR Iterations'!C$7</f>
        <v>2</v>
      </c>
      <c r="C25" s="76">
        <f>'ERDR Iterations'!C$8</f>
        <v>1</v>
      </c>
      <c r="D25" s="76">
        <f>'ERDR Iterations'!C$14</f>
        <v>1</v>
      </c>
      <c r="E25" s="73">
        <f>'ERDR Iterations'!C$15</f>
        <v>4.6606100796</v>
      </c>
      <c r="F25" s="73">
        <f>'ERDR Iterations'!C$16</f>
        <v>7.4699698919</v>
      </c>
      <c r="G25" s="143">
        <f>IF(ISNUMBER(E25),F25-E25,"—")</f>
        <v>2.8093598123</v>
      </c>
      <c r="H25" s="76">
        <f>'ERDR Iterations'!C$17</f>
        <v>1</v>
      </c>
      <c r="I25" s="80">
        <f>'ERDR Iterations'!C$10</f>
        <v>4</v>
      </c>
      <c r="J25" s="76">
        <f>'ERDR Iterations'!C$18</f>
        <v>1</v>
      </c>
      <c r="K25" s="76">
        <f>'ERDR Iterations'!C$19</f>
        <v>1</v>
      </c>
      <c r="L25" s="77">
        <f>'ERDR Iterations'!C$20</f>
        <v>1</v>
      </c>
      <c r="M25" s="80">
        <f>'ERDR Iterations'!C$23</f>
        <v>3</v>
      </c>
      <c r="N25" s="85" t="str">
        <f>IF('ERDR Iterations'!C$25=1,IF('ERDR Iterations'!C$21=1,"Step 4","Step 5"),"")</f>
        <v/>
      </c>
      <c r="O25" s="101" t="str">
        <f>IF('ERDR Iterations'!$K$9=0,IF(C25=1,"in F — stays in the validation sample","in D — training sample"),IF('ERDR Iterations'!C$13=1,"Sᵢ (selected) · "&amp;IF(L25=1,"own sphere with g &gt; 1 → in L",IF(J25=0,"g = 1 → not in its own L","reading A = 2 → not in its own L")),IF(D25=0,"enemy (other class)"&amp;IF(C25=0," · in D",""),IF(C25=0,IF(H25=1,"in D — its sphere contains Sᵢ but no longer counts","in D — its sphere does not reach Sᵢ"),IF(H25=0,"own class in F — its sphere does not reach Sᵢ (ρ ≥ r)",IF(L25=1,"own class in F — its sphere contains Sᵢ → in L","own class in F — contains Sᵢ, excluded by reading B = 2 (processed)"))))))&amp;IF(N25&lt;&gt;"","  ·  moves to D ("&amp;N25&amp;")","")</f>
        <v>own class in F — its sphere contains Sᵢ → in L</v>
      </c>
    </row>
    <row r="26">
      <c r="A26" s="62" t="inlineStr">
        <is>
          <t xml:space="preserve">S₃</t>
        </is>
      </c>
      <c r="B26" s="68">
        <f>'ERDR Iterations'!D$7</f>
        <v>1</v>
      </c>
      <c r="C26" s="76">
        <f>'ERDR Iterations'!D$8</f>
        <v>1</v>
      </c>
      <c r="D26" s="76">
        <f>'ERDR Iterations'!D$14</f>
        <v>0</v>
      </c>
      <c r="E26" s="73">
        <f>'ERDR Iterations'!D$15</f>
        <v>5.60708061</v>
      </c>
      <c r="F26" s="73">
        <f>'ERDR Iterations'!D$16</f>
        <v>5.60708061</v>
      </c>
      <c r="G26" s="143">
        <f>IF(ISNUMBER(E26),F26-E26,"—")</f>
        <v>0</v>
      </c>
      <c r="H26" s="76">
        <f>'ERDR Iterations'!D$17</f>
        <v>0</v>
      </c>
      <c r="I26" s="80">
        <f>'ERDR Iterations'!D$10</f>
        <v>3</v>
      </c>
      <c r="J26" s="76">
        <f>'ERDR Iterations'!D$18</f>
        <v>1</v>
      </c>
      <c r="K26" s="76">
        <f>'ERDR Iterations'!D$19</f>
        <v>1</v>
      </c>
      <c r="L26" s="77">
        <f>'ERDR Iterations'!D$20</f>
        <v>0</v>
      </c>
      <c r="M26" s="80">
        <f>'ERDR Iterations'!D$23</f>
        <v>3</v>
      </c>
      <c r="N26" s="85" t="str">
        <f>IF('ERDR Iterations'!D$25=1,IF('ERDR Iterations'!D$21=1,"Step 4","Step 5"),"")</f>
        <v/>
      </c>
      <c r="O26" s="101" t="str">
        <f>IF('ERDR Iterations'!$K$9=0,IF(C26=1,"in F — stays in the validation sample","in D — training sample"),IF('ERDR Iterations'!D$13=1,"Sᵢ (selected) · "&amp;IF(L26=1,"own sphere with g &gt; 1 → in L",IF(J26=0,"g = 1 → not in its own L","reading A = 2 → not in its own L")),IF(D26=0,"enemy (other class)"&amp;IF(C26=0," · in D",""),IF(C26=0,IF(H26=1,"in D — its sphere contains Sᵢ but no longer counts","in D — its sphere does not reach Sᵢ"),IF(H26=0,"own class in F — its sphere does not reach Sᵢ (ρ ≥ r)",IF(L26=1,"own class in F — its sphere contains Sᵢ → in L","own class in F — contains Sᵢ, excluded by reading B = 2 (processed)"))))))&amp;IF(N26&lt;&gt;"","  ·  moves to D ("&amp;N26&amp;")","")</f>
        <v>enemy (other class)</v>
      </c>
    </row>
    <row r="27">
      <c r="A27" s="62" t="inlineStr">
        <is>
          <t xml:space="preserve">S₄</t>
        </is>
      </c>
      <c r="B27" s="68">
        <f>'ERDR Iterations'!E$7</f>
        <v>2</v>
      </c>
      <c r="C27" s="76">
        <f>'ERDR Iterations'!E$8</f>
        <v>1</v>
      </c>
      <c r="D27" s="76">
        <f>'ERDR Iterations'!E$14</f>
        <v>1</v>
      </c>
      <c r="E27" s="73">
        <f>'ERDR Iterations'!E$15</f>
        <v>6.6272117335</v>
      </c>
      <c r="F27" s="73">
        <f>'ERDR Iterations'!E$16</f>
        <v>3.7071187508</v>
      </c>
      <c r="G27" s="143">
        <f>IF(ISNUMBER(E27),F27-E27,"—")</f>
        <v>-2.9200929827</v>
      </c>
      <c r="H27" s="76">
        <f>'ERDR Iterations'!E$17</f>
        <v>0</v>
      </c>
      <c r="I27" s="80">
        <f>'ERDR Iterations'!E$10</f>
        <v>1</v>
      </c>
      <c r="J27" s="76">
        <f>'ERDR Iterations'!E$18</f>
        <v>0</v>
      </c>
      <c r="K27" s="76">
        <f>'ERDR Iterations'!E$19</f>
        <v>1</v>
      </c>
      <c r="L27" s="77">
        <f>'ERDR Iterations'!E$20</f>
        <v>0</v>
      </c>
      <c r="M27" s="80">
        <f>'ERDR Iterations'!E$23</f>
        <v>1</v>
      </c>
      <c r="N27" s="85" t="str">
        <f>IF('ERDR Iterations'!E$25=1,IF('ERDR Iterations'!E$21=1,"Step 4","Step 5"),"")</f>
        <v/>
      </c>
      <c r="O27" s="101" t="str">
        <f>IF('ERDR Iterations'!$K$9=0,IF(C27=1,"in F — stays in the validation sample","in D — training sample"),IF('ERDR Iterations'!E$13=1,"Sᵢ (selected) · "&amp;IF(L27=1,"own sphere with g &gt; 1 → in L",IF(J27=0,"g = 1 → not in its own L","reading A = 2 → not in its own L")),IF(D27=0,"enemy (other class)"&amp;IF(C27=0," · in D",""),IF(C27=0,IF(H27=1,"in D — its sphere contains Sᵢ but no longer counts","in D — its sphere does not reach Sᵢ"),IF(H27=0,"own class in F — its sphere does not reach Sᵢ (ρ ≥ r)",IF(L27=1,"own class in F — its sphere contains Sᵢ → in L","own class in F — contains Sᵢ, excluded by reading B = 2 (processed)"))))))&amp;IF(N27&lt;&gt;"","  ·  moves to D ("&amp;N27&amp;")","")</f>
        <v>own class in F — its sphere does not reach Sᵢ (ρ ≥ r)</v>
      </c>
    </row>
    <row r="28">
      <c r="A28" s="62" t="inlineStr">
        <is>
          <t xml:space="preserve">S₅</t>
        </is>
      </c>
      <c r="B28" s="68">
        <f>'ERDR Iterations'!F$7</f>
        <v>2</v>
      </c>
      <c r="C28" s="76">
        <f>'ERDR Iterations'!F$8</f>
        <v>1</v>
      </c>
      <c r="D28" s="76">
        <f>'ERDR Iterations'!F$14</f>
        <v>1</v>
      </c>
      <c r="E28" s="73">
        <f>'ERDR Iterations'!F$15</f>
        <v>4.8565209225</v>
      </c>
      <c r="F28" s="73">
        <f>'ERDR Iterations'!F$16</f>
        <v>7.1117040273</v>
      </c>
      <c r="G28" s="143">
        <f>IF(ISNUMBER(E28),F28-E28,"—")</f>
        <v>2.2551831048</v>
      </c>
      <c r="H28" s="76">
        <f>'ERDR Iterations'!F$17</f>
        <v>1</v>
      </c>
      <c r="I28" s="80">
        <f>'ERDR Iterations'!F$10</f>
        <v>3</v>
      </c>
      <c r="J28" s="76">
        <f>'ERDR Iterations'!F$18</f>
        <v>1</v>
      </c>
      <c r="K28" s="76">
        <f>'ERDR Iterations'!F$19</f>
        <v>1</v>
      </c>
      <c r="L28" s="77">
        <f>'ERDR Iterations'!F$20</f>
        <v>1</v>
      </c>
      <c r="M28" s="80">
        <f>'ERDR Iterations'!F$23</f>
        <v>2</v>
      </c>
      <c r="N28" s="85" t="str">
        <f>IF('ERDR Iterations'!F$25=1,IF('ERDR Iterations'!F$21=1,"Step 4","Step 5"),"")</f>
        <v/>
      </c>
      <c r="O28" s="101" t="str">
        <f>IF('ERDR Iterations'!$K$9=0,IF(C28=1,"in F — stays in the validation sample","in D — training sample"),IF('ERDR Iterations'!F$13=1,"Sᵢ (selected) · "&amp;IF(L28=1,"own sphere with g &gt; 1 → in L",IF(J28=0,"g = 1 → not in its own L","reading A = 2 → not in its own L")),IF(D28=0,"enemy (other class)"&amp;IF(C28=0," · in D",""),IF(C28=0,IF(H28=1,"in D — its sphere contains Sᵢ but no longer counts","in D — its sphere does not reach Sᵢ"),IF(H28=0,"own class in F — its sphere does not reach Sᵢ (ρ ≥ r)",IF(L28=1,"own class in F — its sphere contains Sᵢ → in L","own class in F — contains Sᵢ, excluded by reading B = 2 (processed)"))))))&amp;IF(N28&lt;&gt;"","  ·  moves to D ("&amp;N28&amp;")","")</f>
        <v>own class in F — its sphere contains Sᵢ → in L</v>
      </c>
    </row>
    <row r="29">
      <c r="A29" s="62" t="inlineStr">
        <is>
          <t xml:space="preserve">S₆</t>
        </is>
      </c>
      <c r="B29" s="68">
        <f>'ERDR Iterations'!G$7</f>
        <v>1</v>
      </c>
      <c r="C29" s="76">
        <f>'ERDR Iterations'!G$8</f>
        <v>1</v>
      </c>
      <c r="D29" s="76">
        <f>'ERDR Iterations'!G$14</f>
        <v>0</v>
      </c>
      <c r="E29" s="73">
        <f>'ERDR Iterations'!G$15</f>
        <v>6.8015669516</v>
      </c>
      <c r="F29" s="73">
        <f>'ERDR Iterations'!G$16</f>
        <v>3.7071187508</v>
      </c>
      <c r="G29" s="143">
        <f>IF(ISNUMBER(E29),F29-E29,"—")</f>
        <v>-3.0944482008</v>
      </c>
      <c r="H29" s="76">
        <f>'ERDR Iterations'!G$17</f>
        <v>0</v>
      </c>
      <c r="I29" s="80">
        <f>'ERDR Iterations'!G$10</f>
        <v>1</v>
      </c>
      <c r="J29" s="76">
        <f>'ERDR Iterations'!G$18</f>
        <v>0</v>
      </c>
      <c r="K29" s="76">
        <f>'ERDR Iterations'!G$19</f>
        <v>1</v>
      </c>
      <c r="L29" s="77">
        <f>'ERDR Iterations'!G$20</f>
        <v>0</v>
      </c>
      <c r="M29" s="80">
        <f>'ERDR Iterations'!G$23</f>
        <v>1</v>
      </c>
      <c r="N29" s="85" t="str">
        <f>IF('ERDR Iterations'!G$25=1,IF('ERDR Iterations'!G$21=1,"Step 4","Step 5"),"")</f>
        <v/>
      </c>
      <c r="O29" s="101" t="str">
        <f>IF('ERDR Iterations'!$K$9=0,IF(C29=1,"in F — stays in the validation sample","in D — training sample"),IF('ERDR Iterations'!G$13=1,"Sᵢ (selected) · "&amp;IF(L29=1,"own sphere with g &gt; 1 → in L",IF(J29=0,"g = 1 → not in its own L","reading A = 2 → not in its own L")),IF(D29=0,"enemy (other class)"&amp;IF(C29=0," · in D",""),IF(C29=0,IF(H29=1,"in D — its sphere contains Sᵢ but no longer counts","in D — its sphere does not reach Sᵢ"),IF(H29=0,"own class in F — its sphere does not reach Sᵢ (ρ ≥ r)",IF(L29=1,"own class in F — its sphere contains Sᵢ → in L","own class in F — contains Sᵢ, excluded by reading B = 2 (processed)"))))))&amp;IF(N29&lt;&gt;"","  ·  moves to D ("&amp;N29&amp;")","")</f>
        <v>enemy (other class)</v>
      </c>
    </row>
    <row r="30">
      <c r="A30" s="62" t="inlineStr">
        <is>
          <t xml:space="preserve">S₇</t>
        </is>
      </c>
      <c r="B30" s="68">
        <f>'ERDR Iterations'!H$7</f>
        <v>1</v>
      </c>
      <c r="C30" s="76">
        <f>'ERDR Iterations'!H$8</f>
        <v>1</v>
      </c>
      <c r="D30" s="76">
        <f>'ERDR Iterations'!H$14</f>
        <v>0</v>
      </c>
      <c r="E30" s="73">
        <f>'ERDR Iterations'!H$15</f>
        <v>5.8897935773</v>
      </c>
      <c r="F30" s="73">
        <f>'ERDR Iterations'!H$16</f>
        <v>3.9109813746</v>
      </c>
      <c r="G30" s="143">
        <f>IF(ISNUMBER(E30),F30-E30,"—")</f>
        <v>-1.9788122027</v>
      </c>
      <c r="H30" s="76">
        <f>'ERDR Iterations'!H$17</f>
        <v>0</v>
      </c>
      <c r="I30" s="80">
        <f>'ERDR Iterations'!H$10</f>
        <v>2</v>
      </c>
      <c r="J30" s="76">
        <f>'ERDR Iterations'!H$18</f>
        <v>1</v>
      </c>
      <c r="K30" s="76">
        <f>'ERDR Iterations'!H$19</f>
        <v>1</v>
      </c>
      <c r="L30" s="77">
        <f>'ERDR Iterations'!H$20</f>
        <v>0</v>
      </c>
      <c r="M30" s="80">
        <f>'ERDR Iterations'!H$23</f>
        <v>2</v>
      </c>
      <c r="N30" s="85" t="str">
        <f>IF('ERDR Iterations'!H$25=1,IF('ERDR Iterations'!H$21=1,"Step 4","Step 5"),"")</f>
        <v/>
      </c>
      <c r="O30" s="101" t="str">
        <f>IF('ERDR Iterations'!$K$9=0,IF(C30=1,"in F — stays in the validation sample","in D — training sample"),IF('ERDR Iterations'!H$13=1,"Sᵢ (selected) · "&amp;IF(L30=1,"own sphere with g &gt; 1 → in L",IF(J30=0,"g = 1 → not in its own L","reading A = 2 → not in its own L")),IF(D30=0,"enemy (other class)"&amp;IF(C30=0," · in D",""),IF(C30=0,IF(H30=1,"in D — its sphere contains Sᵢ but no longer counts","in D — its sphere does not reach Sᵢ"),IF(H30=0,"own class in F — its sphere does not reach Sᵢ (ρ ≥ r)",IF(L30=1,"own class in F — its sphere contains Sᵢ → in L","own class in F — contains Sᵢ, excluded by reading B = 2 (processed)"))))))&amp;IF(N30&lt;&gt;"","  ·  moves to D ("&amp;N30&amp;")","")</f>
        <v>enemy (other class)</v>
      </c>
    </row>
    <row r="31"/>
    <row r="32">
      <c r="A32" s="82" t="inlineStr">
        <is>
          <t xml:space="preserve">Spheres that contain Sᵢ (own class, in F)</t>
        </is>
      </c>
      <c r="B32" s="82"/>
      <c r="C32" s="82"/>
      <c r="D32" s="82"/>
      <c r="E32" s="85" t="str">
        <f>IF('ERDR Iterations'!$K$9=0,"—",IF(IF(AND('ERDR Iterations'!B$14=1,'ERDR Iterations'!B$8=1,'ERDR Iterations'!B$17=1),", S₁","")&amp;IF(AND('ERDR Iterations'!C$14=1,'ERDR Iterations'!C$8=1,'ERDR Iterations'!C$17=1),", S₂","")&amp;IF(AND('ERDR Iterations'!D$14=1,'ERDR Iterations'!D$8=1,'ERDR Iterations'!D$17=1),", S₃","")&amp;IF(AND('ERDR Iterations'!E$14=1,'ERDR Iterations'!E$8=1,'ERDR Iterations'!E$17=1),", S₄","")&amp;IF(AND('ERDR Iterations'!F$14=1,'ERDR Iterations'!F$8=1,'ERDR Iterations'!F$17=1),", S₅","")&amp;IF(AND('ERDR Iterations'!G$14=1,'ERDR Iterations'!G$8=1,'ERDR Iterations'!G$17=1),", S₆","")&amp;IF(AND('ERDR Iterations'!H$14=1,'ERDR Iterations'!H$8=1,'ERDR Iterations'!H$17=1),", S₇","")="","∅","{"&amp;MID(IF(AND('ERDR Iterations'!B$14=1,'ERDR Iterations'!B$8=1,'ERDR Iterations'!B$17=1),", S₁","")&amp;IF(AND('ERDR Iterations'!C$14=1,'ERDR Iterations'!C$8=1,'ERDR Iterations'!C$17=1),", S₂","")&amp;IF(AND('ERDR Iterations'!D$14=1,'ERDR Iterations'!D$8=1,'ERDR Iterations'!D$17=1),", S₃","")&amp;IF(AND('ERDR Iterations'!E$14=1,'ERDR Iterations'!E$8=1,'ERDR Iterations'!E$17=1),", S₄","")&amp;IF(AND('ERDR Iterations'!F$14=1,'ERDR Iterations'!F$8=1,'ERDR Iterations'!F$17=1),", S₅","")&amp;IF(AND('ERDR Iterations'!G$14=1,'ERDR Iterations'!G$8=1,'ERDR Iterations'!G$17=1),", S₆","")&amp;IF(AND('ERDR Iterations'!H$14=1,'ERDR Iterations'!H$8=1,'ERDR Iterations'!H$17=1),", S₇",""),3,300)&amp;"}"))</f>
        <v>{S₁, S₂, S₅}</v>
      </c>
      <c r="F32" s="85"/>
      <c r="G32" s="85"/>
      <c r="H32" s="85"/>
      <c r="I32" s="85"/>
      <c r="J32" s="85"/>
      <c r="K32" s="85"/>
      <c r="L32" s="85"/>
      <c r="M32" s="85"/>
      <c r="N32" s="85"/>
      <c r="O32" s="85"/>
    </row>
    <row r="33">
      <c r="A33" s="82" t="inlineStr">
        <is>
          <t xml:space="preserve">Own-class spheres in D that would contain Sᵢ</t>
        </is>
      </c>
      <c r="B33" s="82"/>
      <c r="C33" s="82"/>
      <c r="D33" s="82"/>
      <c r="E33" s="85" t="str">
        <f>IF('ERDR Iterations'!$K$9=0,"—",IF(IF(AND('ERDR Iterations'!B$14=1,'ERDR Iterations'!B$8=0,'ERDR Iterations'!B$17=1),", S₁","")&amp;IF(AND('ERDR Iterations'!C$14=1,'ERDR Iterations'!C$8=0,'ERDR Iterations'!C$17=1),", S₂","")&amp;IF(AND('ERDR Iterations'!D$14=1,'ERDR Iterations'!D$8=0,'ERDR Iterations'!D$17=1),", S₃","")&amp;IF(AND('ERDR Iterations'!E$14=1,'ERDR Iterations'!E$8=0,'ERDR Iterations'!E$17=1),", S₄","")&amp;IF(AND('ERDR Iterations'!F$14=1,'ERDR Iterations'!F$8=0,'ERDR Iterations'!F$17=1),", S₅","")&amp;IF(AND('ERDR Iterations'!G$14=1,'ERDR Iterations'!G$8=0,'ERDR Iterations'!G$17=1),", S₆","")&amp;IF(AND('ERDR Iterations'!H$14=1,'ERDR Iterations'!H$8=0,'ERDR Iterations'!H$17=1),", S₇","")="","∅","{"&amp;MID(IF(AND('ERDR Iterations'!B$14=1,'ERDR Iterations'!B$8=0,'ERDR Iterations'!B$17=1),", S₁","")&amp;IF(AND('ERDR Iterations'!C$14=1,'ERDR Iterations'!C$8=0,'ERDR Iterations'!C$17=1),", S₂","")&amp;IF(AND('ERDR Iterations'!D$14=1,'ERDR Iterations'!D$8=0,'ERDR Iterations'!D$17=1),", S₃","")&amp;IF(AND('ERDR Iterations'!E$14=1,'ERDR Iterations'!E$8=0,'ERDR Iterations'!E$17=1),", S₄","")&amp;IF(AND('ERDR Iterations'!F$14=1,'ERDR Iterations'!F$8=0,'ERDR Iterations'!F$17=1),", S₅","")&amp;IF(AND('ERDR Iterations'!G$14=1,'ERDR Iterations'!G$8=0,'ERDR Iterations'!G$17=1),", S₆","")&amp;IF(AND('ERDR Iterations'!H$14=1,'ERDR Iterations'!H$8=0,'ERDR Iterations'!H$17=1),", S₇",""),3,300)&amp;"}"))</f>
        <v>∅</v>
      </c>
      <c r="F33" s="85"/>
      <c r="G33" s="85"/>
      <c r="H33" s="85"/>
      <c r="I33" s="85"/>
      <c r="J33" s="85"/>
      <c r="K33" s="85"/>
      <c r="L33" s="85"/>
      <c r="M33" s="85"/>
      <c r="N33" s="85"/>
      <c r="O33" s="85"/>
    </row>
    <row r="34">
      <c r="A34" s="82" t="inlineStr">
        <is>
          <t xml:space="preserve">Step 4 · L  ·  |L|  ·  decision</t>
        </is>
      </c>
      <c r="B34" s="82"/>
      <c r="C34" s="82"/>
      <c r="D34" s="82"/>
      <c r="E34" s="85" t="str">
        <f>IF('ERDR Iterations'!$K$9=0,"— (queue empty)",'ERDR Iterations'!$K$13&amp;"   ·   |L| = "&amp;'ERDR Iterations'!$K$14&amp;"   ·   "&amp;'ERDR Iterations'!$K$15)</f>
        <v>{S₁, S₂, S₅}   ·   |L| = 3   ·   |L| &gt; 1 → Step 5 corrects g</v>
      </c>
      <c r="F34" s="85"/>
      <c r="G34" s="85"/>
      <c r="H34" s="85"/>
      <c r="I34" s="85"/>
      <c r="J34" s="85"/>
      <c r="K34" s="85"/>
      <c r="L34" s="85"/>
      <c r="M34" s="85"/>
      <c r="N34" s="85"/>
      <c r="O34" s="85"/>
    </row>
    <row r="35">
      <c r="A35" s="82" t="inlineStr">
        <is>
          <t xml:space="preserve">Step 5 · counters g: before → after</t>
        </is>
      </c>
      <c r="B35" s="82"/>
      <c r="C35" s="82"/>
      <c r="D35" s="82"/>
      <c r="E35" s="85" t="str">
        <f>'ERDR Iterations'!$K$16</f>
        <v>S₁: 3 → 2, S₂: 4 → 3, S₅: 3 → 2</v>
      </c>
      <c r="F35" s="85"/>
      <c r="G35" s="85"/>
      <c r="H35" s="85"/>
      <c r="I35" s="85"/>
      <c r="J35" s="85"/>
      <c r="K35" s="85"/>
      <c r="L35" s="85"/>
      <c r="M35" s="85"/>
      <c r="N35" s="85"/>
      <c r="O35" s="85"/>
    </row>
    <row r="36">
      <c r="A36" s="82" t="inlineStr">
        <is>
          <t xml:space="preserve">Moved to D</t>
        </is>
      </c>
      <c r="B36" s="82"/>
      <c r="C36" s="82"/>
      <c r="D36" s="82"/>
      <c r="E36" s="85" t="str">
        <f>'ERDR Iterations'!$K$17</f>
        <v>—</v>
      </c>
      <c r="F36" s="85"/>
      <c r="G36" s="85"/>
      <c r="H36" s="85"/>
      <c r="I36" s="85"/>
      <c r="J36" s="85"/>
      <c r="K36" s="85"/>
      <c r="L36" s="85"/>
      <c r="M36" s="85"/>
      <c r="N36" s="85"/>
      <c r="O36" s="85"/>
    </row>
    <row r="37">
      <c r="A37" s="82" t="inlineStr">
        <is>
          <t xml:space="preserve">After the iteration</t>
        </is>
      </c>
      <c r="B37" s="82"/>
      <c r="C37" s="82"/>
      <c r="D37" s="82"/>
      <c r="E37" s="85" t="str">
        <f>"|F| = "&amp;'ERDR Iterations'!$K$18&amp;"   ·   |D| = "&amp;'ERDR Iterations'!$K$19&amp;"   ·   objects left in the queue: "&amp;'ERDR Iterations'!$K$20</f>
        <v>|F| = 7   ·   |D| = 0   ·   objects left in the queue: 6</v>
      </c>
      <c r="F37" s="85"/>
      <c r="G37" s="85"/>
      <c r="H37" s="85"/>
      <c r="I37" s="85"/>
      <c r="J37" s="85"/>
      <c r="K37" s="85"/>
      <c r="L37" s="85"/>
      <c r="M37" s="85"/>
      <c r="N37" s="85"/>
      <c r="O37" s="85"/>
    </row>
    <row r="38">
      <c r="A38" s="82" t="inlineStr">
        <is>
          <t xml:space="preserve">Cases of the Case Checklist shown here</t>
        </is>
      </c>
      <c r="B38" s="82"/>
      <c r="C38" s="82"/>
      <c r="D38" s="82"/>
      <c r="E38" s="85" t="str">
        <f>IF(IF('Case Checklist'!K$5=1,"   ·   6 |L| = 1, L = {Sᵢ}","")&amp;IF('Case Checklist'!K$6=1,"   ·   7 |L| = 1, L = {Sⱼ}","")&amp;IF('Case Checklist'!K$7=1,"   ·   8 |L| = 0, Sᵢ stays in F","")&amp;IF('Case Checklist'!K$8=1,"   ·   9 Step 5 move","")&amp;IF('Case Checklist'!K$9=1,"   ·   10 g lowered, no move","")&amp;IF('Case Checklist'!K$10=1,"   ·   11 moved before its turn","")&amp;IF('Case Checklist'!K$11=1,"   ·   12 processed object moved","")&amp;IF('Case Checklist'!K$12=1,"   ·   13 Sᵢ in its own L","")&amp;IF('Case Checklist'!K$13=1,"   ·   15 two moves in one Step 5","")="","—",MID(IF('Case Checklist'!K$5=1,"   ·   6 |L| = 1, L = {Sᵢ}","")&amp;IF('Case Checklist'!K$6=1,"   ·   7 |L| = 1, L = {Sⱼ}","")&amp;IF('Case Checklist'!K$7=1,"   ·   8 |L| = 0, Sᵢ stays in F","")&amp;IF('Case Checklist'!K$8=1,"   ·   9 Step 5 move","")&amp;IF('Case Checklist'!K$9=1,"   ·   10 g lowered, no move","")&amp;IF('Case Checklist'!K$10=1,"   ·   11 moved before its turn","")&amp;IF('Case Checklist'!K$11=1,"   ·   12 processed object moved","")&amp;IF('Case Checklist'!K$12=1,"   ·   13 Sᵢ in its own L","")&amp;IF('Case Checklist'!K$13=1,"   ·   15 two moves in one Step 5",""),8,400))</f>
        <v>10 g lowered, no move   ·   13 Sᵢ in its own L</v>
      </c>
      <c r="F38" s="85"/>
      <c r="G38" s="85"/>
      <c r="H38" s="85"/>
      <c r="I38" s="85"/>
      <c r="J38" s="85"/>
      <c r="K38" s="85"/>
      <c r="L38" s="85"/>
      <c r="M38" s="85"/>
      <c r="N38" s="85"/>
      <c r="O38" s="85"/>
    </row>
    <row r="39">
      <c r="A39" s="82" t="inlineStr">
        <is>
          <t xml:space="preserve">Check · L from the sphere test r − ρ &gt; 0</t>
        </is>
      </c>
      <c r="B39" s="82"/>
      <c r="C39" s="82"/>
      <c r="D39" s="82"/>
      <c r="E39" s="85" t="str">
        <f>IF('ERDR Iterations'!$K$9=0,"—",IF(SUMPRODUCT(ABS(L24:L30-C24:C30*D24:D30*(G24:G30&gt;0)*J24:J30*K24:K30))=0,"✓ the sphere test gives exactly the L of ERDR Iterations","✗ differs"))</f>
        <v>✓ the sphere test gives exactly the L of ERDR Iterations</v>
      </c>
      <c r="F39" s="85"/>
      <c r="G39" s="85"/>
      <c r="H39" s="85"/>
      <c r="I39" s="85"/>
      <c r="J39" s="85"/>
      <c r="K39" s="85"/>
      <c r="L39" s="85"/>
      <c r="M39" s="85"/>
      <c r="N39" s="85"/>
      <c r="O39" s="85"/>
    </row>
    <row r="40"/>
    <row r="41"/>
    <row r="42"/>
    <row r="43"/>
    <row r="44"/>
    <row r="45"/>
    <row r="46"/>
    <row r="47"/>
    <row r="48"/>
    <row r="49"/>
    <row r="50">
      <c r="A50" s="59" t="str">
        <f>'Hypersphere Data'!$B$337</f>
        <v>Iteration 2  ·  Sᵢ = S₃  ·  L = {S₃, S₇}  ·  |L| &gt; 1 → Step 5 corrects g</v>
      </c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</row>
    <row r="51" ht="34" customHeight="1">
      <c r="A51" s="60" t="inlineStr">
        <is>
          <t xml:space="preserve">Sⱼ</t>
        </is>
      </c>
      <c r="B51" s="60" t="inlineStr">
        <is>
          <t xml:space="preserve">Class</t>
        </is>
      </c>
      <c r="C51" s="60" t="inlineStr">
        <is>
          <t xml:space="preserve">In F</t>
        </is>
      </c>
      <c r="D51" s="60" t="inlineStr">
        <is>
          <t xml:space="preserve">Own class of Sᵢ</t>
        </is>
      </c>
      <c r="E51" s="60" t="inlineStr">
        <is>
          <t xml:space="preserve">ρ(Sⱼ, Sᵢ)</t>
        </is>
      </c>
      <c r="F51" s="60" t="inlineStr">
        <is>
          <t xml:space="preserve">r(Sⱼ)</t>
        </is>
      </c>
      <c r="G51" s="60" t="inlineStr">
        <is>
          <t xml:space="preserve">r(Sⱼ) − ρ(Sⱼ, Sᵢ)</t>
        </is>
      </c>
      <c r="H51" s="60" t="inlineStr">
        <is>
          <t xml:space="preserve">Sphere of Sⱼ contains Sᵢ</t>
        </is>
      </c>
      <c r="I51" s="60" t="inlineStr">
        <is>
          <t xml:space="preserve">g before</t>
        </is>
      </c>
      <c r="J51" s="60" t="inlineStr">
        <is>
          <t xml:space="preserve">g &gt; 1</t>
        </is>
      </c>
      <c r="K51" s="60" t="inlineStr">
        <is>
          <t xml:space="preserve">Allowed (A, B)</t>
        </is>
      </c>
      <c r="L51" s="60" t="inlineStr">
        <is>
          <t xml:space="preserve">Sⱼ ∈ L</t>
        </is>
      </c>
      <c r="M51" s="60" t="inlineStr">
        <is>
          <t xml:space="preserve">g after</t>
        </is>
      </c>
      <c r="N51" s="60" t="inlineStr">
        <is>
          <t xml:space="preserve">Moves to D</t>
        </is>
      </c>
      <c r="O51" s="60" t="inlineStr">
        <is>
          <t xml:space="preserve">Role in this iteration</t>
        </is>
      </c>
    </row>
    <row r="52">
      <c r="A52" s="62" t="inlineStr">
        <is>
          <t xml:space="preserve">S₁</t>
        </is>
      </c>
      <c r="B52" s="68">
        <f>'ERDR Iterations'!B$33</f>
        <v>2</v>
      </c>
      <c r="C52" s="76">
        <f>'ERDR Iterations'!B$34</f>
        <v>1</v>
      </c>
      <c r="D52" s="76">
        <f>'ERDR Iterations'!B$40</f>
        <v>0</v>
      </c>
      <c r="E52" s="73">
        <f>'ERDR Iterations'!B$41</f>
        <v>5.60708061</v>
      </c>
      <c r="F52" s="73">
        <f>'ERDR Iterations'!B$42</f>
        <v>5.60708061</v>
      </c>
      <c r="G52" s="143">
        <f>IF(ISNUMBER(E52),F52-E52,"—")</f>
        <v>0</v>
      </c>
      <c r="H52" s="76">
        <f>'ERDR Iterations'!B$43</f>
        <v>0</v>
      </c>
      <c r="I52" s="80">
        <f>'ERDR Iterations'!B$36</f>
        <v>2</v>
      </c>
      <c r="J52" s="76">
        <f>'ERDR Iterations'!B$44</f>
        <v>1</v>
      </c>
      <c r="K52" s="76">
        <f>'ERDR Iterations'!B$45</f>
        <v>1</v>
      </c>
      <c r="L52" s="77">
        <f>'ERDR Iterations'!B$46</f>
        <v>0</v>
      </c>
      <c r="M52" s="80">
        <f>'ERDR Iterations'!B$49</f>
        <v>2</v>
      </c>
      <c r="N52" s="85" t="str">
        <f>IF('ERDR Iterations'!B$51=1,IF('ERDR Iterations'!B$47=1,"Step 4","Step 5"),"")</f>
        <v/>
      </c>
      <c r="O52" s="101" t="str">
        <f>IF('ERDR Iterations'!$K$35=0,IF(C52=1,"in F — stays in the validation sample","in D — training sample"),IF('ERDR Iterations'!B$39=1,"Sᵢ (selected) · "&amp;IF(L52=1,"own sphere with g &gt; 1 → in L",IF(J52=0,"g = 1 → not in its own L","reading A = 2 → not in its own L")),IF(D52=0,"enemy (other class)"&amp;IF(C52=0," · in D",""),IF(C52=0,IF(H52=1,"in D — its sphere contains Sᵢ but no longer counts","in D — its sphere does not reach Sᵢ"),IF(H52=0,"own class in F — its sphere does not reach Sᵢ (ρ ≥ r)",IF(L52=1,"own class in F — its sphere contains Sᵢ → in L","own class in F — contains Sᵢ, excluded by reading B = 2 (processed)"))))))&amp;IF(N52&lt;&gt;"","  ·  moves to D ("&amp;N52&amp;")","")</f>
        <v>enemy (other class)</v>
      </c>
    </row>
    <row r="53">
      <c r="A53" s="62" t="inlineStr">
        <is>
          <t xml:space="preserve">S₂</t>
        </is>
      </c>
      <c r="B53" s="68">
        <f>'ERDR Iterations'!C$33</f>
        <v>2</v>
      </c>
      <c r="C53" s="76">
        <f>'ERDR Iterations'!C$34</f>
        <v>1</v>
      </c>
      <c r="D53" s="76">
        <f>'ERDR Iterations'!C$40</f>
        <v>0</v>
      </c>
      <c r="E53" s="73">
        <f>'ERDR Iterations'!C$41</f>
        <v>7.4699698919</v>
      </c>
      <c r="F53" s="73">
        <f>'ERDR Iterations'!C$42</f>
        <v>7.4699698919</v>
      </c>
      <c r="G53" s="143">
        <f>IF(ISNUMBER(E53),F53-E53,"—")</f>
        <v>0</v>
      </c>
      <c r="H53" s="76">
        <f>'ERDR Iterations'!C$43</f>
        <v>0</v>
      </c>
      <c r="I53" s="80">
        <f>'ERDR Iterations'!C$36</f>
        <v>3</v>
      </c>
      <c r="J53" s="76">
        <f>'ERDR Iterations'!C$44</f>
        <v>1</v>
      </c>
      <c r="K53" s="76">
        <f>'ERDR Iterations'!C$45</f>
        <v>1</v>
      </c>
      <c r="L53" s="77">
        <f>'ERDR Iterations'!C$46</f>
        <v>0</v>
      </c>
      <c r="M53" s="80">
        <f>'ERDR Iterations'!C$49</f>
        <v>3</v>
      </c>
      <c r="N53" s="85" t="str">
        <f>IF('ERDR Iterations'!C$51=1,IF('ERDR Iterations'!C$47=1,"Step 4","Step 5"),"")</f>
        <v/>
      </c>
      <c r="O53" s="101" t="str">
        <f>IF('ERDR Iterations'!$K$35=0,IF(C53=1,"in F — stays in the validation sample","in D — training sample"),IF('ERDR Iterations'!C$39=1,"Sᵢ (selected) · "&amp;IF(L53=1,"own sphere with g &gt; 1 → in L",IF(J53=0,"g = 1 → not in its own L","reading A = 2 → not in its own L")),IF(D53=0,"enemy (other class)"&amp;IF(C53=0," · in D",""),IF(C53=0,IF(H53=1,"in D — its sphere contains Sᵢ but no longer counts","in D — its sphere does not reach Sᵢ"),IF(H53=0,"own class in F — its sphere does not reach Sᵢ (ρ ≥ r)",IF(L53=1,"own class in F — its sphere contains Sᵢ → in L","own class in F — contains Sᵢ, excluded by reading B = 2 (processed)"))))))&amp;IF(N53&lt;&gt;"","  ·  moves to D ("&amp;N53&amp;")","")</f>
        <v>enemy (other class)</v>
      </c>
    </row>
    <row r="54">
      <c r="A54" s="62" t="inlineStr">
        <is>
          <t xml:space="preserve">S₃</t>
        </is>
      </c>
      <c r="B54" s="68">
        <f>'ERDR Iterations'!D$33</f>
        <v>1</v>
      </c>
      <c r="C54" s="76">
        <f>'ERDR Iterations'!D$34</f>
        <v>1</v>
      </c>
      <c r="D54" s="76">
        <f>'ERDR Iterations'!D$40</f>
        <v>1</v>
      </c>
      <c r="E54" s="73">
        <f>'ERDR Iterations'!D$41</f>
        <v>0</v>
      </c>
      <c r="F54" s="73">
        <f>'ERDR Iterations'!D$42</f>
        <v>5.60708061</v>
      </c>
      <c r="G54" s="143">
        <f>IF(ISNUMBER(E54),F54-E54,"—")</f>
        <v>5.60708061</v>
      </c>
      <c r="H54" s="76">
        <f>'ERDR Iterations'!D$43</f>
        <v>1</v>
      </c>
      <c r="I54" s="80">
        <f>'ERDR Iterations'!D$36</f>
        <v>3</v>
      </c>
      <c r="J54" s="76">
        <f>'ERDR Iterations'!D$44</f>
        <v>1</v>
      </c>
      <c r="K54" s="76">
        <f>'ERDR Iterations'!D$45</f>
        <v>1</v>
      </c>
      <c r="L54" s="77">
        <f>'ERDR Iterations'!D$46</f>
        <v>1</v>
      </c>
      <c r="M54" s="80">
        <f>'ERDR Iterations'!D$49</f>
        <v>2</v>
      </c>
      <c r="N54" s="85" t="str">
        <f>IF('ERDR Iterations'!D$51=1,IF('ERDR Iterations'!D$47=1,"Step 4","Step 5"),"")</f>
        <v/>
      </c>
      <c r="O54" s="101" t="str">
        <f>IF('ERDR Iterations'!$K$35=0,IF(C54=1,"in F — stays in the validation sample","in D — training sample"),IF('ERDR Iterations'!D$39=1,"Sᵢ (selected) · "&amp;IF(L54=1,"own sphere with g &gt; 1 → in L",IF(J54=0,"g = 1 → not in its own L","reading A = 2 → not in its own L")),IF(D54=0,"enemy (other class)"&amp;IF(C54=0," · in D",""),IF(C54=0,IF(H54=1,"in D — its sphere contains Sᵢ but no longer counts","in D — its sphere does not reach Sᵢ"),IF(H54=0,"own class in F — its sphere does not reach Sᵢ (ρ ≥ r)",IF(L54=1,"own class in F — its sphere contains Sᵢ → in L","own class in F — contains Sᵢ, excluded by reading B = 2 (processed)"))))))&amp;IF(N54&lt;&gt;"","  ·  moves to D ("&amp;N54&amp;")","")</f>
        <v>Sᵢ (selected) · own sphere with g &gt; 1 → in L</v>
      </c>
    </row>
    <row r="55">
      <c r="A55" s="62" t="inlineStr">
        <is>
          <t xml:space="preserve">S₄</t>
        </is>
      </c>
      <c r="B55" s="68">
        <f>'ERDR Iterations'!E$33</f>
        <v>2</v>
      </c>
      <c r="C55" s="76">
        <f>'ERDR Iterations'!E$34</f>
        <v>1</v>
      </c>
      <c r="D55" s="76">
        <f>'ERDR Iterations'!E$40</f>
        <v>0</v>
      </c>
      <c r="E55" s="73">
        <f>'ERDR Iterations'!E$41</f>
        <v>6.2175670209</v>
      </c>
      <c r="F55" s="73">
        <f>'ERDR Iterations'!E$42</f>
        <v>3.7071187508</v>
      </c>
      <c r="G55" s="143">
        <f>IF(ISNUMBER(E55),F55-E55,"—")</f>
        <v>-2.5104482701</v>
      </c>
      <c r="H55" s="76">
        <f>'ERDR Iterations'!E$43</f>
        <v>0</v>
      </c>
      <c r="I55" s="80">
        <f>'ERDR Iterations'!E$36</f>
        <v>1</v>
      </c>
      <c r="J55" s="76">
        <f>'ERDR Iterations'!E$44</f>
        <v>0</v>
      </c>
      <c r="K55" s="76">
        <f>'ERDR Iterations'!E$45</f>
        <v>1</v>
      </c>
      <c r="L55" s="77">
        <f>'ERDR Iterations'!E$46</f>
        <v>0</v>
      </c>
      <c r="M55" s="80">
        <f>'ERDR Iterations'!E$49</f>
        <v>1</v>
      </c>
      <c r="N55" s="85" t="str">
        <f>IF('ERDR Iterations'!E$51=1,IF('ERDR Iterations'!E$47=1,"Step 4","Step 5"),"")</f>
        <v/>
      </c>
      <c r="O55" s="101" t="str">
        <f>IF('ERDR Iterations'!$K$35=0,IF(C55=1,"in F — stays in the validation sample","in D — training sample"),IF('ERDR Iterations'!E$39=1,"Sᵢ (selected) · "&amp;IF(L55=1,"own sphere with g &gt; 1 → in L",IF(J55=0,"g = 1 → not in its own L","reading A = 2 → not in its own L")),IF(D55=0,"enemy (other class)"&amp;IF(C55=0," · in D",""),IF(C55=0,IF(H55=1,"in D — its sphere contains Sᵢ but no longer counts","in D — its sphere does not reach Sᵢ"),IF(H55=0,"own class in F — its sphere does not reach Sᵢ (ρ ≥ r)",IF(L55=1,"own class in F — its sphere contains Sᵢ → in L","own class in F — contains Sᵢ, excluded by reading B = 2 (processed)"))))))&amp;IF(N55&lt;&gt;"","  ·  moves to D ("&amp;N55&amp;")","")</f>
        <v>enemy (other class)</v>
      </c>
    </row>
    <row r="56">
      <c r="A56" s="62" t="inlineStr">
        <is>
          <t xml:space="preserve">S₅</t>
        </is>
      </c>
      <c r="B56" s="68">
        <f>'ERDR Iterations'!F$33</f>
        <v>2</v>
      </c>
      <c r="C56" s="76">
        <f>'ERDR Iterations'!F$34</f>
        <v>1</v>
      </c>
      <c r="D56" s="76">
        <f>'ERDR Iterations'!F$40</f>
        <v>0</v>
      </c>
      <c r="E56" s="73">
        <f>'ERDR Iterations'!F$41</f>
        <v>7.3117496807</v>
      </c>
      <c r="F56" s="73">
        <f>'ERDR Iterations'!F$42</f>
        <v>7.1117040273</v>
      </c>
      <c r="G56" s="143">
        <f>IF(ISNUMBER(E56),F56-E56,"—")</f>
        <v>-0.2000456534</v>
      </c>
      <c r="H56" s="76">
        <f>'ERDR Iterations'!F$43</f>
        <v>0</v>
      </c>
      <c r="I56" s="80">
        <f>'ERDR Iterations'!F$36</f>
        <v>2</v>
      </c>
      <c r="J56" s="76">
        <f>'ERDR Iterations'!F$44</f>
        <v>1</v>
      </c>
      <c r="K56" s="76">
        <f>'ERDR Iterations'!F$45</f>
        <v>1</v>
      </c>
      <c r="L56" s="77">
        <f>'ERDR Iterations'!F$46</f>
        <v>0</v>
      </c>
      <c r="M56" s="80">
        <f>'ERDR Iterations'!F$49</f>
        <v>2</v>
      </c>
      <c r="N56" s="85" t="str">
        <f>IF('ERDR Iterations'!F$51=1,IF('ERDR Iterations'!F$47=1,"Step 4","Step 5"),"")</f>
        <v/>
      </c>
      <c r="O56" s="101" t="str">
        <f>IF('ERDR Iterations'!$K$35=0,IF(C56=1,"in F — stays in the validation sample","in D — training sample"),IF('ERDR Iterations'!F$39=1,"Sᵢ (selected) · "&amp;IF(L56=1,"own sphere with g &gt; 1 → in L",IF(J56=0,"g = 1 → not in its own L","reading A = 2 → not in its own L")),IF(D56=0,"enemy (other class)"&amp;IF(C56=0," · in D",""),IF(C56=0,IF(H56=1,"in D — its sphere contains Sᵢ but no longer counts","in D — its sphere does not reach Sᵢ"),IF(H56=0,"own class in F — its sphere does not reach Sᵢ (ρ ≥ r)",IF(L56=1,"own class in F — its sphere contains Sᵢ → in L","own class in F — contains Sᵢ, excluded by reading B = 2 (processed)"))))))&amp;IF(N56&lt;&gt;"","  ·  moves to D ("&amp;N56&amp;")","")</f>
        <v>enemy (other class)</v>
      </c>
    </row>
    <row r="57">
      <c r="A57" s="62" t="inlineStr">
        <is>
          <t xml:space="preserve">S₆</t>
        </is>
      </c>
      <c r="B57" s="68">
        <f>'ERDR Iterations'!G$33</f>
        <v>1</v>
      </c>
      <c r="C57" s="76">
        <f>'ERDR Iterations'!G$34</f>
        <v>1</v>
      </c>
      <c r="D57" s="76">
        <f>'ERDR Iterations'!G$40</f>
        <v>1</v>
      </c>
      <c r="E57" s="73">
        <f>'ERDR Iterations'!G$41</f>
        <v>5.2172783643</v>
      </c>
      <c r="F57" s="73">
        <f>'ERDR Iterations'!G$42</f>
        <v>3.7071187508</v>
      </c>
      <c r="G57" s="143">
        <f>IF(ISNUMBER(E57),F57-E57,"—")</f>
        <v>-1.5101596135</v>
      </c>
      <c r="H57" s="76">
        <f>'ERDR Iterations'!G$43</f>
        <v>0</v>
      </c>
      <c r="I57" s="80">
        <f>'ERDR Iterations'!G$36</f>
        <v>1</v>
      </c>
      <c r="J57" s="76">
        <f>'ERDR Iterations'!G$44</f>
        <v>0</v>
      </c>
      <c r="K57" s="76">
        <f>'ERDR Iterations'!G$45</f>
        <v>1</v>
      </c>
      <c r="L57" s="77">
        <f>'ERDR Iterations'!G$46</f>
        <v>0</v>
      </c>
      <c r="M57" s="80">
        <f>'ERDR Iterations'!G$49</f>
        <v>1</v>
      </c>
      <c r="N57" s="85" t="str">
        <f>IF('ERDR Iterations'!G$51=1,IF('ERDR Iterations'!G$47=1,"Step 4","Step 5"),"")</f>
        <v/>
      </c>
      <c r="O57" s="101" t="str">
        <f>IF('ERDR Iterations'!$K$35=0,IF(C57=1,"in F — stays in the validation sample","in D — training sample"),IF('ERDR Iterations'!G$39=1,"Sᵢ (selected) · "&amp;IF(L57=1,"own sphere with g &gt; 1 → in L",IF(J57=0,"g = 1 → not in its own L","reading A = 2 → not in its own L")),IF(D57=0,"enemy (other class)"&amp;IF(C57=0," · in D",""),IF(C57=0,IF(H57=1,"in D — its sphere contains Sᵢ but no longer counts","in D — its sphere does not reach Sᵢ"),IF(H57=0,"own class in F — its sphere does not reach Sᵢ (ρ ≥ r)",IF(L57=1,"own class in F — its sphere contains Sᵢ → in L","own class in F — contains Sᵢ, excluded by reading B = 2 (processed)"))))))&amp;IF(N57&lt;&gt;"","  ·  moves to D ("&amp;N57&amp;")","")</f>
        <v>own class in F — its sphere does not reach Sᵢ (ρ ≥ r)</v>
      </c>
    </row>
    <row r="58">
      <c r="A58" s="62" t="inlineStr">
        <is>
          <t xml:space="preserve">S₇</t>
        </is>
      </c>
      <c r="B58" s="68">
        <f>'ERDR Iterations'!H$33</f>
        <v>1</v>
      </c>
      <c r="C58" s="76">
        <f>'ERDR Iterations'!H$34</f>
        <v>1</v>
      </c>
      <c r="D58" s="76">
        <f>'ERDR Iterations'!H$40</f>
        <v>1</v>
      </c>
      <c r="E58" s="73">
        <f>'ERDR Iterations'!H$41</f>
        <v>2.7849754107</v>
      </c>
      <c r="F58" s="73">
        <f>'ERDR Iterations'!H$42</f>
        <v>3.9109813746</v>
      </c>
      <c r="G58" s="143">
        <f>IF(ISNUMBER(E58),F58-E58,"—")</f>
        <v>1.1260059639</v>
      </c>
      <c r="H58" s="76">
        <f>'ERDR Iterations'!H$43</f>
        <v>1</v>
      </c>
      <c r="I58" s="80">
        <f>'ERDR Iterations'!H$36</f>
        <v>2</v>
      </c>
      <c r="J58" s="76">
        <f>'ERDR Iterations'!H$44</f>
        <v>1</v>
      </c>
      <c r="K58" s="76">
        <f>'ERDR Iterations'!H$45</f>
        <v>1</v>
      </c>
      <c r="L58" s="77">
        <f>'ERDR Iterations'!H$46</f>
        <v>1</v>
      </c>
      <c r="M58" s="80">
        <f>'ERDR Iterations'!H$49</f>
        <v>1</v>
      </c>
      <c r="N58" s="85" t="str">
        <f>IF('ERDR Iterations'!H$51=1,IF('ERDR Iterations'!H$47=1,"Step 4","Step 5"),"")</f>
        <v>Step 5</v>
      </c>
      <c r="O58" s="101" t="str">
        <f>IF('ERDR Iterations'!$K$35=0,IF(C58=1,"in F — stays in the validation sample","in D — training sample"),IF('ERDR Iterations'!H$39=1,"Sᵢ (selected) · "&amp;IF(L58=1,"own sphere with g &gt; 1 → in L",IF(J58=0,"g = 1 → not in its own L","reading A = 2 → not in its own L")),IF(D58=0,"enemy (other class)"&amp;IF(C58=0," · in D",""),IF(C58=0,IF(H58=1,"in D — its sphere contains Sᵢ but no longer counts","in D — its sphere does not reach Sᵢ"),IF(H58=0,"own class in F — its sphere does not reach Sᵢ (ρ ≥ r)",IF(L58=1,"own class in F — its sphere contains Sᵢ → in L","own class in F — contains Sᵢ, excluded by reading B = 2 (processed)"))))))&amp;IF(N58&lt;&gt;"","  ·  moves to D ("&amp;N58&amp;")","")</f>
        <v>own class in F — its sphere contains Sᵢ → in L  ·  moves to D (Step 5)</v>
      </c>
    </row>
    <row r="59"/>
    <row r="60">
      <c r="A60" s="82" t="inlineStr">
        <is>
          <t xml:space="preserve">Spheres that contain Sᵢ (own class, in F)</t>
        </is>
      </c>
      <c r="B60" s="82"/>
      <c r="C60" s="82"/>
      <c r="D60" s="82"/>
      <c r="E60" s="85" t="str">
        <f>IF('ERDR Iterations'!$K$35=0,"—",IF(IF(AND('ERDR Iterations'!B$40=1,'ERDR Iterations'!B$34=1,'ERDR Iterations'!B$43=1),", S₁","")&amp;IF(AND('ERDR Iterations'!C$40=1,'ERDR Iterations'!C$34=1,'ERDR Iterations'!C$43=1),", S₂","")&amp;IF(AND('ERDR Iterations'!D$40=1,'ERDR Iterations'!D$34=1,'ERDR Iterations'!D$43=1),", S₃","")&amp;IF(AND('ERDR Iterations'!E$40=1,'ERDR Iterations'!E$34=1,'ERDR Iterations'!E$43=1),", S₄","")&amp;IF(AND('ERDR Iterations'!F$40=1,'ERDR Iterations'!F$34=1,'ERDR Iterations'!F$43=1),", S₅","")&amp;IF(AND('ERDR Iterations'!G$40=1,'ERDR Iterations'!G$34=1,'ERDR Iterations'!G$43=1),", S₆","")&amp;IF(AND('ERDR Iterations'!H$40=1,'ERDR Iterations'!H$34=1,'ERDR Iterations'!H$43=1),", S₇","")="","∅","{"&amp;MID(IF(AND('ERDR Iterations'!B$40=1,'ERDR Iterations'!B$34=1,'ERDR Iterations'!B$43=1),", S₁","")&amp;IF(AND('ERDR Iterations'!C$40=1,'ERDR Iterations'!C$34=1,'ERDR Iterations'!C$43=1),", S₂","")&amp;IF(AND('ERDR Iterations'!D$40=1,'ERDR Iterations'!D$34=1,'ERDR Iterations'!D$43=1),", S₃","")&amp;IF(AND('ERDR Iterations'!E$40=1,'ERDR Iterations'!E$34=1,'ERDR Iterations'!E$43=1),", S₄","")&amp;IF(AND('ERDR Iterations'!F$40=1,'ERDR Iterations'!F$34=1,'ERDR Iterations'!F$43=1),", S₅","")&amp;IF(AND('ERDR Iterations'!G$40=1,'ERDR Iterations'!G$34=1,'ERDR Iterations'!G$43=1),", S₆","")&amp;IF(AND('ERDR Iterations'!H$40=1,'ERDR Iterations'!H$34=1,'ERDR Iterations'!H$43=1),", S₇",""),3,300)&amp;"}"))</f>
        <v>{S₃, S₇}</v>
      </c>
      <c r="F60" s="85"/>
      <c r="G60" s="85"/>
      <c r="H60" s="85"/>
      <c r="I60" s="85"/>
      <c r="J60" s="85"/>
      <c r="K60" s="85"/>
      <c r="L60" s="85"/>
      <c r="M60" s="85"/>
      <c r="N60" s="85"/>
      <c r="O60" s="85"/>
    </row>
    <row r="61">
      <c r="A61" s="82" t="inlineStr">
        <is>
          <t xml:space="preserve">Own-class spheres in D that would contain Sᵢ</t>
        </is>
      </c>
      <c r="B61" s="82"/>
      <c r="C61" s="82"/>
      <c r="D61" s="82"/>
      <c r="E61" s="85" t="str">
        <f>IF('ERDR Iterations'!$K$35=0,"—",IF(IF(AND('ERDR Iterations'!B$40=1,'ERDR Iterations'!B$34=0,'ERDR Iterations'!B$43=1),", S₁","")&amp;IF(AND('ERDR Iterations'!C$40=1,'ERDR Iterations'!C$34=0,'ERDR Iterations'!C$43=1),", S₂","")&amp;IF(AND('ERDR Iterations'!D$40=1,'ERDR Iterations'!D$34=0,'ERDR Iterations'!D$43=1),", S₃","")&amp;IF(AND('ERDR Iterations'!E$40=1,'ERDR Iterations'!E$34=0,'ERDR Iterations'!E$43=1),", S₄","")&amp;IF(AND('ERDR Iterations'!F$40=1,'ERDR Iterations'!F$34=0,'ERDR Iterations'!F$43=1),", S₅","")&amp;IF(AND('ERDR Iterations'!G$40=1,'ERDR Iterations'!G$34=0,'ERDR Iterations'!G$43=1),", S₆","")&amp;IF(AND('ERDR Iterations'!H$40=1,'ERDR Iterations'!H$34=0,'ERDR Iterations'!H$43=1),", S₇","")="","∅","{"&amp;MID(IF(AND('ERDR Iterations'!B$40=1,'ERDR Iterations'!B$34=0,'ERDR Iterations'!B$43=1),", S₁","")&amp;IF(AND('ERDR Iterations'!C$40=1,'ERDR Iterations'!C$34=0,'ERDR Iterations'!C$43=1),", S₂","")&amp;IF(AND('ERDR Iterations'!D$40=1,'ERDR Iterations'!D$34=0,'ERDR Iterations'!D$43=1),", S₃","")&amp;IF(AND('ERDR Iterations'!E$40=1,'ERDR Iterations'!E$34=0,'ERDR Iterations'!E$43=1),", S₄","")&amp;IF(AND('ERDR Iterations'!F$40=1,'ERDR Iterations'!F$34=0,'ERDR Iterations'!F$43=1),", S₅","")&amp;IF(AND('ERDR Iterations'!G$40=1,'ERDR Iterations'!G$34=0,'ERDR Iterations'!G$43=1),", S₆","")&amp;IF(AND('ERDR Iterations'!H$40=1,'ERDR Iterations'!H$34=0,'ERDR Iterations'!H$43=1),", S₇",""),3,300)&amp;"}"))</f>
        <v>∅</v>
      </c>
      <c r="F61" s="85"/>
      <c r="G61" s="85"/>
      <c r="H61" s="85"/>
      <c r="I61" s="85"/>
      <c r="J61" s="85"/>
      <c r="K61" s="85"/>
      <c r="L61" s="85"/>
      <c r="M61" s="85"/>
      <c r="N61" s="85"/>
      <c r="O61" s="85"/>
    </row>
    <row r="62">
      <c r="A62" s="82" t="inlineStr">
        <is>
          <t xml:space="preserve">Step 4 · L  ·  |L|  ·  decision</t>
        </is>
      </c>
      <c r="B62" s="82"/>
      <c r="C62" s="82"/>
      <c r="D62" s="82"/>
      <c r="E62" s="85" t="str">
        <f>IF('ERDR Iterations'!$K$35=0,"— (queue empty)",'ERDR Iterations'!$K$39&amp;"   ·   |L| = "&amp;'ERDR Iterations'!$K$40&amp;"   ·   "&amp;'ERDR Iterations'!$K$41)</f>
        <v>{S₃, S₇}   ·   |L| = 2   ·   |L| &gt; 1 → Step 5 corrects g</v>
      </c>
      <c r="F62" s="85"/>
      <c r="G62" s="85"/>
      <c r="H62" s="85"/>
      <c r="I62" s="85"/>
      <c r="J62" s="85"/>
      <c r="K62" s="85"/>
      <c r="L62" s="85"/>
      <c r="M62" s="85"/>
      <c r="N62" s="85"/>
      <c r="O62" s="85"/>
    </row>
    <row r="63">
      <c r="A63" s="82" t="inlineStr">
        <is>
          <t xml:space="preserve">Step 5 · counters g: before → after</t>
        </is>
      </c>
      <c r="B63" s="82"/>
      <c r="C63" s="82"/>
      <c r="D63" s="82"/>
      <c r="E63" s="85" t="str">
        <f>'ERDR Iterations'!$K$42</f>
        <v>S₃: 3 → 2, S₇: 2 → 1</v>
      </c>
      <c r="F63" s="85"/>
      <c r="G63" s="85"/>
      <c r="H63" s="85"/>
      <c r="I63" s="85"/>
      <c r="J63" s="85"/>
      <c r="K63" s="85"/>
      <c r="L63" s="85"/>
      <c r="M63" s="85"/>
      <c r="N63" s="85"/>
      <c r="O63" s="85"/>
    </row>
    <row r="64">
      <c r="A64" s="82" t="inlineStr">
        <is>
          <t xml:space="preserve">Moved to D</t>
        </is>
      </c>
      <c r="B64" s="82"/>
      <c r="C64" s="82"/>
      <c r="D64" s="82"/>
      <c r="E64" s="85" t="str">
        <f>'ERDR Iterations'!$K$43</f>
        <v>S₇ (Step 5)</v>
      </c>
      <c r="F64" s="85"/>
      <c r="G64" s="85"/>
      <c r="H64" s="85"/>
      <c r="I64" s="85"/>
      <c r="J64" s="85"/>
      <c r="K64" s="85"/>
      <c r="L64" s="85"/>
      <c r="M64" s="85"/>
      <c r="N64" s="85"/>
      <c r="O64" s="85"/>
    </row>
    <row r="65">
      <c r="A65" s="82" t="inlineStr">
        <is>
          <t xml:space="preserve">After the iteration</t>
        </is>
      </c>
      <c r="B65" s="82"/>
      <c r="C65" s="82"/>
      <c r="D65" s="82"/>
      <c r="E65" s="85" t="str">
        <f>"|F| = "&amp;'ERDR Iterations'!$K$44&amp;"   ·   |D| = "&amp;'ERDR Iterations'!$K$45&amp;"   ·   objects left in the queue: "&amp;'ERDR Iterations'!$K$46</f>
        <v>|F| = 6   ·   |D| = 1   ·   objects left in the queue: 4</v>
      </c>
      <c r="F65" s="85"/>
      <c r="G65" s="85"/>
      <c r="H65" s="85"/>
      <c r="I65" s="85"/>
      <c r="J65" s="85"/>
      <c r="K65" s="85"/>
      <c r="L65" s="85"/>
      <c r="M65" s="85"/>
      <c r="N65" s="85"/>
      <c r="O65" s="85"/>
    </row>
    <row r="66">
      <c r="A66" s="82" t="inlineStr">
        <is>
          <t xml:space="preserve">Cases of the Case Checklist shown here</t>
        </is>
      </c>
      <c r="B66" s="82"/>
      <c r="C66" s="82"/>
      <c r="D66" s="82"/>
      <c r="E66" s="85" t="str">
        <f>IF(IF('Case Checklist'!L$5=1,"   ·   6 |L| = 1, L = {Sᵢ}","")&amp;IF('Case Checklist'!L$6=1,"   ·   7 |L| = 1, L = {Sⱼ}","")&amp;IF('Case Checklist'!L$7=1,"   ·   8 |L| = 0, Sᵢ stays in F","")&amp;IF('Case Checklist'!L$8=1,"   ·   9 Step 5 move","")&amp;IF('Case Checklist'!L$9=1,"   ·   10 g lowered, no move","")&amp;IF('Case Checklist'!L$10=1,"   ·   11 moved before its turn","")&amp;IF('Case Checklist'!L$11=1,"   ·   12 processed object moved","")&amp;IF('Case Checklist'!L$12=1,"   ·   13 Sᵢ in its own L","")&amp;IF('Case Checklist'!L$13=1,"   ·   15 two moves in one Step 5","")="","—",MID(IF('Case Checklist'!L$5=1,"   ·   6 |L| = 1, L = {Sᵢ}","")&amp;IF('Case Checklist'!L$6=1,"   ·   7 |L| = 1, L = {Sⱼ}","")&amp;IF('Case Checklist'!L$7=1,"   ·   8 |L| = 0, Sᵢ stays in F","")&amp;IF('Case Checklist'!L$8=1,"   ·   9 Step 5 move","")&amp;IF('Case Checklist'!L$9=1,"   ·   10 g lowered, no move","")&amp;IF('Case Checklist'!L$10=1,"   ·   11 moved before its turn","")&amp;IF('Case Checklist'!L$11=1,"   ·   12 processed object moved","")&amp;IF('Case Checklist'!L$12=1,"   ·   13 Sᵢ in its own L","")&amp;IF('Case Checklist'!L$13=1,"   ·   15 two moves in one Step 5",""),8,400))</f>
        <v>9 Step 5 move   ·   10 g lowered, no move   ·   11 moved before its turn   ·   13 Sᵢ in its own L</v>
      </c>
      <c r="F66" s="85"/>
      <c r="G66" s="85"/>
      <c r="H66" s="85"/>
      <c r="I66" s="85"/>
      <c r="J66" s="85"/>
      <c r="K66" s="85"/>
      <c r="L66" s="85"/>
      <c r="M66" s="85"/>
      <c r="N66" s="85"/>
      <c r="O66" s="85"/>
    </row>
    <row r="67">
      <c r="A67" s="82" t="inlineStr">
        <is>
          <t xml:space="preserve">Check · L from the sphere test r − ρ &gt; 0</t>
        </is>
      </c>
      <c r="B67" s="82"/>
      <c r="C67" s="82"/>
      <c r="D67" s="82"/>
      <c r="E67" s="85" t="str">
        <f>IF('ERDR Iterations'!$K$35=0,"—",IF(SUMPRODUCT(ABS(L52:L58-C52:C58*D52:D58*(G52:G58&gt;0)*J52:J58*K52:K58))=0,"✓ the sphere test gives exactly the L of ERDR Iterations","✗ differs"))</f>
        <v>✓ the sphere test gives exactly the L of ERDR Iterations</v>
      </c>
      <c r="F67" s="85"/>
      <c r="G67" s="85"/>
      <c r="H67" s="85"/>
      <c r="I67" s="85"/>
      <c r="J67" s="85"/>
      <c r="K67" s="85"/>
      <c r="L67" s="85"/>
      <c r="M67" s="85"/>
      <c r="N67" s="85"/>
      <c r="O67" s="85"/>
    </row>
    <row r="68"/>
    <row r="69"/>
    <row r="70"/>
    <row r="71"/>
    <row r="72"/>
    <row r="73"/>
    <row r="74"/>
    <row r="75"/>
    <row r="76"/>
    <row r="77"/>
    <row r="78">
      <c r="A78" s="59" t="str">
        <f>'Hypersphere Data'!$B$366</f>
        <v>Iteration 3  ·  Sᵢ = S₅  ·  L = {S₁, S₂, S₅}  ·  |L| &gt; 1 → Step 5 corrects g</v>
      </c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</row>
    <row r="79" ht="34" customHeight="1">
      <c r="A79" s="60" t="inlineStr">
        <is>
          <t xml:space="preserve">Sⱼ</t>
        </is>
      </c>
      <c r="B79" s="60" t="inlineStr">
        <is>
          <t xml:space="preserve">Class</t>
        </is>
      </c>
      <c r="C79" s="60" t="inlineStr">
        <is>
          <t xml:space="preserve">In F</t>
        </is>
      </c>
      <c r="D79" s="60" t="inlineStr">
        <is>
          <t xml:space="preserve">Own class of Sᵢ</t>
        </is>
      </c>
      <c r="E79" s="60" t="inlineStr">
        <is>
          <t xml:space="preserve">ρ(Sⱼ, Sᵢ)</t>
        </is>
      </c>
      <c r="F79" s="60" t="inlineStr">
        <is>
          <t xml:space="preserve">r(Sⱼ)</t>
        </is>
      </c>
      <c r="G79" s="60" t="inlineStr">
        <is>
          <t xml:space="preserve">r(Sⱼ) − ρ(Sⱼ, Sᵢ)</t>
        </is>
      </c>
      <c r="H79" s="60" t="inlineStr">
        <is>
          <t xml:space="preserve">Sphere of Sⱼ contains Sᵢ</t>
        </is>
      </c>
      <c r="I79" s="60" t="inlineStr">
        <is>
          <t xml:space="preserve">g before</t>
        </is>
      </c>
      <c r="J79" s="60" t="inlineStr">
        <is>
          <t xml:space="preserve">g &gt; 1</t>
        </is>
      </c>
      <c r="K79" s="60" t="inlineStr">
        <is>
          <t xml:space="preserve">Allowed (A, B)</t>
        </is>
      </c>
      <c r="L79" s="60" t="inlineStr">
        <is>
          <t xml:space="preserve">Sⱼ ∈ L</t>
        </is>
      </c>
      <c r="M79" s="60" t="inlineStr">
        <is>
          <t xml:space="preserve">g after</t>
        </is>
      </c>
      <c r="N79" s="60" t="inlineStr">
        <is>
          <t xml:space="preserve">Moves to D</t>
        </is>
      </c>
      <c r="O79" s="60" t="inlineStr">
        <is>
          <t xml:space="preserve">Role in this iteration</t>
        </is>
      </c>
    </row>
    <row r="80">
      <c r="A80" s="62" t="inlineStr">
        <is>
          <t xml:space="preserve">S₁</t>
        </is>
      </c>
      <c r="B80" s="68">
        <f>'ERDR Iterations'!B$59</f>
        <v>2</v>
      </c>
      <c r="C80" s="76">
        <f>'ERDR Iterations'!B$60</f>
        <v>1</v>
      </c>
      <c r="D80" s="76">
        <f>'ERDR Iterations'!B$66</f>
        <v>1</v>
      </c>
      <c r="E80" s="73">
        <f>'ERDR Iterations'!B$67</f>
        <v>4.8565209225</v>
      </c>
      <c r="F80" s="73">
        <f>'ERDR Iterations'!B$68</f>
        <v>5.60708061</v>
      </c>
      <c r="G80" s="143">
        <f>IF(ISNUMBER(E80),F80-E80,"—")</f>
        <v>0.7505596875</v>
      </c>
      <c r="H80" s="76">
        <f>'ERDR Iterations'!B$69</f>
        <v>1</v>
      </c>
      <c r="I80" s="80">
        <f>'ERDR Iterations'!B$62</f>
        <v>2</v>
      </c>
      <c r="J80" s="76">
        <f>'ERDR Iterations'!B$70</f>
        <v>1</v>
      </c>
      <c r="K80" s="76">
        <f>'ERDR Iterations'!B$71</f>
        <v>1</v>
      </c>
      <c r="L80" s="77">
        <f>'ERDR Iterations'!B$72</f>
        <v>1</v>
      </c>
      <c r="M80" s="80">
        <f>'ERDR Iterations'!B$75</f>
        <v>1</v>
      </c>
      <c r="N80" s="85" t="str">
        <f>IF('ERDR Iterations'!B$77=1,IF('ERDR Iterations'!B$73=1,"Step 4","Step 5"),"")</f>
        <v>Step 5</v>
      </c>
      <c r="O80" s="101" t="str">
        <f>IF('ERDR Iterations'!$K$61=0,IF(C80=1,"in F — stays in the validation sample","in D — training sample"),IF('ERDR Iterations'!B$65=1,"Sᵢ (selected) · "&amp;IF(L80=1,"own sphere with g &gt; 1 → in L",IF(J80=0,"g = 1 → not in its own L","reading A = 2 → not in its own L")),IF(D80=0,"enemy (other class)"&amp;IF(C80=0," · in D",""),IF(C80=0,IF(H80=1,"in D — its sphere contains Sᵢ but no longer counts","in D — its sphere does not reach Sᵢ"),IF(H80=0,"own class in F — its sphere does not reach Sᵢ (ρ ≥ r)",IF(L80=1,"own class in F — its sphere contains Sᵢ → in L","own class in F — contains Sᵢ, excluded by reading B = 2 (processed)"))))))&amp;IF(N80&lt;&gt;"","  ·  moves to D ("&amp;N80&amp;")","")</f>
        <v>own class in F — its sphere contains Sᵢ → in L  ·  moves to D (Step 5)</v>
      </c>
    </row>
    <row r="81">
      <c r="A81" s="62" t="inlineStr">
        <is>
          <t xml:space="preserve">S₂</t>
        </is>
      </c>
      <c r="B81" s="68">
        <f>'ERDR Iterations'!C$59</f>
        <v>2</v>
      </c>
      <c r="C81" s="76">
        <f>'ERDR Iterations'!C$60</f>
        <v>1</v>
      </c>
      <c r="D81" s="76">
        <f>'ERDR Iterations'!C$66</f>
        <v>1</v>
      </c>
      <c r="E81" s="73">
        <f>'ERDR Iterations'!C$67</f>
        <v>6.104089157</v>
      </c>
      <c r="F81" s="73">
        <f>'ERDR Iterations'!C$68</f>
        <v>7.4699698919</v>
      </c>
      <c r="G81" s="143">
        <f>IF(ISNUMBER(E81),F81-E81,"—")</f>
        <v>1.3658807349</v>
      </c>
      <c r="H81" s="76">
        <f>'ERDR Iterations'!C$69</f>
        <v>1</v>
      </c>
      <c r="I81" s="80">
        <f>'ERDR Iterations'!C$62</f>
        <v>3</v>
      </c>
      <c r="J81" s="76">
        <f>'ERDR Iterations'!C$70</f>
        <v>1</v>
      </c>
      <c r="K81" s="76">
        <f>'ERDR Iterations'!C$71</f>
        <v>1</v>
      </c>
      <c r="L81" s="77">
        <f>'ERDR Iterations'!C$72</f>
        <v>1</v>
      </c>
      <c r="M81" s="80">
        <f>'ERDR Iterations'!C$75</f>
        <v>2</v>
      </c>
      <c r="N81" s="85" t="str">
        <f>IF('ERDR Iterations'!C$77=1,IF('ERDR Iterations'!C$73=1,"Step 4","Step 5"),"")</f>
        <v/>
      </c>
      <c r="O81" s="101" t="str">
        <f>IF('ERDR Iterations'!$K$61=0,IF(C81=1,"in F — stays in the validation sample","in D — training sample"),IF('ERDR Iterations'!C$65=1,"Sᵢ (selected) · "&amp;IF(L81=1,"own sphere with g &gt; 1 → in L",IF(J81=0,"g = 1 → not in its own L","reading A = 2 → not in its own L")),IF(D81=0,"enemy (other class)"&amp;IF(C81=0," · in D",""),IF(C81=0,IF(H81=1,"in D — its sphere contains Sᵢ but no longer counts","in D — its sphere does not reach Sᵢ"),IF(H81=0,"own class in F — its sphere does not reach Sᵢ (ρ ≥ r)",IF(L81=1,"own class in F — its sphere contains Sᵢ → in L","own class in F — contains Sᵢ, excluded by reading B = 2 (processed)"))))))&amp;IF(N81&lt;&gt;"","  ·  moves to D ("&amp;N81&amp;")","")</f>
        <v>own class in F — its sphere contains Sᵢ → in L</v>
      </c>
    </row>
    <row r="82">
      <c r="A82" s="62" t="inlineStr">
        <is>
          <t xml:space="preserve">S₃</t>
        </is>
      </c>
      <c r="B82" s="68">
        <f>'ERDR Iterations'!D$59</f>
        <v>1</v>
      </c>
      <c r="C82" s="76">
        <f>'ERDR Iterations'!D$60</f>
        <v>1</v>
      </c>
      <c r="D82" s="76">
        <f>'ERDR Iterations'!D$66</f>
        <v>0</v>
      </c>
      <c r="E82" s="73">
        <f>'ERDR Iterations'!D$67</f>
        <v>7.3117496807</v>
      </c>
      <c r="F82" s="73">
        <f>'ERDR Iterations'!D$68</f>
        <v>5.60708061</v>
      </c>
      <c r="G82" s="143">
        <f>IF(ISNUMBER(E82),F82-E82,"—")</f>
        <v>-1.7046690707</v>
      </c>
      <c r="H82" s="76">
        <f>'ERDR Iterations'!D$69</f>
        <v>0</v>
      </c>
      <c r="I82" s="80">
        <f>'ERDR Iterations'!D$62</f>
        <v>2</v>
      </c>
      <c r="J82" s="76">
        <f>'ERDR Iterations'!D$70</f>
        <v>1</v>
      </c>
      <c r="K82" s="76">
        <f>'ERDR Iterations'!D$71</f>
        <v>1</v>
      </c>
      <c r="L82" s="77">
        <f>'ERDR Iterations'!D$72</f>
        <v>0</v>
      </c>
      <c r="M82" s="80">
        <f>'ERDR Iterations'!D$75</f>
        <v>2</v>
      </c>
      <c r="N82" s="85" t="str">
        <f>IF('ERDR Iterations'!D$77=1,IF('ERDR Iterations'!D$73=1,"Step 4","Step 5"),"")</f>
        <v/>
      </c>
      <c r="O82" s="101" t="str">
        <f>IF('ERDR Iterations'!$K$61=0,IF(C82=1,"in F — stays in the validation sample","in D — training sample"),IF('ERDR Iterations'!D$65=1,"Sᵢ (selected) · "&amp;IF(L82=1,"own sphere with g &gt; 1 → in L",IF(J82=0,"g = 1 → not in its own L","reading A = 2 → not in its own L")),IF(D82=0,"enemy (other class)"&amp;IF(C82=0," · in D",""),IF(C82=0,IF(H82=1,"in D — its sphere contains Sᵢ but no longer counts","in D — its sphere does not reach Sᵢ"),IF(H82=0,"own class in F — its sphere does not reach Sᵢ (ρ ≥ r)",IF(L82=1,"own class in F — its sphere contains Sᵢ → in L","own class in F — contains Sᵢ, excluded by reading B = 2 (processed)"))))))&amp;IF(N82&lt;&gt;"","  ·  moves to D ("&amp;N82&amp;")","")</f>
        <v>enemy (other class)</v>
      </c>
    </row>
    <row r="83">
      <c r="A83" s="62" t="inlineStr">
        <is>
          <t xml:space="preserve">S₄</t>
        </is>
      </c>
      <c r="B83" s="68">
        <f>'ERDR Iterations'!E$59</f>
        <v>2</v>
      </c>
      <c r="C83" s="76">
        <f>'ERDR Iterations'!E$60</f>
        <v>1</v>
      </c>
      <c r="D83" s="76">
        <f>'ERDR Iterations'!E$66</f>
        <v>1</v>
      </c>
      <c r="E83" s="73">
        <f>'ERDR Iterations'!E$67</f>
        <v>7.8491221835</v>
      </c>
      <c r="F83" s="73">
        <f>'ERDR Iterations'!E$68</f>
        <v>3.7071187508</v>
      </c>
      <c r="G83" s="143">
        <f>IF(ISNUMBER(E83),F83-E83,"—")</f>
        <v>-4.1420034327</v>
      </c>
      <c r="H83" s="76">
        <f>'ERDR Iterations'!E$69</f>
        <v>0</v>
      </c>
      <c r="I83" s="80">
        <f>'ERDR Iterations'!E$62</f>
        <v>1</v>
      </c>
      <c r="J83" s="76">
        <f>'ERDR Iterations'!E$70</f>
        <v>0</v>
      </c>
      <c r="K83" s="76">
        <f>'ERDR Iterations'!E$71</f>
        <v>1</v>
      </c>
      <c r="L83" s="77">
        <f>'ERDR Iterations'!E$72</f>
        <v>0</v>
      </c>
      <c r="M83" s="80">
        <f>'ERDR Iterations'!E$75</f>
        <v>1</v>
      </c>
      <c r="N83" s="85" t="str">
        <f>IF('ERDR Iterations'!E$77=1,IF('ERDR Iterations'!E$73=1,"Step 4","Step 5"),"")</f>
        <v/>
      </c>
      <c r="O83" s="101" t="str">
        <f>IF('ERDR Iterations'!$K$61=0,IF(C83=1,"in F — stays in the validation sample","in D — training sample"),IF('ERDR Iterations'!E$65=1,"Sᵢ (selected) · "&amp;IF(L83=1,"own sphere with g &gt; 1 → in L",IF(J83=0,"g = 1 → not in its own L","reading A = 2 → not in its own L")),IF(D83=0,"enemy (other class)"&amp;IF(C83=0," · in D",""),IF(C83=0,IF(H83=1,"in D — its sphere contains Sᵢ but no longer counts","in D — its sphere does not reach Sᵢ"),IF(H83=0,"own class in F — its sphere does not reach Sᵢ (ρ ≥ r)",IF(L83=1,"own class in F — its sphere contains Sᵢ → in L","own class in F — contains Sᵢ, excluded by reading B = 2 (processed)"))))))&amp;IF(N83&lt;&gt;"","  ·  moves to D ("&amp;N83&amp;")","")</f>
        <v>own class in F — its sphere does not reach Sᵢ (ρ ≥ r)</v>
      </c>
    </row>
    <row r="84">
      <c r="A84" s="62" t="inlineStr">
        <is>
          <t xml:space="preserve">S₅</t>
        </is>
      </c>
      <c r="B84" s="68">
        <f>'ERDR Iterations'!F$59</f>
        <v>2</v>
      </c>
      <c r="C84" s="76">
        <f>'ERDR Iterations'!F$60</f>
        <v>1</v>
      </c>
      <c r="D84" s="76">
        <f>'ERDR Iterations'!F$66</f>
        <v>1</v>
      </c>
      <c r="E84" s="73">
        <f>'ERDR Iterations'!F$67</f>
        <v>0</v>
      </c>
      <c r="F84" s="73">
        <f>'ERDR Iterations'!F$68</f>
        <v>7.1117040273</v>
      </c>
      <c r="G84" s="143">
        <f>IF(ISNUMBER(E84),F84-E84,"—")</f>
        <v>7.1117040273</v>
      </c>
      <c r="H84" s="76">
        <f>'ERDR Iterations'!F$69</f>
        <v>1</v>
      </c>
      <c r="I84" s="80">
        <f>'ERDR Iterations'!F$62</f>
        <v>2</v>
      </c>
      <c r="J84" s="76">
        <f>'ERDR Iterations'!F$70</f>
        <v>1</v>
      </c>
      <c r="K84" s="76">
        <f>'ERDR Iterations'!F$71</f>
        <v>1</v>
      </c>
      <c r="L84" s="77">
        <f>'ERDR Iterations'!F$72</f>
        <v>1</v>
      </c>
      <c r="M84" s="80">
        <f>'ERDR Iterations'!F$75</f>
        <v>1</v>
      </c>
      <c r="N84" s="85" t="str">
        <f>IF('ERDR Iterations'!F$77=1,IF('ERDR Iterations'!F$73=1,"Step 4","Step 5"),"")</f>
        <v>Step 5</v>
      </c>
      <c r="O84" s="101" t="str">
        <f>IF('ERDR Iterations'!$K$61=0,IF(C84=1,"in F — stays in the validation sample","in D — training sample"),IF('ERDR Iterations'!F$65=1,"Sᵢ (selected) · "&amp;IF(L84=1,"own sphere with g &gt; 1 → in L",IF(J84=0,"g = 1 → not in its own L","reading A = 2 → not in its own L")),IF(D84=0,"enemy (other class)"&amp;IF(C84=0," · in D",""),IF(C84=0,IF(H84=1,"in D — its sphere contains Sᵢ but no longer counts","in D — its sphere does not reach Sᵢ"),IF(H84=0,"own class in F — its sphere does not reach Sᵢ (ρ ≥ r)",IF(L84=1,"own class in F — its sphere contains Sᵢ → in L","own class in F — contains Sᵢ, excluded by reading B = 2 (processed)"))))))&amp;IF(N84&lt;&gt;"","  ·  moves to D ("&amp;N84&amp;")","")</f>
        <v>Sᵢ (selected) · own sphere with g &gt; 1 → in L  ·  moves to D (Step 5)</v>
      </c>
    </row>
    <row r="85">
      <c r="A85" s="62" t="inlineStr">
        <is>
          <t xml:space="preserve">S₆</t>
        </is>
      </c>
      <c r="B85" s="68">
        <f>'ERDR Iterations'!G$59</f>
        <v>1</v>
      </c>
      <c r="C85" s="76">
        <f>'ERDR Iterations'!G$60</f>
        <v>1</v>
      </c>
      <c r="D85" s="76">
        <f>'ERDR Iterations'!G$66</f>
        <v>0</v>
      </c>
      <c r="E85" s="73">
        <f>'ERDR Iterations'!G$67</f>
        <v>9.0234774016</v>
      </c>
      <c r="F85" s="73">
        <f>'ERDR Iterations'!G$68</f>
        <v>3.7071187508</v>
      </c>
      <c r="G85" s="143">
        <f>IF(ISNUMBER(E85),F85-E85,"—")</f>
        <v>-5.3163586508</v>
      </c>
      <c r="H85" s="76">
        <f>'ERDR Iterations'!G$69</f>
        <v>0</v>
      </c>
      <c r="I85" s="80">
        <f>'ERDR Iterations'!G$62</f>
        <v>1</v>
      </c>
      <c r="J85" s="76">
        <f>'ERDR Iterations'!G$70</f>
        <v>0</v>
      </c>
      <c r="K85" s="76">
        <f>'ERDR Iterations'!G$71</f>
        <v>1</v>
      </c>
      <c r="L85" s="77">
        <f>'ERDR Iterations'!G$72</f>
        <v>0</v>
      </c>
      <c r="M85" s="80">
        <f>'ERDR Iterations'!G$75</f>
        <v>1</v>
      </c>
      <c r="N85" s="85" t="str">
        <f>IF('ERDR Iterations'!G$77=1,IF('ERDR Iterations'!G$73=1,"Step 4","Step 5"),"")</f>
        <v/>
      </c>
      <c r="O85" s="101" t="str">
        <f>IF('ERDR Iterations'!$K$61=0,IF(C85=1,"in F — stays in the validation sample","in D — training sample"),IF('ERDR Iterations'!G$65=1,"Sᵢ (selected) · "&amp;IF(L85=1,"own sphere with g &gt; 1 → in L",IF(J85=0,"g = 1 → not in its own L","reading A = 2 → not in its own L")),IF(D85=0,"enemy (other class)"&amp;IF(C85=0," · in D",""),IF(C85=0,IF(H85=1,"in D — its sphere contains Sᵢ but no longer counts","in D — its sphere does not reach Sᵢ"),IF(H85=0,"own class in F — its sphere does not reach Sᵢ (ρ ≥ r)",IF(L85=1,"own class in F — its sphere contains Sᵢ → in L","own class in F — contains Sᵢ, excluded by reading B = 2 (processed)"))))))&amp;IF(N85&lt;&gt;"","  ·  moves to D ("&amp;N85&amp;")","")</f>
        <v>enemy (other class)</v>
      </c>
    </row>
    <row r="86">
      <c r="A86" s="62" t="inlineStr">
        <is>
          <t xml:space="preserve">S₇</t>
        </is>
      </c>
      <c r="B86" s="68">
        <f>'ERDR Iterations'!H$59</f>
        <v>1</v>
      </c>
      <c r="C86" s="76">
        <f>'ERDR Iterations'!H$60</f>
        <v>0</v>
      </c>
      <c r="D86" s="76">
        <f>'ERDR Iterations'!H$66</f>
        <v>0</v>
      </c>
      <c r="E86" s="73">
        <f>'ERDR Iterations'!H$67</f>
        <v>7.1117040273</v>
      </c>
      <c r="F86" s="73">
        <f>'ERDR Iterations'!H$68</f>
        <v>3.9109813746</v>
      </c>
      <c r="G86" s="143">
        <f>IF(ISNUMBER(E86),F86-E86,"—")</f>
        <v>-3.2007226527</v>
      </c>
      <c r="H86" s="76">
        <f>'ERDR Iterations'!H$69</f>
        <v>0</v>
      </c>
      <c r="I86" s="80">
        <f>'ERDR Iterations'!H$62</f>
        <v>1</v>
      </c>
      <c r="J86" s="76">
        <f>'ERDR Iterations'!H$70</f>
        <v>0</v>
      </c>
      <c r="K86" s="76">
        <f>'ERDR Iterations'!H$71</f>
        <v>1</v>
      </c>
      <c r="L86" s="77">
        <f>'ERDR Iterations'!H$72</f>
        <v>0</v>
      </c>
      <c r="M86" s="80">
        <f>'ERDR Iterations'!H$75</f>
        <v>1</v>
      </c>
      <c r="N86" s="85" t="str">
        <f>IF('ERDR Iterations'!H$77=1,IF('ERDR Iterations'!H$73=1,"Step 4","Step 5"),"")</f>
        <v/>
      </c>
      <c r="O86" s="101" t="str">
        <f>IF('ERDR Iterations'!$K$61=0,IF(C86=1,"in F — stays in the validation sample","in D — training sample"),IF('ERDR Iterations'!H$65=1,"Sᵢ (selected) · "&amp;IF(L86=1,"own sphere with g &gt; 1 → in L",IF(J86=0,"g = 1 → not in its own L","reading A = 2 → not in its own L")),IF(D86=0,"enemy (other class)"&amp;IF(C86=0," · in D",""),IF(C86=0,IF(H86=1,"in D — its sphere contains Sᵢ but no longer counts","in D — its sphere does not reach Sᵢ"),IF(H86=0,"own class in F — its sphere does not reach Sᵢ (ρ ≥ r)",IF(L86=1,"own class in F — its sphere contains Sᵢ → in L","own class in F — contains Sᵢ, excluded by reading B = 2 (processed)"))))))&amp;IF(N86&lt;&gt;"","  ·  moves to D ("&amp;N86&amp;")","")</f>
        <v>enemy (other class) · in D</v>
      </c>
    </row>
    <row r="87"/>
    <row r="88">
      <c r="A88" s="82" t="inlineStr">
        <is>
          <t xml:space="preserve">Spheres that contain Sᵢ (own class, in F)</t>
        </is>
      </c>
      <c r="B88" s="82"/>
      <c r="C88" s="82"/>
      <c r="D88" s="82"/>
      <c r="E88" s="85" t="str">
        <f>IF('ERDR Iterations'!$K$61=0,"—",IF(IF(AND('ERDR Iterations'!B$66=1,'ERDR Iterations'!B$60=1,'ERDR Iterations'!B$69=1),", S₁","")&amp;IF(AND('ERDR Iterations'!C$66=1,'ERDR Iterations'!C$60=1,'ERDR Iterations'!C$69=1),", S₂","")&amp;IF(AND('ERDR Iterations'!D$66=1,'ERDR Iterations'!D$60=1,'ERDR Iterations'!D$69=1),", S₃","")&amp;IF(AND('ERDR Iterations'!E$66=1,'ERDR Iterations'!E$60=1,'ERDR Iterations'!E$69=1),", S₄","")&amp;IF(AND('ERDR Iterations'!F$66=1,'ERDR Iterations'!F$60=1,'ERDR Iterations'!F$69=1),", S₅","")&amp;IF(AND('ERDR Iterations'!G$66=1,'ERDR Iterations'!G$60=1,'ERDR Iterations'!G$69=1),", S₆","")&amp;IF(AND('ERDR Iterations'!H$66=1,'ERDR Iterations'!H$60=1,'ERDR Iterations'!H$69=1),", S₇","")="","∅","{"&amp;MID(IF(AND('ERDR Iterations'!B$66=1,'ERDR Iterations'!B$60=1,'ERDR Iterations'!B$69=1),", S₁","")&amp;IF(AND('ERDR Iterations'!C$66=1,'ERDR Iterations'!C$60=1,'ERDR Iterations'!C$69=1),", S₂","")&amp;IF(AND('ERDR Iterations'!D$66=1,'ERDR Iterations'!D$60=1,'ERDR Iterations'!D$69=1),", S₃","")&amp;IF(AND('ERDR Iterations'!E$66=1,'ERDR Iterations'!E$60=1,'ERDR Iterations'!E$69=1),", S₄","")&amp;IF(AND('ERDR Iterations'!F$66=1,'ERDR Iterations'!F$60=1,'ERDR Iterations'!F$69=1),", S₅","")&amp;IF(AND('ERDR Iterations'!G$66=1,'ERDR Iterations'!G$60=1,'ERDR Iterations'!G$69=1),", S₆","")&amp;IF(AND('ERDR Iterations'!H$66=1,'ERDR Iterations'!H$60=1,'ERDR Iterations'!H$69=1),", S₇",""),3,300)&amp;"}"))</f>
        <v>{S₁, S₂, S₅}</v>
      </c>
      <c r="F88" s="85"/>
      <c r="G88" s="85"/>
      <c r="H88" s="85"/>
      <c r="I88" s="85"/>
      <c r="J88" s="85"/>
      <c r="K88" s="85"/>
      <c r="L88" s="85"/>
      <c r="M88" s="85"/>
      <c r="N88" s="85"/>
      <c r="O88" s="85"/>
    </row>
    <row r="89">
      <c r="A89" s="82" t="inlineStr">
        <is>
          <t xml:space="preserve">Own-class spheres in D that would contain Sᵢ</t>
        </is>
      </c>
      <c r="B89" s="82"/>
      <c r="C89" s="82"/>
      <c r="D89" s="82"/>
      <c r="E89" s="85" t="str">
        <f>IF('ERDR Iterations'!$K$61=0,"—",IF(IF(AND('ERDR Iterations'!B$66=1,'ERDR Iterations'!B$60=0,'ERDR Iterations'!B$69=1),", S₁","")&amp;IF(AND('ERDR Iterations'!C$66=1,'ERDR Iterations'!C$60=0,'ERDR Iterations'!C$69=1),", S₂","")&amp;IF(AND('ERDR Iterations'!D$66=1,'ERDR Iterations'!D$60=0,'ERDR Iterations'!D$69=1),", S₃","")&amp;IF(AND('ERDR Iterations'!E$66=1,'ERDR Iterations'!E$60=0,'ERDR Iterations'!E$69=1),", S₄","")&amp;IF(AND('ERDR Iterations'!F$66=1,'ERDR Iterations'!F$60=0,'ERDR Iterations'!F$69=1),", S₅","")&amp;IF(AND('ERDR Iterations'!G$66=1,'ERDR Iterations'!G$60=0,'ERDR Iterations'!G$69=1),", S₆","")&amp;IF(AND('ERDR Iterations'!H$66=1,'ERDR Iterations'!H$60=0,'ERDR Iterations'!H$69=1),", S₇","")="","∅","{"&amp;MID(IF(AND('ERDR Iterations'!B$66=1,'ERDR Iterations'!B$60=0,'ERDR Iterations'!B$69=1),", S₁","")&amp;IF(AND('ERDR Iterations'!C$66=1,'ERDR Iterations'!C$60=0,'ERDR Iterations'!C$69=1),", S₂","")&amp;IF(AND('ERDR Iterations'!D$66=1,'ERDR Iterations'!D$60=0,'ERDR Iterations'!D$69=1),", S₃","")&amp;IF(AND('ERDR Iterations'!E$66=1,'ERDR Iterations'!E$60=0,'ERDR Iterations'!E$69=1),", S₄","")&amp;IF(AND('ERDR Iterations'!F$66=1,'ERDR Iterations'!F$60=0,'ERDR Iterations'!F$69=1),", S₅","")&amp;IF(AND('ERDR Iterations'!G$66=1,'ERDR Iterations'!G$60=0,'ERDR Iterations'!G$69=1),", S₆","")&amp;IF(AND('ERDR Iterations'!H$66=1,'ERDR Iterations'!H$60=0,'ERDR Iterations'!H$69=1),", S₇",""),3,300)&amp;"}"))</f>
        <v>∅</v>
      </c>
      <c r="F89" s="85"/>
      <c r="G89" s="85"/>
      <c r="H89" s="85"/>
      <c r="I89" s="85"/>
      <c r="J89" s="85"/>
      <c r="K89" s="85"/>
      <c r="L89" s="85"/>
      <c r="M89" s="85"/>
      <c r="N89" s="85"/>
      <c r="O89" s="85"/>
    </row>
    <row r="90">
      <c r="A90" s="82" t="inlineStr">
        <is>
          <t xml:space="preserve">Step 4 · L  ·  |L|  ·  decision</t>
        </is>
      </c>
      <c r="B90" s="82"/>
      <c r="C90" s="82"/>
      <c r="D90" s="82"/>
      <c r="E90" s="85" t="str">
        <f>IF('ERDR Iterations'!$K$61=0,"— (queue empty)",'ERDR Iterations'!$K$65&amp;"   ·   |L| = "&amp;'ERDR Iterations'!$K$66&amp;"   ·   "&amp;'ERDR Iterations'!$K$67)</f>
        <v>{S₁, S₂, S₅}   ·   |L| = 3   ·   |L| &gt; 1 → Step 5 corrects g</v>
      </c>
      <c r="F90" s="85"/>
      <c r="G90" s="85"/>
      <c r="H90" s="85"/>
      <c r="I90" s="85"/>
      <c r="J90" s="85"/>
      <c r="K90" s="85"/>
      <c r="L90" s="85"/>
      <c r="M90" s="85"/>
      <c r="N90" s="85"/>
      <c r="O90" s="85"/>
    </row>
    <row r="91">
      <c r="A91" s="82" t="inlineStr">
        <is>
          <t xml:space="preserve">Step 5 · counters g: before → after</t>
        </is>
      </c>
      <c r="B91" s="82"/>
      <c r="C91" s="82"/>
      <c r="D91" s="82"/>
      <c r="E91" s="85" t="str">
        <f>'ERDR Iterations'!$K$68</f>
        <v>S₁: 2 → 1, S₂: 3 → 2, S₅: 2 → 1</v>
      </c>
      <c r="F91" s="85"/>
      <c r="G91" s="85"/>
      <c r="H91" s="85"/>
      <c r="I91" s="85"/>
      <c r="J91" s="85"/>
      <c r="K91" s="85"/>
      <c r="L91" s="85"/>
      <c r="M91" s="85"/>
      <c r="N91" s="85"/>
      <c r="O91" s="85"/>
    </row>
    <row r="92">
      <c r="A92" s="82" t="inlineStr">
        <is>
          <t xml:space="preserve">Moved to D</t>
        </is>
      </c>
      <c r="B92" s="82"/>
      <c r="C92" s="82"/>
      <c r="D92" s="82"/>
      <c r="E92" s="85" t="str">
        <f>'ERDR Iterations'!$K$69</f>
        <v>S₁ (Step 5), S₅ (Step 5)</v>
      </c>
      <c r="F92" s="85"/>
      <c r="G92" s="85"/>
      <c r="H92" s="85"/>
      <c r="I92" s="85"/>
      <c r="J92" s="85"/>
      <c r="K92" s="85"/>
      <c r="L92" s="85"/>
      <c r="M92" s="85"/>
      <c r="N92" s="85"/>
      <c r="O92" s="85"/>
    </row>
    <row r="93">
      <c r="A93" s="82" t="inlineStr">
        <is>
          <t xml:space="preserve">After the iteration</t>
        </is>
      </c>
      <c r="B93" s="82"/>
      <c r="C93" s="82"/>
      <c r="D93" s="82"/>
      <c r="E93" s="85" t="str">
        <f>"|F| = "&amp;'ERDR Iterations'!$K$70&amp;"   ·   |D| = "&amp;'ERDR Iterations'!$K$71&amp;"   ·   objects left in the queue: "&amp;'ERDR Iterations'!$K$72</f>
        <v>|F| = 4   ·   |D| = 3   ·   objects left in the queue: 3</v>
      </c>
      <c r="F93" s="85"/>
      <c r="G93" s="85"/>
      <c r="H93" s="85"/>
      <c r="I93" s="85"/>
      <c r="J93" s="85"/>
      <c r="K93" s="85"/>
      <c r="L93" s="85"/>
      <c r="M93" s="85"/>
      <c r="N93" s="85"/>
      <c r="O93" s="85"/>
    </row>
    <row r="94">
      <c r="A94" s="82" t="inlineStr">
        <is>
          <t xml:space="preserve">Cases of the Case Checklist shown here</t>
        </is>
      </c>
      <c r="B94" s="82"/>
      <c r="C94" s="82"/>
      <c r="D94" s="82"/>
      <c r="E94" s="85" t="str">
        <f>IF(IF('Case Checklist'!M$5=1,"   ·   6 |L| = 1, L = {Sᵢ}","")&amp;IF('Case Checklist'!M$6=1,"   ·   7 |L| = 1, L = {Sⱼ}","")&amp;IF('Case Checklist'!M$7=1,"   ·   8 |L| = 0, Sᵢ stays in F","")&amp;IF('Case Checklist'!M$8=1,"   ·   9 Step 5 move","")&amp;IF('Case Checklist'!M$9=1,"   ·   10 g lowered, no move","")&amp;IF('Case Checklist'!M$10=1,"   ·   11 moved before its turn","")&amp;IF('Case Checklist'!M$11=1,"   ·   12 processed object moved","")&amp;IF('Case Checklist'!M$12=1,"   ·   13 Sᵢ in its own L","")&amp;IF('Case Checklist'!M$13=1,"   ·   15 two moves in one Step 5","")="","—",MID(IF('Case Checklist'!M$5=1,"   ·   6 |L| = 1, L = {Sᵢ}","")&amp;IF('Case Checklist'!M$6=1,"   ·   7 |L| = 1, L = {Sⱼ}","")&amp;IF('Case Checklist'!M$7=1,"   ·   8 |L| = 0, Sᵢ stays in F","")&amp;IF('Case Checklist'!M$8=1,"   ·   9 Step 5 move","")&amp;IF('Case Checklist'!M$9=1,"   ·   10 g lowered, no move","")&amp;IF('Case Checklist'!M$10=1,"   ·   11 moved before its turn","")&amp;IF('Case Checklist'!M$11=1,"   ·   12 processed object moved","")&amp;IF('Case Checklist'!M$12=1,"   ·   13 Sᵢ in its own L","")&amp;IF('Case Checklist'!M$13=1,"   ·   15 two moves in one Step 5",""),8,400))</f>
        <v>9 Step 5 move   ·   10 g lowered, no move   ·   12 processed object moved   ·   13 Sᵢ in its own L   ·   15 two moves in one Step 5</v>
      </c>
      <c r="F94" s="85"/>
      <c r="G94" s="85"/>
      <c r="H94" s="85"/>
      <c r="I94" s="85"/>
      <c r="J94" s="85"/>
      <c r="K94" s="85"/>
      <c r="L94" s="85"/>
      <c r="M94" s="85"/>
      <c r="N94" s="85"/>
      <c r="O94" s="85"/>
    </row>
    <row r="95">
      <c r="A95" s="82" t="inlineStr">
        <is>
          <t xml:space="preserve">Check · L from the sphere test r − ρ &gt; 0</t>
        </is>
      </c>
      <c r="B95" s="82"/>
      <c r="C95" s="82"/>
      <c r="D95" s="82"/>
      <c r="E95" s="85" t="str">
        <f>IF('ERDR Iterations'!$K$61=0,"—",IF(SUMPRODUCT(ABS(L80:L86-C80:C86*D80:D86*(G80:G86&gt;0)*J80:J86*K80:K86))=0,"✓ the sphere test gives exactly the L of ERDR Iterations","✗ differs"))</f>
        <v>✓ the sphere test gives exactly the L of ERDR Iterations</v>
      </c>
      <c r="F95" s="85"/>
      <c r="G95" s="85"/>
      <c r="H95" s="85"/>
      <c r="I95" s="85"/>
      <c r="J95" s="85"/>
      <c r="K95" s="85"/>
      <c r="L95" s="85"/>
      <c r="M95" s="85"/>
      <c r="N95" s="85"/>
      <c r="O95" s="85"/>
    </row>
    <row r="96"/>
    <row r="97"/>
    <row r="98"/>
    <row r="99"/>
    <row r="100"/>
    <row r="101"/>
    <row r="102"/>
    <row r="103"/>
    <row r="104"/>
    <row r="105"/>
    <row r="106">
      <c r="A106" s="59" t="str">
        <f>'Hypersphere Data'!$B$395</f>
        <v>Iteration 4  ·  Sᵢ = S₂  ·  L = {S₂}  ·  |L| = 1 → Sᵢ moves to D</v>
      </c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</row>
    <row r="107" ht="34" customHeight="1">
      <c r="A107" s="60" t="inlineStr">
        <is>
          <t xml:space="preserve">Sⱼ</t>
        </is>
      </c>
      <c r="B107" s="60" t="inlineStr">
        <is>
          <t xml:space="preserve">Class</t>
        </is>
      </c>
      <c r="C107" s="60" t="inlineStr">
        <is>
          <t xml:space="preserve">In F</t>
        </is>
      </c>
      <c r="D107" s="60" t="inlineStr">
        <is>
          <t xml:space="preserve">Own class of Sᵢ</t>
        </is>
      </c>
      <c r="E107" s="60" t="inlineStr">
        <is>
          <t xml:space="preserve">ρ(Sⱼ, Sᵢ)</t>
        </is>
      </c>
      <c r="F107" s="60" t="inlineStr">
        <is>
          <t xml:space="preserve">r(Sⱼ)</t>
        </is>
      </c>
      <c r="G107" s="60" t="inlineStr">
        <is>
          <t xml:space="preserve">r(Sⱼ) − ρ(Sⱼ, Sᵢ)</t>
        </is>
      </c>
      <c r="H107" s="60" t="inlineStr">
        <is>
          <t xml:space="preserve">Sphere of Sⱼ contains Sᵢ</t>
        </is>
      </c>
      <c r="I107" s="60" t="inlineStr">
        <is>
          <t xml:space="preserve">g before</t>
        </is>
      </c>
      <c r="J107" s="60" t="inlineStr">
        <is>
          <t xml:space="preserve">g &gt; 1</t>
        </is>
      </c>
      <c r="K107" s="60" t="inlineStr">
        <is>
          <t xml:space="preserve">Allowed (A, B)</t>
        </is>
      </c>
      <c r="L107" s="60" t="inlineStr">
        <is>
          <t xml:space="preserve">Sⱼ ∈ L</t>
        </is>
      </c>
      <c r="M107" s="60" t="inlineStr">
        <is>
          <t xml:space="preserve">g after</t>
        </is>
      </c>
      <c r="N107" s="60" t="inlineStr">
        <is>
          <t xml:space="preserve">Moves to D</t>
        </is>
      </c>
      <c r="O107" s="60" t="inlineStr">
        <is>
          <t xml:space="preserve">Role in this iteration</t>
        </is>
      </c>
    </row>
    <row r="108">
      <c r="A108" s="62" t="inlineStr">
        <is>
          <t xml:space="preserve">S₁</t>
        </is>
      </c>
      <c r="B108" s="68">
        <f>'ERDR Iterations'!B$85</f>
        <v>2</v>
      </c>
      <c r="C108" s="76">
        <f>'ERDR Iterations'!B$86</f>
        <v>0</v>
      </c>
      <c r="D108" s="76">
        <f>'ERDR Iterations'!B$92</f>
        <v>1</v>
      </c>
      <c r="E108" s="73">
        <f>'ERDR Iterations'!B$93</f>
        <v>4.6606100796</v>
      </c>
      <c r="F108" s="73">
        <f>'ERDR Iterations'!B$94</f>
        <v>5.60708061</v>
      </c>
      <c r="G108" s="143">
        <f>IF(ISNUMBER(E108),F108-E108,"—")</f>
        <v>0.9464705304</v>
      </c>
      <c r="H108" s="76">
        <f>'ERDR Iterations'!B$95</f>
        <v>1</v>
      </c>
      <c r="I108" s="80">
        <f>'ERDR Iterations'!B$88</f>
        <v>1</v>
      </c>
      <c r="J108" s="76">
        <f>'ERDR Iterations'!B$96</f>
        <v>0</v>
      </c>
      <c r="K108" s="76">
        <f>'ERDR Iterations'!B$97</f>
        <v>1</v>
      </c>
      <c r="L108" s="77">
        <f>'ERDR Iterations'!B$98</f>
        <v>0</v>
      </c>
      <c r="M108" s="80">
        <f>'ERDR Iterations'!B$101</f>
        <v>1</v>
      </c>
      <c r="N108" s="85" t="str">
        <f>IF('ERDR Iterations'!B$103=1,IF('ERDR Iterations'!B$99=1,"Step 4","Step 5"),"")</f>
        <v/>
      </c>
      <c r="O108" s="101" t="str">
        <f>IF('ERDR Iterations'!$K$87=0,IF(C108=1,"in F — stays in the validation sample","in D — training sample"),IF('ERDR Iterations'!B$91=1,"Sᵢ (selected) · "&amp;IF(L108=1,"own sphere with g &gt; 1 → in L",IF(J108=0,"g = 1 → not in its own L","reading A = 2 → not in its own L")),IF(D108=0,"enemy (other class)"&amp;IF(C108=0," · in D",""),IF(C108=0,IF(H108=1,"in D — its sphere contains Sᵢ but no longer counts","in D — its sphere does not reach Sᵢ"),IF(H108=0,"own class in F — its sphere does not reach Sᵢ (ρ ≥ r)",IF(L108=1,"own class in F — its sphere contains Sᵢ → in L","own class in F — contains Sᵢ, excluded by reading B = 2 (processed)"))))))&amp;IF(N108&lt;&gt;"","  ·  moves to D ("&amp;N108&amp;")","")</f>
        <v>in D — its sphere contains Sᵢ but no longer counts</v>
      </c>
    </row>
    <row r="109">
      <c r="A109" s="62" t="inlineStr">
        <is>
          <t xml:space="preserve">S₂</t>
        </is>
      </c>
      <c r="B109" s="68">
        <f>'ERDR Iterations'!C$85</f>
        <v>2</v>
      </c>
      <c r="C109" s="76">
        <f>'ERDR Iterations'!C$86</f>
        <v>1</v>
      </c>
      <c r="D109" s="76">
        <f>'ERDR Iterations'!C$92</f>
        <v>1</v>
      </c>
      <c r="E109" s="73">
        <f>'ERDR Iterations'!C$93</f>
        <v>0</v>
      </c>
      <c r="F109" s="73">
        <f>'ERDR Iterations'!C$94</f>
        <v>7.4699698919</v>
      </c>
      <c r="G109" s="143">
        <f>IF(ISNUMBER(E109),F109-E109,"—")</f>
        <v>7.4699698919</v>
      </c>
      <c r="H109" s="76">
        <f>'ERDR Iterations'!C$95</f>
        <v>1</v>
      </c>
      <c r="I109" s="80">
        <f>'ERDR Iterations'!C$88</f>
        <v>2</v>
      </c>
      <c r="J109" s="76">
        <f>'ERDR Iterations'!C$96</f>
        <v>1</v>
      </c>
      <c r="K109" s="76">
        <f>'ERDR Iterations'!C$97</f>
        <v>1</v>
      </c>
      <c r="L109" s="77">
        <f>'ERDR Iterations'!C$98</f>
        <v>1</v>
      </c>
      <c r="M109" s="80">
        <f>'ERDR Iterations'!C$101</f>
        <v>2</v>
      </c>
      <c r="N109" s="85" t="str">
        <f>IF('ERDR Iterations'!C$103=1,IF('ERDR Iterations'!C$99=1,"Step 4","Step 5"),"")</f>
        <v>Step 4</v>
      </c>
      <c r="O109" s="101" t="str">
        <f>IF('ERDR Iterations'!$K$87=0,IF(C109=1,"in F — stays in the validation sample","in D — training sample"),IF('ERDR Iterations'!C$91=1,"Sᵢ (selected) · "&amp;IF(L109=1,"own sphere with g &gt; 1 → in L",IF(J109=0,"g = 1 → not in its own L","reading A = 2 → not in its own L")),IF(D109=0,"enemy (other class)"&amp;IF(C109=0," · in D",""),IF(C109=0,IF(H109=1,"in D — its sphere contains Sᵢ but no longer counts","in D — its sphere does not reach Sᵢ"),IF(H109=0,"own class in F — its sphere does not reach Sᵢ (ρ ≥ r)",IF(L109=1,"own class in F — its sphere contains Sᵢ → in L","own class in F — contains Sᵢ, excluded by reading B = 2 (processed)"))))))&amp;IF(N109&lt;&gt;"","  ·  moves to D ("&amp;N109&amp;")","")</f>
        <v>Sᵢ (selected) · own sphere with g &gt; 1 → in L  ·  moves to D (Step 4)</v>
      </c>
    </row>
    <row r="110">
      <c r="A110" s="62" t="inlineStr">
        <is>
          <t xml:space="preserve">S₃</t>
        </is>
      </c>
      <c r="B110" s="68">
        <f>'ERDR Iterations'!D$85</f>
        <v>1</v>
      </c>
      <c r="C110" s="76">
        <f>'ERDR Iterations'!D$86</f>
        <v>1</v>
      </c>
      <c r="D110" s="76">
        <f>'ERDR Iterations'!D$92</f>
        <v>0</v>
      </c>
      <c r="E110" s="73">
        <f>'ERDR Iterations'!D$93</f>
        <v>7.4699698919</v>
      </c>
      <c r="F110" s="73">
        <f>'ERDR Iterations'!D$94</f>
        <v>5.60708061</v>
      </c>
      <c r="G110" s="143">
        <f>IF(ISNUMBER(E110),F110-E110,"—")</f>
        <v>-1.8628892819</v>
      </c>
      <c r="H110" s="76">
        <f>'ERDR Iterations'!D$95</f>
        <v>0</v>
      </c>
      <c r="I110" s="80">
        <f>'ERDR Iterations'!D$88</f>
        <v>2</v>
      </c>
      <c r="J110" s="76">
        <f>'ERDR Iterations'!D$96</f>
        <v>1</v>
      </c>
      <c r="K110" s="76">
        <f>'ERDR Iterations'!D$97</f>
        <v>1</v>
      </c>
      <c r="L110" s="77">
        <f>'ERDR Iterations'!D$98</f>
        <v>0</v>
      </c>
      <c r="M110" s="80">
        <f>'ERDR Iterations'!D$101</f>
        <v>2</v>
      </c>
      <c r="N110" s="85" t="str">
        <f>IF('ERDR Iterations'!D$103=1,IF('ERDR Iterations'!D$99=1,"Step 4","Step 5"),"")</f>
        <v/>
      </c>
      <c r="O110" s="101" t="str">
        <f>IF('ERDR Iterations'!$K$87=0,IF(C110=1,"in F — stays in the validation sample","in D — training sample"),IF('ERDR Iterations'!D$91=1,"Sᵢ (selected) · "&amp;IF(L110=1,"own sphere with g &gt; 1 → in L",IF(J110=0,"g = 1 → not in its own L","reading A = 2 → not in its own L")),IF(D110=0,"enemy (other class)"&amp;IF(C110=0," · in D",""),IF(C110=0,IF(H110=1,"in D — its sphere contains Sᵢ but no longer counts","in D — its sphere does not reach Sᵢ"),IF(H110=0,"own class in F — its sphere does not reach Sᵢ (ρ ≥ r)",IF(L110=1,"own class in F — its sphere contains Sᵢ → in L","own class in F — contains Sᵢ, excluded by reading B = 2 (processed)"))))))&amp;IF(N110&lt;&gt;"","  ·  moves to D ("&amp;N110&amp;")","")</f>
        <v>enemy (other class)</v>
      </c>
    </row>
    <row r="111">
      <c r="A111" s="62" t="inlineStr">
        <is>
          <t xml:space="preserve">S₄</t>
        </is>
      </c>
      <c r="B111" s="68">
        <f>'ERDR Iterations'!E$85</f>
        <v>2</v>
      </c>
      <c r="C111" s="76">
        <f>'ERDR Iterations'!E$86</f>
        <v>1</v>
      </c>
      <c r="D111" s="76">
        <f>'ERDR Iterations'!E$92</f>
        <v>1</v>
      </c>
      <c r="E111" s="73">
        <f>'ERDR Iterations'!E$93</f>
        <v>6.3691657565</v>
      </c>
      <c r="F111" s="73">
        <f>'ERDR Iterations'!E$94</f>
        <v>3.7071187508</v>
      </c>
      <c r="G111" s="143">
        <f>IF(ISNUMBER(E111),F111-E111,"—")</f>
        <v>-2.6620470057</v>
      </c>
      <c r="H111" s="76">
        <f>'ERDR Iterations'!E$95</f>
        <v>0</v>
      </c>
      <c r="I111" s="80">
        <f>'ERDR Iterations'!E$88</f>
        <v>1</v>
      </c>
      <c r="J111" s="76">
        <f>'ERDR Iterations'!E$96</f>
        <v>0</v>
      </c>
      <c r="K111" s="76">
        <f>'ERDR Iterations'!E$97</f>
        <v>1</v>
      </c>
      <c r="L111" s="77">
        <f>'ERDR Iterations'!E$98</f>
        <v>0</v>
      </c>
      <c r="M111" s="80">
        <f>'ERDR Iterations'!E$101</f>
        <v>1</v>
      </c>
      <c r="N111" s="85" t="str">
        <f>IF('ERDR Iterations'!E$103=1,IF('ERDR Iterations'!E$99=1,"Step 4","Step 5"),"")</f>
        <v/>
      </c>
      <c r="O111" s="101" t="str">
        <f>IF('ERDR Iterations'!$K$87=0,IF(C111=1,"in F — stays in the validation sample","in D — training sample"),IF('ERDR Iterations'!E$91=1,"Sᵢ (selected) · "&amp;IF(L111=1,"own sphere with g &gt; 1 → in L",IF(J111=0,"g = 1 → not in its own L","reading A = 2 → not in its own L")),IF(D111=0,"enemy (other class)"&amp;IF(C111=0," · in D",""),IF(C111=0,IF(H111=1,"in D — its sphere contains Sᵢ but no longer counts","in D — its sphere does not reach Sᵢ"),IF(H111=0,"own class in F — its sphere does not reach Sᵢ (ρ ≥ r)",IF(L111=1,"own class in F — its sphere contains Sᵢ → in L","own class in F — contains Sᵢ, excluded by reading B = 2 (processed)"))))))&amp;IF(N111&lt;&gt;"","  ·  moves to D ("&amp;N111&amp;")","")</f>
        <v>own class in F — its sphere does not reach Sᵢ (ρ ≥ r)</v>
      </c>
    </row>
    <row r="112">
      <c r="A112" s="62" t="inlineStr">
        <is>
          <t xml:space="preserve">S₅</t>
        </is>
      </c>
      <c r="B112" s="68">
        <f>'ERDR Iterations'!F$85</f>
        <v>2</v>
      </c>
      <c r="C112" s="76">
        <f>'ERDR Iterations'!F$86</f>
        <v>0</v>
      </c>
      <c r="D112" s="76">
        <f>'ERDR Iterations'!F$92</f>
        <v>1</v>
      </c>
      <c r="E112" s="73">
        <f>'ERDR Iterations'!F$93</f>
        <v>6.104089157</v>
      </c>
      <c r="F112" s="73">
        <f>'ERDR Iterations'!F$94</f>
        <v>7.1117040273</v>
      </c>
      <c r="G112" s="143">
        <f>IF(ISNUMBER(E112),F112-E112,"—")</f>
        <v>1.0076148703</v>
      </c>
      <c r="H112" s="76">
        <f>'ERDR Iterations'!F$95</f>
        <v>1</v>
      </c>
      <c r="I112" s="80">
        <f>'ERDR Iterations'!F$88</f>
        <v>1</v>
      </c>
      <c r="J112" s="76">
        <f>'ERDR Iterations'!F$96</f>
        <v>0</v>
      </c>
      <c r="K112" s="76">
        <f>'ERDR Iterations'!F$97</f>
        <v>1</v>
      </c>
      <c r="L112" s="77">
        <f>'ERDR Iterations'!F$98</f>
        <v>0</v>
      </c>
      <c r="M112" s="80">
        <f>'ERDR Iterations'!F$101</f>
        <v>1</v>
      </c>
      <c r="N112" s="85" t="str">
        <f>IF('ERDR Iterations'!F$103=1,IF('ERDR Iterations'!F$99=1,"Step 4","Step 5"),"")</f>
        <v/>
      </c>
      <c r="O112" s="101" t="str">
        <f>IF('ERDR Iterations'!$K$87=0,IF(C112=1,"in F — stays in the validation sample","in D — training sample"),IF('ERDR Iterations'!F$91=1,"Sᵢ (selected) · "&amp;IF(L112=1,"own sphere with g &gt; 1 → in L",IF(J112=0,"g = 1 → not in its own L","reading A = 2 → not in its own L")),IF(D112=0,"enemy (other class)"&amp;IF(C112=0," · in D",""),IF(C112=0,IF(H112=1,"in D — its sphere contains Sᵢ but no longer counts","in D — its sphere does not reach Sᵢ"),IF(H112=0,"own class in F — its sphere does not reach Sᵢ (ρ ≥ r)",IF(L112=1,"own class in F — its sphere contains Sᵢ → in L","own class in F — contains Sᵢ, excluded by reading B = 2 (processed)"))))))&amp;IF(N112&lt;&gt;"","  ·  moves to D ("&amp;N112&amp;")","")</f>
        <v>in D — its sphere contains Sᵢ but no longer counts</v>
      </c>
    </row>
    <row r="113">
      <c r="A113" s="62" t="inlineStr">
        <is>
          <t xml:space="preserve">S₆</t>
        </is>
      </c>
      <c r="B113" s="68">
        <f>'ERDR Iterations'!G$85</f>
        <v>1</v>
      </c>
      <c r="C113" s="76">
        <f>'ERDR Iterations'!G$86</f>
        <v>1</v>
      </c>
      <c r="D113" s="76">
        <f>'ERDR Iterations'!G$92</f>
        <v>0</v>
      </c>
      <c r="E113" s="73">
        <f>'ERDR Iterations'!G$93</f>
        <v>8.742951174</v>
      </c>
      <c r="F113" s="73">
        <f>'ERDR Iterations'!G$94</f>
        <v>3.7071187508</v>
      </c>
      <c r="G113" s="143">
        <f>IF(ISNUMBER(E113),F113-E113,"—")</f>
        <v>-5.0358324232</v>
      </c>
      <c r="H113" s="76">
        <f>'ERDR Iterations'!G$95</f>
        <v>0</v>
      </c>
      <c r="I113" s="80">
        <f>'ERDR Iterations'!G$88</f>
        <v>1</v>
      </c>
      <c r="J113" s="76">
        <f>'ERDR Iterations'!G$96</f>
        <v>0</v>
      </c>
      <c r="K113" s="76">
        <f>'ERDR Iterations'!G$97</f>
        <v>1</v>
      </c>
      <c r="L113" s="77">
        <f>'ERDR Iterations'!G$98</f>
        <v>0</v>
      </c>
      <c r="M113" s="80">
        <f>'ERDR Iterations'!G$101</f>
        <v>1</v>
      </c>
      <c r="N113" s="85" t="str">
        <f>IF('ERDR Iterations'!G$103=1,IF('ERDR Iterations'!G$99=1,"Step 4","Step 5"),"")</f>
        <v/>
      </c>
      <c r="O113" s="101" t="str">
        <f>IF('ERDR Iterations'!$K$87=0,IF(C113=1,"in F — stays in the validation sample","in D — training sample"),IF('ERDR Iterations'!G$91=1,"Sᵢ (selected) · "&amp;IF(L113=1,"own sphere with g &gt; 1 → in L",IF(J113=0,"g = 1 → not in its own L","reading A = 2 → not in its own L")),IF(D113=0,"enemy (other class)"&amp;IF(C113=0," · in D",""),IF(C113=0,IF(H113=1,"in D — its sphere contains Sᵢ but no longer counts","in D — its sphere does not reach Sᵢ"),IF(H113=0,"own class in F — its sphere does not reach Sᵢ (ρ ≥ r)",IF(L113=1,"own class in F — its sphere contains Sᵢ → in L","own class in F — contains Sᵢ, excluded by reading B = 2 (processed)"))))))&amp;IF(N113&lt;&gt;"","  ·  moves to D ("&amp;N113&amp;")","")</f>
        <v>enemy (other class)</v>
      </c>
    </row>
    <row r="114">
      <c r="A114" s="62" t="inlineStr">
        <is>
          <t xml:space="preserve">S₇</t>
        </is>
      </c>
      <c r="B114" s="68">
        <f>'ERDR Iterations'!H$85</f>
        <v>1</v>
      </c>
      <c r="C114" s="76">
        <f>'ERDR Iterations'!H$86</f>
        <v>0</v>
      </c>
      <c r="D114" s="76">
        <f>'ERDR Iterations'!H$92</f>
        <v>0</v>
      </c>
      <c r="E114" s="73">
        <f>'ERDR Iterations'!H$93</f>
        <v>7.7855937542</v>
      </c>
      <c r="F114" s="73">
        <f>'ERDR Iterations'!H$94</f>
        <v>3.9109813746</v>
      </c>
      <c r="G114" s="143">
        <f>IF(ISNUMBER(E114),F114-E114,"—")</f>
        <v>-3.8746123796</v>
      </c>
      <c r="H114" s="76">
        <f>'ERDR Iterations'!H$95</f>
        <v>0</v>
      </c>
      <c r="I114" s="80">
        <f>'ERDR Iterations'!H$88</f>
        <v>1</v>
      </c>
      <c r="J114" s="76">
        <f>'ERDR Iterations'!H$96</f>
        <v>0</v>
      </c>
      <c r="K114" s="76">
        <f>'ERDR Iterations'!H$97</f>
        <v>1</v>
      </c>
      <c r="L114" s="77">
        <f>'ERDR Iterations'!H$98</f>
        <v>0</v>
      </c>
      <c r="M114" s="80">
        <f>'ERDR Iterations'!H$101</f>
        <v>1</v>
      </c>
      <c r="N114" s="85" t="str">
        <f>IF('ERDR Iterations'!H$103=1,IF('ERDR Iterations'!H$99=1,"Step 4","Step 5"),"")</f>
        <v/>
      </c>
      <c r="O114" s="101" t="str">
        <f>IF('ERDR Iterations'!$K$87=0,IF(C114=1,"in F — stays in the validation sample","in D — training sample"),IF('ERDR Iterations'!H$91=1,"Sᵢ (selected) · "&amp;IF(L114=1,"own sphere with g &gt; 1 → in L",IF(J114=0,"g = 1 → not in its own L","reading A = 2 → not in its own L")),IF(D114=0,"enemy (other class)"&amp;IF(C114=0," · in D",""),IF(C114=0,IF(H114=1,"in D — its sphere contains Sᵢ but no longer counts","in D — its sphere does not reach Sᵢ"),IF(H114=0,"own class in F — its sphere does not reach Sᵢ (ρ ≥ r)",IF(L114=1,"own class in F — its sphere contains Sᵢ → in L","own class in F — contains Sᵢ, excluded by reading B = 2 (processed)"))))))&amp;IF(N114&lt;&gt;"","  ·  moves to D ("&amp;N114&amp;")","")</f>
        <v>enemy (other class) · in D</v>
      </c>
    </row>
    <row r="115"/>
    <row r="116">
      <c r="A116" s="82" t="inlineStr">
        <is>
          <t xml:space="preserve">Spheres that contain Sᵢ (own class, in F)</t>
        </is>
      </c>
      <c r="B116" s="82"/>
      <c r="C116" s="82"/>
      <c r="D116" s="82"/>
      <c r="E116" s="85" t="str">
        <f>IF('ERDR Iterations'!$K$87=0,"—",IF(IF(AND('ERDR Iterations'!B$92=1,'ERDR Iterations'!B$86=1,'ERDR Iterations'!B$95=1),", S₁","")&amp;IF(AND('ERDR Iterations'!C$92=1,'ERDR Iterations'!C$86=1,'ERDR Iterations'!C$95=1),", S₂","")&amp;IF(AND('ERDR Iterations'!D$92=1,'ERDR Iterations'!D$86=1,'ERDR Iterations'!D$95=1),", S₃","")&amp;IF(AND('ERDR Iterations'!E$92=1,'ERDR Iterations'!E$86=1,'ERDR Iterations'!E$95=1),", S₄","")&amp;IF(AND('ERDR Iterations'!F$92=1,'ERDR Iterations'!F$86=1,'ERDR Iterations'!F$95=1),", S₅","")&amp;IF(AND('ERDR Iterations'!G$92=1,'ERDR Iterations'!G$86=1,'ERDR Iterations'!G$95=1),", S₆","")&amp;IF(AND('ERDR Iterations'!H$92=1,'ERDR Iterations'!H$86=1,'ERDR Iterations'!H$95=1),", S₇","")="","∅","{"&amp;MID(IF(AND('ERDR Iterations'!B$92=1,'ERDR Iterations'!B$86=1,'ERDR Iterations'!B$95=1),", S₁","")&amp;IF(AND('ERDR Iterations'!C$92=1,'ERDR Iterations'!C$86=1,'ERDR Iterations'!C$95=1),", S₂","")&amp;IF(AND('ERDR Iterations'!D$92=1,'ERDR Iterations'!D$86=1,'ERDR Iterations'!D$95=1),", S₃","")&amp;IF(AND('ERDR Iterations'!E$92=1,'ERDR Iterations'!E$86=1,'ERDR Iterations'!E$95=1),", S₄","")&amp;IF(AND('ERDR Iterations'!F$92=1,'ERDR Iterations'!F$86=1,'ERDR Iterations'!F$95=1),", S₅","")&amp;IF(AND('ERDR Iterations'!G$92=1,'ERDR Iterations'!G$86=1,'ERDR Iterations'!G$95=1),", S₆","")&amp;IF(AND('ERDR Iterations'!H$92=1,'ERDR Iterations'!H$86=1,'ERDR Iterations'!H$95=1),", S₇",""),3,300)&amp;"}"))</f>
        <v>{S₂}</v>
      </c>
      <c r="F116" s="85"/>
      <c r="G116" s="85"/>
      <c r="H116" s="85"/>
      <c r="I116" s="85"/>
      <c r="J116" s="85"/>
      <c r="K116" s="85"/>
      <c r="L116" s="85"/>
      <c r="M116" s="85"/>
      <c r="N116" s="85"/>
      <c r="O116" s="85"/>
    </row>
    <row r="117">
      <c r="A117" s="82" t="inlineStr">
        <is>
          <t xml:space="preserve">Own-class spheres in D that would contain Sᵢ</t>
        </is>
      </c>
      <c r="B117" s="82"/>
      <c r="C117" s="82"/>
      <c r="D117" s="82"/>
      <c r="E117" s="85" t="str">
        <f>IF('ERDR Iterations'!$K$87=0,"—",IF(IF(AND('ERDR Iterations'!B$92=1,'ERDR Iterations'!B$86=0,'ERDR Iterations'!B$95=1),", S₁","")&amp;IF(AND('ERDR Iterations'!C$92=1,'ERDR Iterations'!C$86=0,'ERDR Iterations'!C$95=1),", S₂","")&amp;IF(AND('ERDR Iterations'!D$92=1,'ERDR Iterations'!D$86=0,'ERDR Iterations'!D$95=1),", S₃","")&amp;IF(AND('ERDR Iterations'!E$92=1,'ERDR Iterations'!E$86=0,'ERDR Iterations'!E$95=1),", S₄","")&amp;IF(AND('ERDR Iterations'!F$92=1,'ERDR Iterations'!F$86=0,'ERDR Iterations'!F$95=1),", S₅","")&amp;IF(AND('ERDR Iterations'!G$92=1,'ERDR Iterations'!G$86=0,'ERDR Iterations'!G$95=1),", S₆","")&amp;IF(AND('ERDR Iterations'!H$92=1,'ERDR Iterations'!H$86=0,'ERDR Iterations'!H$95=1),", S₇","")="","∅","{"&amp;MID(IF(AND('ERDR Iterations'!B$92=1,'ERDR Iterations'!B$86=0,'ERDR Iterations'!B$95=1),", S₁","")&amp;IF(AND('ERDR Iterations'!C$92=1,'ERDR Iterations'!C$86=0,'ERDR Iterations'!C$95=1),", S₂","")&amp;IF(AND('ERDR Iterations'!D$92=1,'ERDR Iterations'!D$86=0,'ERDR Iterations'!D$95=1),", S₃","")&amp;IF(AND('ERDR Iterations'!E$92=1,'ERDR Iterations'!E$86=0,'ERDR Iterations'!E$95=1),", S₄","")&amp;IF(AND('ERDR Iterations'!F$92=1,'ERDR Iterations'!F$86=0,'ERDR Iterations'!F$95=1),", S₅","")&amp;IF(AND('ERDR Iterations'!G$92=1,'ERDR Iterations'!G$86=0,'ERDR Iterations'!G$95=1),", S₆","")&amp;IF(AND('ERDR Iterations'!H$92=1,'ERDR Iterations'!H$86=0,'ERDR Iterations'!H$95=1),", S₇",""),3,300)&amp;"}"))</f>
        <v>{S₁, S₅}</v>
      </c>
      <c r="F117" s="85"/>
      <c r="G117" s="85"/>
      <c r="H117" s="85"/>
      <c r="I117" s="85"/>
      <c r="J117" s="85"/>
      <c r="K117" s="85"/>
      <c r="L117" s="85"/>
      <c r="M117" s="85"/>
      <c r="N117" s="85"/>
      <c r="O117" s="85"/>
    </row>
    <row r="118">
      <c r="A118" s="82" t="inlineStr">
        <is>
          <t xml:space="preserve">Step 4 · L  ·  |L|  ·  decision</t>
        </is>
      </c>
      <c r="B118" s="82"/>
      <c r="C118" s="82"/>
      <c r="D118" s="82"/>
      <c r="E118" s="85" t="str">
        <f>IF('ERDR Iterations'!$K$87=0,"— (queue empty)",'ERDR Iterations'!$K$91&amp;"   ·   |L| = "&amp;'ERDR Iterations'!$K$92&amp;"   ·   "&amp;'ERDR Iterations'!$K$93)</f>
        <v>{S₂}   ·   |L| = 1   ·   |L| = 1 → Sᵢ moves to D</v>
      </c>
      <c r="F118" s="85"/>
      <c r="G118" s="85"/>
      <c r="H118" s="85"/>
      <c r="I118" s="85"/>
      <c r="J118" s="85"/>
      <c r="K118" s="85"/>
      <c r="L118" s="85"/>
      <c r="M118" s="85"/>
      <c r="N118" s="85"/>
      <c r="O118" s="85"/>
    </row>
    <row r="119">
      <c r="A119" s="82" t="inlineStr">
        <is>
          <t xml:space="preserve">Step 5 · counters g: before → after</t>
        </is>
      </c>
      <c r="B119" s="82"/>
      <c r="C119" s="82"/>
      <c r="D119" s="82"/>
      <c r="E119" s="85" t="str">
        <f>'ERDR Iterations'!$K$94</f>
        <v>—</v>
      </c>
      <c r="F119" s="85"/>
      <c r="G119" s="85"/>
      <c r="H119" s="85"/>
      <c r="I119" s="85"/>
      <c r="J119" s="85"/>
      <c r="K119" s="85"/>
      <c r="L119" s="85"/>
      <c r="M119" s="85"/>
      <c r="N119" s="85"/>
      <c r="O119" s="85"/>
    </row>
    <row r="120">
      <c r="A120" s="82" t="inlineStr">
        <is>
          <t xml:space="preserve">Moved to D</t>
        </is>
      </c>
      <c r="B120" s="82"/>
      <c r="C120" s="82"/>
      <c r="D120" s="82"/>
      <c r="E120" s="85" t="str">
        <f>'ERDR Iterations'!$K$95</f>
        <v>S₂ (Step 4)</v>
      </c>
      <c r="F120" s="85"/>
      <c r="G120" s="85"/>
      <c r="H120" s="85"/>
      <c r="I120" s="85"/>
      <c r="J120" s="85"/>
      <c r="K120" s="85"/>
      <c r="L120" s="85"/>
      <c r="M120" s="85"/>
      <c r="N120" s="85"/>
      <c r="O120" s="85"/>
    </row>
    <row r="121">
      <c r="A121" s="82" t="inlineStr">
        <is>
          <t xml:space="preserve">After the iteration</t>
        </is>
      </c>
      <c r="B121" s="82"/>
      <c r="C121" s="82"/>
      <c r="D121" s="82"/>
      <c r="E121" s="85" t="str">
        <f>"|F| = "&amp;'ERDR Iterations'!$K$96&amp;"   ·   |D| = "&amp;'ERDR Iterations'!$K$97&amp;"   ·   objects left in the queue: "&amp;'ERDR Iterations'!$K$98</f>
        <v>|F| = 3   ·   |D| = 4   ·   objects left in the queue: 2</v>
      </c>
      <c r="F121" s="85"/>
      <c r="G121" s="85"/>
      <c r="H121" s="85"/>
      <c r="I121" s="85"/>
      <c r="J121" s="85"/>
      <c r="K121" s="85"/>
      <c r="L121" s="85"/>
      <c r="M121" s="85"/>
      <c r="N121" s="85"/>
      <c r="O121" s="85"/>
    </row>
    <row r="122">
      <c r="A122" s="82" t="inlineStr">
        <is>
          <t xml:space="preserve">Cases of the Case Checklist shown here</t>
        </is>
      </c>
      <c r="B122" s="82"/>
      <c r="C122" s="82"/>
      <c r="D122" s="82"/>
      <c r="E122" s="85" t="str">
        <f>IF(IF('Case Checklist'!N$5=1,"   ·   6 |L| = 1, L = {Sᵢ}","")&amp;IF('Case Checklist'!N$6=1,"   ·   7 |L| = 1, L = {Sⱼ}","")&amp;IF('Case Checklist'!N$7=1,"   ·   8 |L| = 0, Sᵢ stays in F","")&amp;IF('Case Checklist'!N$8=1,"   ·   9 Step 5 move","")&amp;IF('Case Checklist'!N$9=1,"   ·   10 g lowered, no move","")&amp;IF('Case Checklist'!N$10=1,"   ·   11 moved before its turn","")&amp;IF('Case Checklist'!N$11=1,"   ·   12 processed object moved","")&amp;IF('Case Checklist'!N$12=1,"   ·   13 Sᵢ in its own L","")&amp;IF('Case Checklist'!N$13=1,"   ·   15 two moves in one Step 5","")="","—",MID(IF('Case Checklist'!N$5=1,"   ·   6 |L| = 1, L = {Sᵢ}","")&amp;IF('Case Checklist'!N$6=1,"   ·   7 |L| = 1, L = {Sⱼ}","")&amp;IF('Case Checklist'!N$7=1,"   ·   8 |L| = 0, Sᵢ stays in F","")&amp;IF('Case Checklist'!N$8=1,"   ·   9 Step 5 move","")&amp;IF('Case Checklist'!N$9=1,"   ·   10 g lowered, no move","")&amp;IF('Case Checklist'!N$10=1,"   ·   11 moved before its turn","")&amp;IF('Case Checklist'!N$11=1,"   ·   12 processed object moved","")&amp;IF('Case Checklist'!N$12=1,"   ·   13 Sᵢ in its own L","")&amp;IF('Case Checklist'!N$13=1,"   ·   15 two moves in one Step 5",""),8,400))</f>
        <v>6 |L| = 1, L = {Sᵢ}</v>
      </c>
      <c r="F122" s="85"/>
      <c r="G122" s="85"/>
      <c r="H122" s="85"/>
      <c r="I122" s="85"/>
      <c r="J122" s="85"/>
      <c r="K122" s="85"/>
      <c r="L122" s="85"/>
      <c r="M122" s="85"/>
      <c r="N122" s="85"/>
      <c r="O122" s="85"/>
    </row>
    <row r="123">
      <c r="A123" s="82" t="inlineStr">
        <is>
          <t xml:space="preserve">Check · L from the sphere test r − ρ &gt; 0</t>
        </is>
      </c>
      <c r="B123" s="82"/>
      <c r="C123" s="82"/>
      <c r="D123" s="82"/>
      <c r="E123" s="85" t="str">
        <f>IF('ERDR Iterations'!$K$87=0,"—",IF(SUMPRODUCT(ABS(L108:L114-C108:C114*D108:D114*(G108:G114&gt;0)*J108:J114*K108:K114))=0,"✓ the sphere test gives exactly the L of ERDR Iterations","✗ differs"))</f>
        <v>✓ the sphere test gives exactly the L of ERDR Iterations</v>
      </c>
      <c r="F123" s="85"/>
      <c r="G123" s="85"/>
      <c r="H123" s="85"/>
      <c r="I123" s="85"/>
      <c r="J123" s="85"/>
      <c r="K123" s="85"/>
      <c r="L123" s="85"/>
      <c r="M123" s="85"/>
      <c r="N123" s="85"/>
      <c r="O123" s="85"/>
    </row>
    <row r="124"/>
    <row r="125"/>
    <row r="126"/>
    <row r="127"/>
    <row r="128"/>
    <row r="129"/>
    <row r="130"/>
    <row r="131"/>
    <row r="132"/>
    <row r="133"/>
    <row r="134">
      <c r="A134" s="59" t="str">
        <f>'Hypersphere Data'!$B$424</f>
        <v>Iteration 5  ·  Sᵢ = S₆  ·  L = {S₃}  ·  |L| = 1 → Sᵢ moves to D</v>
      </c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</row>
    <row r="135" ht="34" customHeight="1">
      <c r="A135" s="60" t="inlineStr">
        <is>
          <t xml:space="preserve">Sⱼ</t>
        </is>
      </c>
      <c r="B135" s="60" t="inlineStr">
        <is>
          <t xml:space="preserve">Class</t>
        </is>
      </c>
      <c r="C135" s="60" t="inlineStr">
        <is>
          <t xml:space="preserve">In F</t>
        </is>
      </c>
      <c r="D135" s="60" t="inlineStr">
        <is>
          <t xml:space="preserve">Own class of Sᵢ</t>
        </is>
      </c>
      <c r="E135" s="60" t="inlineStr">
        <is>
          <t xml:space="preserve">ρ(Sⱼ, Sᵢ)</t>
        </is>
      </c>
      <c r="F135" s="60" t="inlineStr">
        <is>
          <t xml:space="preserve">r(Sⱼ)</t>
        </is>
      </c>
      <c r="G135" s="60" t="inlineStr">
        <is>
          <t xml:space="preserve">r(Sⱼ) − ρ(Sⱼ, Sᵢ)</t>
        </is>
      </c>
      <c r="H135" s="60" t="inlineStr">
        <is>
          <t xml:space="preserve">Sphere of Sⱼ contains Sᵢ</t>
        </is>
      </c>
      <c r="I135" s="60" t="inlineStr">
        <is>
          <t xml:space="preserve">g before</t>
        </is>
      </c>
      <c r="J135" s="60" t="inlineStr">
        <is>
          <t xml:space="preserve">g &gt; 1</t>
        </is>
      </c>
      <c r="K135" s="60" t="inlineStr">
        <is>
          <t xml:space="preserve">Allowed (A, B)</t>
        </is>
      </c>
      <c r="L135" s="60" t="inlineStr">
        <is>
          <t xml:space="preserve">Sⱼ ∈ L</t>
        </is>
      </c>
      <c r="M135" s="60" t="inlineStr">
        <is>
          <t xml:space="preserve">g after</t>
        </is>
      </c>
      <c r="N135" s="60" t="inlineStr">
        <is>
          <t xml:space="preserve">Moves to D</t>
        </is>
      </c>
      <c r="O135" s="60" t="inlineStr">
        <is>
          <t xml:space="preserve">Role in this iteration</t>
        </is>
      </c>
    </row>
    <row r="136">
      <c r="A136" s="62" t="inlineStr">
        <is>
          <t xml:space="preserve">S₁</t>
        </is>
      </c>
      <c r="B136" s="68">
        <f>'ERDR Iterations'!B$111</f>
        <v>2</v>
      </c>
      <c r="C136" s="76">
        <f>'ERDR Iterations'!B$112</f>
        <v>0</v>
      </c>
      <c r="D136" s="76">
        <f>'ERDR Iterations'!B$118</f>
        <v>0</v>
      </c>
      <c r="E136" s="73">
        <f>'ERDR Iterations'!B$119</f>
        <v>6.8015669516</v>
      </c>
      <c r="F136" s="73">
        <f>'ERDR Iterations'!B$120</f>
        <v>5.60708061</v>
      </c>
      <c r="G136" s="143">
        <f>IF(ISNUMBER(E136),F136-E136,"—")</f>
        <v>-1.1944863416</v>
      </c>
      <c r="H136" s="76">
        <f>'ERDR Iterations'!B$121</f>
        <v>0</v>
      </c>
      <c r="I136" s="80">
        <f>'ERDR Iterations'!B$114</f>
        <v>1</v>
      </c>
      <c r="J136" s="76">
        <f>'ERDR Iterations'!B$122</f>
        <v>0</v>
      </c>
      <c r="K136" s="76">
        <f>'ERDR Iterations'!B$123</f>
        <v>1</v>
      </c>
      <c r="L136" s="77">
        <f>'ERDR Iterations'!B$124</f>
        <v>0</v>
      </c>
      <c r="M136" s="80">
        <f>'ERDR Iterations'!B$127</f>
        <v>1</v>
      </c>
      <c r="N136" s="85" t="str">
        <f>IF('ERDR Iterations'!B$129=1,IF('ERDR Iterations'!B$125=1,"Step 4","Step 5"),"")</f>
        <v/>
      </c>
      <c r="O136" s="101" t="str">
        <f>IF('ERDR Iterations'!$K$113=0,IF(C136=1,"in F — stays in the validation sample","in D — training sample"),IF('ERDR Iterations'!B$117=1,"Sᵢ (selected) · "&amp;IF(L136=1,"own sphere with g &gt; 1 → in L",IF(J136=0,"g = 1 → not in its own L","reading A = 2 → not in its own L")),IF(D136=0,"enemy (other class)"&amp;IF(C136=0," · in D",""),IF(C136=0,IF(H136=1,"in D — its sphere contains Sᵢ but no longer counts","in D — its sphere does not reach Sᵢ"),IF(H136=0,"own class in F — its sphere does not reach Sᵢ (ρ ≥ r)",IF(L136=1,"own class in F — its sphere contains Sᵢ → in L","own class in F — contains Sᵢ, excluded by reading B = 2 (processed)"))))))&amp;IF(N136&lt;&gt;"","  ·  moves to D ("&amp;N136&amp;")","")</f>
        <v>enemy (other class) · in D</v>
      </c>
    </row>
    <row r="137">
      <c r="A137" s="62" t="inlineStr">
        <is>
          <t xml:space="preserve">S₂</t>
        </is>
      </c>
      <c r="B137" s="68">
        <f>'ERDR Iterations'!C$111</f>
        <v>2</v>
      </c>
      <c r="C137" s="76">
        <f>'ERDR Iterations'!C$112</f>
        <v>0</v>
      </c>
      <c r="D137" s="76">
        <f>'ERDR Iterations'!C$118</f>
        <v>0</v>
      </c>
      <c r="E137" s="73">
        <f>'ERDR Iterations'!C$119</f>
        <v>8.742951174</v>
      </c>
      <c r="F137" s="73">
        <f>'ERDR Iterations'!C$120</f>
        <v>7.4699698919</v>
      </c>
      <c r="G137" s="143">
        <f>IF(ISNUMBER(E137),F137-E137,"—")</f>
        <v>-1.2729812821</v>
      </c>
      <c r="H137" s="76">
        <f>'ERDR Iterations'!C$121</f>
        <v>0</v>
      </c>
      <c r="I137" s="80">
        <f>'ERDR Iterations'!C$114</f>
        <v>2</v>
      </c>
      <c r="J137" s="76">
        <f>'ERDR Iterations'!C$122</f>
        <v>1</v>
      </c>
      <c r="K137" s="76">
        <f>'ERDR Iterations'!C$123</f>
        <v>1</v>
      </c>
      <c r="L137" s="77">
        <f>'ERDR Iterations'!C$124</f>
        <v>0</v>
      </c>
      <c r="M137" s="80">
        <f>'ERDR Iterations'!C$127</f>
        <v>2</v>
      </c>
      <c r="N137" s="85" t="str">
        <f>IF('ERDR Iterations'!C$129=1,IF('ERDR Iterations'!C$125=1,"Step 4","Step 5"),"")</f>
        <v/>
      </c>
      <c r="O137" s="101" t="str">
        <f>IF('ERDR Iterations'!$K$113=0,IF(C137=1,"in F — stays in the validation sample","in D — training sample"),IF('ERDR Iterations'!C$117=1,"Sᵢ (selected) · "&amp;IF(L137=1,"own sphere with g &gt; 1 → in L",IF(J137=0,"g = 1 → not in its own L","reading A = 2 → not in its own L")),IF(D137=0,"enemy (other class)"&amp;IF(C137=0," · in D",""),IF(C137=0,IF(H137=1,"in D — its sphere contains Sᵢ but no longer counts","in D — its sphere does not reach Sᵢ"),IF(H137=0,"own class in F — its sphere does not reach Sᵢ (ρ ≥ r)",IF(L137=1,"own class in F — its sphere contains Sᵢ → in L","own class in F — contains Sᵢ, excluded by reading B = 2 (processed)"))))))&amp;IF(N137&lt;&gt;"","  ·  moves to D ("&amp;N137&amp;")","")</f>
        <v>enemy (other class) · in D</v>
      </c>
    </row>
    <row r="138">
      <c r="A138" s="62" t="inlineStr">
        <is>
          <t xml:space="preserve">S₃</t>
        </is>
      </c>
      <c r="B138" s="68">
        <f>'ERDR Iterations'!D$111</f>
        <v>1</v>
      </c>
      <c r="C138" s="76">
        <f>'ERDR Iterations'!D$112</f>
        <v>1</v>
      </c>
      <c r="D138" s="76">
        <f>'ERDR Iterations'!D$118</f>
        <v>1</v>
      </c>
      <c r="E138" s="73">
        <f>'ERDR Iterations'!D$119</f>
        <v>5.2172783643</v>
      </c>
      <c r="F138" s="73">
        <f>'ERDR Iterations'!D$120</f>
        <v>5.60708061</v>
      </c>
      <c r="G138" s="143">
        <f>IF(ISNUMBER(E138),F138-E138,"—")</f>
        <v>0.389802245699999</v>
      </c>
      <c r="H138" s="76">
        <f>'ERDR Iterations'!D$121</f>
        <v>1</v>
      </c>
      <c r="I138" s="80">
        <f>'ERDR Iterations'!D$114</f>
        <v>2</v>
      </c>
      <c r="J138" s="76">
        <f>'ERDR Iterations'!D$122</f>
        <v>1</v>
      </c>
      <c r="K138" s="76">
        <f>'ERDR Iterations'!D$123</f>
        <v>1</v>
      </c>
      <c r="L138" s="77">
        <f>'ERDR Iterations'!D$124</f>
        <v>1</v>
      </c>
      <c r="M138" s="80">
        <f>'ERDR Iterations'!D$127</f>
        <v>2</v>
      </c>
      <c r="N138" s="85" t="str">
        <f>IF('ERDR Iterations'!D$129=1,IF('ERDR Iterations'!D$125=1,"Step 4","Step 5"),"")</f>
        <v/>
      </c>
      <c r="O138" s="101" t="str">
        <f>IF('ERDR Iterations'!$K$113=0,IF(C138=1,"in F — stays in the validation sample","in D — training sample"),IF('ERDR Iterations'!D$117=1,"Sᵢ (selected) · "&amp;IF(L138=1,"own sphere with g &gt; 1 → in L",IF(J138=0,"g = 1 → not in its own L","reading A = 2 → not in its own L")),IF(D138=0,"enemy (other class)"&amp;IF(C138=0," · in D",""),IF(C138=0,IF(H138=1,"in D — its sphere contains Sᵢ but no longer counts","in D — its sphere does not reach Sᵢ"),IF(H138=0,"own class in F — its sphere does not reach Sᵢ (ρ ≥ r)",IF(L138=1,"own class in F — its sphere contains Sᵢ → in L","own class in F — contains Sᵢ, excluded by reading B = 2 (processed)"))))))&amp;IF(N138&lt;&gt;"","  ·  moves to D ("&amp;N138&amp;")","")</f>
        <v>own class in F — its sphere contains Sᵢ → in L</v>
      </c>
    </row>
    <row r="139">
      <c r="A139" s="62" t="inlineStr">
        <is>
          <t xml:space="preserve">S₄</t>
        </is>
      </c>
      <c r="B139" s="68">
        <f>'ERDR Iterations'!E$111</f>
        <v>2</v>
      </c>
      <c r="C139" s="76">
        <f>'ERDR Iterations'!E$112</f>
        <v>1</v>
      </c>
      <c r="D139" s="76">
        <f>'ERDR Iterations'!E$118</f>
        <v>0</v>
      </c>
      <c r="E139" s="73">
        <f>'ERDR Iterations'!E$119</f>
        <v>3.7071187508</v>
      </c>
      <c r="F139" s="73">
        <f>'ERDR Iterations'!E$120</f>
        <v>3.7071187508</v>
      </c>
      <c r="G139" s="143">
        <f>IF(ISNUMBER(E139),F139-E139,"—")</f>
        <v>0</v>
      </c>
      <c r="H139" s="76">
        <f>'ERDR Iterations'!E$121</f>
        <v>0</v>
      </c>
      <c r="I139" s="80">
        <f>'ERDR Iterations'!E$114</f>
        <v>1</v>
      </c>
      <c r="J139" s="76">
        <f>'ERDR Iterations'!E$122</f>
        <v>0</v>
      </c>
      <c r="K139" s="76">
        <f>'ERDR Iterations'!E$123</f>
        <v>1</v>
      </c>
      <c r="L139" s="77">
        <f>'ERDR Iterations'!E$124</f>
        <v>0</v>
      </c>
      <c r="M139" s="80">
        <f>'ERDR Iterations'!E$127</f>
        <v>1</v>
      </c>
      <c r="N139" s="85" t="str">
        <f>IF('ERDR Iterations'!E$129=1,IF('ERDR Iterations'!E$125=1,"Step 4","Step 5"),"")</f>
        <v/>
      </c>
      <c r="O139" s="101" t="str">
        <f>IF('ERDR Iterations'!$K$113=0,IF(C139=1,"in F — stays in the validation sample","in D — training sample"),IF('ERDR Iterations'!E$117=1,"Sᵢ (selected) · "&amp;IF(L139=1,"own sphere with g &gt; 1 → in L",IF(J139=0,"g = 1 → not in its own L","reading A = 2 → not in its own L")),IF(D139=0,"enemy (other class)"&amp;IF(C139=0," · in D",""),IF(C139=0,IF(H139=1,"in D — its sphere contains Sᵢ but no longer counts","in D — its sphere does not reach Sᵢ"),IF(H139=0,"own class in F — its sphere does not reach Sᵢ (ρ ≥ r)",IF(L139=1,"own class in F — its sphere contains Sᵢ → in L","own class in F — contains Sᵢ, excluded by reading B = 2 (processed)"))))))&amp;IF(N139&lt;&gt;"","  ·  moves to D ("&amp;N139&amp;")","")</f>
        <v>enemy (other class)</v>
      </c>
    </row>
    <row r="140">
      <c r="A140" s="62" t="inlineStr">
        <is>
          <t xml:space="preserve">S₅</t>
        </is>
      </c>
      <c r="B140" s="68">
        <f>'ERDR Iterations'!F$111</f>
        <v>2</v>
      </c>
      <c r="C140" s="76">
        <f>'ERDR Iterations'!F$112</f>
        <v>0</v>
      </c>
      <c r="D140" s="76">
        <f>'ERDR Iterations'!F$118</f>
        <v>0</v>
      </c>
      <c r="E140" s="73">
        <f>'ERDR Iterations'!F$119</f>
        <v>9.0234774016</v>
      </c>
      <c r="F140" s="73">
        <f>'ERDR Iterations'!F$120</f>
        <v>7.1117040273</v>
      </c>
      <c r="G140" s="143">
        <f>IF(ISNUMBER(E140),F140-E140,"—")</f>
        <v>-1.9117733743</v>
      </c>
      <c r="H140" s="76">
        <f>'ERDR Iterations'!F$121</f>
        <v>0</v>
      </c>
      <c r="I140" s="80">
        <f>'ERDR Iterations'!F$114</f>
        <v>1</v>
      </c>
      <c r="J140" s="76">
        <f>'ERDR Iterations'!F$122</f>
        <v>0</v>
      </c>
      <c r="K140" s="76">
        <f>'ERDR Iterations'!F$123</f>
        <v>1</v>
      </c>
      <c r="L140" s="77">
        <f>'ERDR Iterations'!F$124</f>
        <v>0</v>
      </c>
      <c r="M140" s="80">
        <f>'ERDR Iterations'!F$127</f>
        <v>1</v>
      </c>
      <c r="N140" s="85" t="str">
        <f>IF('ERDR Iterations'!F$129=1,IF('ERDR Iterations'!F$125=1,"Step 4","Step 5"),"")</f>
        <v/>
      </c>
      <c r="O140" s="101" t="str">
        <f>IF('ERDR Iterations'!$K$113=0,IF(C140=1,"in F — stays in the validation sample","in D — training sample"),IF('ERDR Iterations'!F$117=1,"Sᵢ (selected) · "&amp;IF(L140=1,"own sphere with g &gt; 1 → in L",IF(J140=0,"g = 1 → not in its own L","reading A = 2 → not in its own L")),IF(D140=0,"enemy (other class)"&amp;IF(C140=0," · in D",""),IF(C140=0,IF(H140=1,"in D — its sphere contains Sᵢ but no longer counts","in D — its sphere does not reach Sᵢ"),IF(H140=0,"own class in F — its sphere does not reach Sᵢ (ρ ≥ r)",IF(L140=1,"own class in F — its sphere contains Sᵢ → in L","own class in F — contains Sᵢ, excluded by reading B = 2 (processed)"))))))&amp;IF(N140&lt;&gt;"","  ·  moves to D ("&amp;N140&amp;")","")</f>
        <v>enemy (other class) · in D</v>
      </c>
    </row>
    <row r="141">
      <c r="A141" s="62" t="inlineStr">
        <is>
          <t xml:space="preserve">S₆</t>
        </is>
      </c>
      <c r="B141" s="68">
        <f>'ERDR Iterations'!G$111</f>
        <v>1</v>
      </c>
      <c r="C141" s="76">
        <f>'ERDR Iterations'!G$112</f>
        <v>1</v>
      </c>
      <c r="D141" s="76">
        <f>'ERDR Iterations'!G$118</f>
        <v>1</v>
      </c>
      <c r="E141" s="73">
        <f>'ERDR Iterations'!G$119</f>
        <v>0</v>
      </c>
      <c r="F141" s="73">
        <f>'ERDR Iterations'!G$120</f>
        <v>3.7071187508</v>
      </c>
      <c r="G141" s="143">
        <f>IF(ISNUMBER(E141),F141-E141,"—")</f>
        <v>3.7071187508</v>
      </c>
      <c r="H141" s="76">
        <f>'ERDR Iterations'!G$121</f>
        <v>1</v>
      </c>
      <c r="I141" s="80">
        <f>'ERDR Iterations'!G$114</f>
        <v>1</v>
      </c>
      <c r="J141" s="76">
        <f>'ERDR Iterations'!G$122</f>
        <v>0</v>
      </c>
      <c r="K141" s="76">
        <f>'ERDR Iterations'!G$123</f>
        <v>1</v>
      </c>
      <c r="L141" s="77">
        <f>'ERDR Iterations'!G$124</f>
        <v>0</v>
      </c>
      <c r="M141" s="80">
        <f>'ERDR Iterations'!G$127</f>
        <v>1</v>
      </c>
      <c r="N141" s="85" t="str">
        <f>IF('ERDR Iterations'!G$129=1,IF('ERDR Iterations'!G$125=1,"Step 4","Step 5"),"")</f>
        <v>Step 4</v>
      </c>
      <c r="O141" s="101" t="str">
        <f>IF('ERDR Iterations'!$K$113=0,IF(C141=1,"in F — stays in the validation sample","in D — training sample"),IF('ERDR Iterations'!G$117=1,"Sᵢ (selected) · "&amp;IF(L141=1,"own sphere with g &gt; 1 → in L",IF(J141=0,"g = 1 → not in its own L","reading A = 2 → not in its own L")),IF(D141=0,"enemy (other class)"&amp;IF(C141=0," · in D",""),IF(C141=0,IF(H141=1,"in D — its sphere contains Sᵢ but no longer counts","in D — its sphere does not reach Sᵢ"),IF(H141=0,"own class in F — its sphere does not reach Sᵢ (ρ ≥ r)",IF(L141=1,"own class in F — its sphere contains Sᵢ → in L","own class in F — contains Sᵢ, excluded by reading B = 2 (processed)"))))))&amp;IF(N141&lt;&gt;"","  ·  moves to D ("&amp;N141&amp;")","")</f>
        <v>Sᵢ (selected) · g = 1 → not in its own L  ·  moves to D (Step 4)</v>
      </c>
    </row>
    <row r="142">
      <c r="A142" s="62" t="inlineStr">
        <is>
          <t xml:space="preserve">S₇</t>
        </is>
      </c>
      <c r="B142" s="68">
        <f>'ERDR Iterations'!H$111</f>
        <v>1</v>
      </c>
      <c r="C142" s="76">
        <f>'ERDR Iterations'!H$112</f>
        <v>0</v>
      </c>
      <c r="D142" s="76">
        <f>'ERDR Iterations'!H$118</f>
        <v>1</v>
      </c>
      <c r="E142" s="73">
        <f>'ERDR Iterations'!H$119</f>
        <v>5.0314314939</v>
      </c>
      <c r="F142" s="73">
        <f>'ERDR Iterations'!H$120</f>
        <v>3.9109813746</v>
      </c>
      <c r="G142" s="143">
        <f>IF(ISNUMBER(E142),F142-E142,"—")</f>
        <v>-1.1204501193</v>
      </c>
      <c r="H142" s="76">
        <f>'ERDR Iterations'!H$121</f>
        <v>0</v>
      </c>
      <c r="I142" s="80">
        <f>'ERDR Iterations'!H$114</f>
        <v>1</v>
      </c>
      <c r="J142" s="76">
        <f>'ERDR Iterations'!H$122</f>
        <v>0</v>
      </c>
      <c r="K142" s="76">
        <f>'ERDR Iterations'!H$123</f>
        <v>1</v>
      </c>
      <c r="L142" s="77">
        <f>'ERDR Iterations'!H$124</f>
        <v>0</v>
      </c>
      <c r="M142" s="80">
        <f>'ERDR Iterations'!H$127</f>
        <v>1</v>
      </c>
      <c r="N142" s="85" t="str">
        <f>IF('ERDR Iterations'!H$129=1,IF('ERDR Iterations'!H$125=1,"Step 4","Step 5"),"")</f>
        <v/>
      </c>
      <c r="O142" s="101" t="str">
        <f>IF('ERDR Iterations'!$K$113=0,IF(C142=1,"in F — stays in the validation sample","in D — training sample"),IF('ERDR Iterations'!H$117=1,"Sᵢ (selected) · "&amp;IF(L142=1,"own sphere with g &gt; 1 → in L",IF(J142=0,"g = 1 → not in its own L","reading A = 2 → not in its own L")),IF(D142=0,"enemy (other class)"&amp;IF(C142=0," · in D",""),IF(C142=0,IF(H142=1,"in D — its sphere contains Sᵢ but no longer counts","in D — its sphere does not reach Sᵢ"),IF(H142=0,"own class in F — its sphere does not reach Sᵢ (ρ ≥ r)",IF(L142=1,"own class in F — its sphere contains Sᵢ → in L","own class in F — contains Sᵢ, excluded by reading B = 2 (processed)"))))))&amp;IF(N142&lt;&gt;"","  ·  moves to D ("&amp;N142&amp;")","")</f>
        <v>in D — its sphere does not reach Sᵢ</v>
      </c>
    </row>
    <row r="143"/>
    <row r="144">
      <c r="A144" s="82" t="inlineStr">
        <is>
          <t xml:space="preserve">Spheres that contain Sᵢ (own class, in F)</t>
        </is>
      </c>
      <c r="B144" s="82"/>
      <c r="C144" s="82"/>
      <c r="D144" s="82"/>
      <c r="E144" s="85" t="str">
        <f>IF('ERDR Iterations'!$K$113=0,"—",IF(IF(AND('ERDR Iterations'!B$118=1,'ERDR Iterations'!B$112=1,'ERDR Iterations'!B$121=1),", S₁","")&amp;IF(AND('ERDR Iterations'!C$118=1,'ERDR Iterations'!C$112=1,'ERDR Iterations'!C$121=1),", S₂","")&amp;IF(AND('ERDR Iterations'!D$118=1,'ERDR Iterations'!D$112=1,'ERDR Iterations'!D$121=1),", S₃","")&amp;IF(AND('ERDR Iterations'!E$118=1,'ERDR Iterations'!E$112=1,'ERDR Iterations'!E$121=1),", S₄","")&amp;IF(AND('ERDR Iterations'!F$118=1,'ERDR Iterations'!F$112=1,'ERDR Iterations'!F$121=1),", S₅","")&amp;IF(AND('ERDR Iterations'!G$118=1,'ERDR Iterations'!G$112=1,'ERDR Iterations'!G$121=1),", S₆","")&amp;IF(AND('ERDR Iterations'!H$118=1,'ERDR Iterations'!H$112=1,'ERDR Iterations'!H$121=1),", S₇","")="","∅","{"&amp;MID(IF(AND('ERDR Iterations'!B$118=1,'ERDR Iterations'!B$112=1,'ERDR Iterations'!B$121=1),", S₁","")&amp;IF(AND('ERDR Iterations'!C$118=1,'ERDR Iterations'!C$112=1,'ERDR Iterations'!C$121=1),", S₂","")&amp;IF(AND('ERDR Iterations'!D$118=1,'ERDR Iterations'!D$112=1,'ERDR Iterations'!D$121=1),", S₃","")&amp;IF(AND('ERDR Iterations'!E$118=1,'ERDR Iterations'!E$112=1,'ERDR Iterations'!E$121=1),", S₄","")&amp;IF(AND('ERDR Iterations'!F$118=1,'ERDR Iterations'!F$112=1,'ERDR Iterations'!F$121=1),", S₅","")&amp;IF(AND('ERDR Iterations'!G$118=1,'ERDR Iterations'!G$112=1,'ERDR Iterations'!G$121=1),", S₆","")&amp;IF(AND('ERDR Iterations'!H$118=1,'ERDR Iterations'!H$112=1,'ERDR Iterations'!H$121=1),", S₇",""),3,300)&amp;"}"))</f>
        <v>{S₃, S₆}</v>
      </c>
      <c r="F144" s="85"/>
      <c r="G144" s="85"/>
      <c r="H144" s="85"/>
      <c r="I144" s="85"/>
      <c r="J144" s="85"/>
      <c r="K144" s="85"/>
      <c r="L144" s="85"/>
      <c r="M144" s="85"/>
      <c r="N144" s="85"/>
      <c r="O144" s="85"/>
    </row>
    <row r="145">
      <c r="A145" s="82" t="inlineStr">
        <is>
          <t xml:space="preserve">Own-class spheres in D that would contain Sᵢ</t>
        </is>
      </c>
      <c r="B145" s="82"/>
      <c r="C145" s="82"/>
      <c r="D145" s="82"/>
      <c r="E145" s="85" t="str">
        <f>IF('ERDR Iterations'!$K$113=0,"—",IF(IF(AND('ERDR Iterations'!B$118=1,'ERDR Iterations'!B$112=0,'ERDR Iterations'!B$121=1),", S₁","")&amp;IF(AND('ERDR Iterations'!C$118=1,'ERDR Iterations'!C$112=0,'ERDR Iterations'!C$121=1),", S₂","")&amp;IF(AND('ERDR Iterations'!D$118=1,'ERDR Iterations'!D$112=0,'ERDR Iterations'!D$121=1),", S₃","")&amp;IF(AND('ERDR Iterations'!E$118=1,'ERDR Iterations'!E$112=0,'ERDR Iterations'!E$121=1),", S₄","")&amp;IF(AND('ERDR Iterations'!F$118=1,'ERDR Iterations'!F$112=0,'ERDR Iterations'!F$121=1),", S₅","")&amp;IF(AND('ERDR Iterations'!G$118=1,'ERDR Iterations'!G$112=0,'ERDR Iterations'!G$121=1),", S₆","")&amp;IF(AND('ERDR Iterations'!H$118=1,'ERDR Iterations'!H$112=0,'ERDR Iterations'!H$121=1),", S₇","")="","∅","{"&amp;MID(IF(AND('ERDR Iterations'!B$118=1,'ERDR Iterations'!B$112=0,'ERDR Iterations'!B$121=1),", S₁","")&amp;IF(AND('ERDR Iterations'!C$118=1,'ERDR Iterations'!C$112=0,'ERDR Iterations'!C$121=1),", S₂","")&amp;IF(AND('ERDR Iterations'!D$118=1,'ERDR Iterations'!D$112=0,'ERDR Iterations'!D$121=1),", S₃","")&amp;IF(AND('ERDR Iterations'!E$118=1,'ERDR Iterations'!E$112=0,'ERDR Iterations'!E$121=1),", S₄","")&amp;IF(AND('ERDR Iterations'!F$118=1,'ERDR Iterations'!F$112=0,'ERDR Iterations'!F$121=1),", S₅","")&amp;IF(AND('ERDR Iterations'!G$118=1,'ERDR Iterations'!G$112=0,'ERDR Iterations'!G$121=1),", S₆","")&amp;IF(AND('ERDR Iterations'!H$118=1,'ERDR Iterations'!H$112=0,'ERDR Iterations'!H$121=1),", S₇",""),3,300)&amp;"}"))</f>
        <v>∅</v>
      </c>
      <c r="F145" s="85"/>
      <c r="G145" s="85"/>
      <c r="H145" s="85"/>
      <c r="I145" s="85"/>
      <c r="J145" s="85"/>
      <c r="K145" s="85"/>
      <c r="L145" s="85"/>
      <c r="M145" s="85"/>
      <c r="N145" s="85"/>
      <c r="O145" s="85"/>
    </row>
    <row r="146">
      <c r="A146" s="82" t="inlineStr">
        <is>
          <t xml:space="preserve">Step 4 · L  ·  |L|  ·  decision</t>
        </is>
      </c>
      <c r="B146" s="82"/>
      <c r="C146" s="82"/>
      <c r="D146" s="82"/>
      <c r="E146" s="85" t="str">
        <f>IF('ERDR Iterations'!$K$113=0,"— (queue empty)",'ERDR Iterations'!$K$117&amp;"   ·   |L| = "&amp;'ERDR Iterations'!$K$118&amp;"   ·   "&amp;'ERDR Iterations'!$K$119)</f>
        <v>{S₃}   ·   |L| = 1   ·   |L| = 1 → Sᵢ moves to D</v>
      </c>
      <c r="F146" s="85"/>
      <c r="G146" s="85"/>
      <c r="H146" s="85"/>
      <c r="I146" s="85"/>
      <c r="J146" s="85"/>
      <c r="K146" s="85"/>
      <c r="L146" s="85"/>
      <c r="M146" s="85"/>
      <c r="N146" s="85"/>
      <c r="O146" s="85"/>
    </row>
    <row r="147">
      <c r="A147" s="82" t="inlineStr">
        <is>
          <t xml:space="preserve">Step 5 · counters g: before → after</t>
        </is>
      </c>
      <c r="B147" s="82"/>
      <c r="C147" s="82"/>
      <c r="D147" s="82"/>
      <c r="E147" s="85" t="str">
        <f>'ERDR Iterations'!$K$120</f>
        <v>—</v>
      </c>
      <c r="F147" s="85"/>
      <c r="G147" s="85"/>
      <c r="H147" s="85"/>
      <c r="I147" s="85"/>
      <c r="J147" s="85"/>
      <c r="K147" s="85"/>
      <c r="L147" s="85"/>
      <c r="M147" s="85"/>
      <c r="N147" s="85"/>
      <c r="O147" s="85"/>
    </row>
    <row r="148">
      <c r="A148" s="82" t="inlineStr">
        <is>
          <t xml:space="preserve">Moved to D</t>
        </is>
      </c>
      <c r="B148" s="82"/>
      <c r="C148" s="82"/>
      <c r="D148" s="82"/>
      <c r="E148" s="85" t="str">
        <f>'ERDR Iterations'!$K$121</f>
        <v>S₆ (Step 4)</v>
      </c>
      <c r="F148" s="85"/>
      <c r="G148" s="85"/>
      <c r="H148" s="85"/>
      <c r="I148" s="85"/>
      <c r="J148" s="85"/>
      <c r="K148" s="85"/>
      <c r="L148" s="85"/>
      <c r="M148" s="85"/>
      <c r="N148" s="85"/>
      <c r="O148" s="85"/>
    </row>
    <row r="149">
      <c r="A149" s="82" t="inlineStr">
        <is>
          <t xml:space="preserve">After the iteration</t>
        </is>
      </c>
      <c r="B149" s="82"/>
      <c r="C149" s="82"/>
      <c r="D149" s="82"/>
      <c r="E149" s="85" t="str">
        <f>"|F| = "&amp;'ERDR Iterations'!$K$122&amp;"   ·   |D| = "&amp;'ERDR Iterations'!$K$123&amp;"   ·   objects left in the queue: "&amp;'ERDR Iterations'!$K$124</f>
        <v>|F| = 2   ·   |D| = 5   ·   objects left in the queue: 1</v>
      </c>
      <c r="F149" s="85"/>
      <c r="G149" s="85"/>
      <c r="H149" s="85"/>
      <c r="I149" s="85"/>
      <c r="J149" s="85"/>
      <c r="K149" s="85"/>
      <c r="L149" s="85"/>
      <c r="M149" s="85"/>
      <c r="N149" s="85"/>
      <c r="O149" s="85"/>
    </row>
    <row r="150">
      <c r="A150" s="82" t="inlineStr">
        <is>
          <t xml:space="preserve">Cases of the Case Checklist shown here</t>
        </is>
      </c>
      <c r="B150" s="82"/>
      <c r="C150" s="82"/>
      <c r="D150" s="82"/>
      <c r="E150" s="85" t="str">
        <f>IF(IF('Case Checklist'!O$5=1,"   ·   6 |L| = 1, L = {Sᵢ}","")&amp;IF('Case Checklist'!O$6=1,"   ·   7 |L| = 1, L = {Sⱼ}","")&amp;IF('Case Checklist'!O$7=1,"   ·   8 |L| = 0, Sᵢ stays in F","")&amp;IF('Case Checklist'!O$8=1,"   ·   9 Step 5 move","")&amp;IF('Case Checklist'!O$9=1,"   ·   10 g lowered, no move","")&amp;IF('Case Checklist'!O$10=1,"   ·   11 moved before its turn","")&amp;IF('Case Checklist'!O$11=1,"   ·   12 processed object moved","")&amp;IF('Case Checklist'!O$12=1,"   ·   13 Sᵢ in its own L","")&amp;IF('Case Checklist'!O$13=1,"   ·   15 two moves in one Step 5","")="","—",MID(IF('Case Checklist'!O$5=1,"   ·   6 |L| = 1, L = {Sᵢ}","")&amp;IF('Case Checklist'!O$6=1,"   ·   7 |L| = 1, L = {Sⱼ}","")&amp;IF('Case Checklist'!O$7=1,"   ·   8 |L| = 0, Sᵢ stays in F","")&amp;IF('Case Checklist'!O$8=1,"   ·   9 Step 5 move","")&amp;IF('Case Checklist'!O$9=1,"   ·   10 g lowered, no move","")&amp;IF('Case Checklist'!O$10=1,"   ·   11 moved before its turn","")&amp;IF('Case Checklist'!O$11=1,"   ·   12 processed object moved","")&amp;IF('Case Checklist'!O$12=1,"   ·   13 Sᵢ in its own L","")&amp;IF('Case Checklist'!O$13=1,"   ·   15 two moves in one Step 5",""),8,400))</f>
        <v>7 |L| = 1, L = {Sⱼ}</v>
      </c>
      <c r="F150" s="85"/>
      <c r="G150" s="85"/>
      <c r="H150" s="85"/>
      <c r="I150" s="85"/>
      <c r="J150" s="85"/>
      <c r="K150" s="85"/>
      <c r="L150" s="85"/>
      <c r="M150" s="85"/>
      <c r="N150" s="85"/>
      <c r="O150" s="85"/>
    </row>
    <row r="151">
      <c r="A151" s="82" t="inlineStr">
        <is>
          <t xml:space="preserve">Check · L from the sphere test r − ρ &gt; 0</t>
        </is>
      </c>
      <c r="B151" s="82"/>
      <c r="C151" s="82"/>
      <c r="D151" s="82"/>
      <c r="E151" s="85" t="str">
        <f>IF('ERDR Iterations'!$K$113=0,"—",IF(SUMPRODUCT(ABS(L136:L142-C136:C142*D136:D142*(G136:G142&gt;0)*J136:J142*K136:K142))=0,"✓ the sphere test gives exactly the L of ERDR Iterations","✗ differs"))</f>
        <v>✓ the sphere test gives exactly the L of ERDR Iterations</v>
      </c>
      <c r="F151" s="85"/>
      <c r="G151" s="85"/>
      <c r="H151" s="85"/>
      <c r="I151" s="85"/>
      <c r="J151" s="85"/>
      <c r="K151" s="85"/>
      <c r="L151" s="85"/>
      <c r="M151" s="85"/>
      <c r="N151" s="85"/>
      <c r="O151" s="85"/>
    </row>
    <row r="152"/>
    <row r="153"/>
    <row r="154"/>
    <row r="155"/>
    <row r="156"/>
    <row r="157"/>
    <row r="158"/>
    <row r="159"/>
    <row r="160"/>
    <row r="161"/>
    <row r="162">
      <c r="A162" s="59" t="str">
        <f>'Hypersphere Data'!$B$453</f>
        <v>Iteration 6  ·  Sᵢ = S₄  ·  L = ∅  ·  |L| = 0 → Sᵢ is only blocked and stays in F</v>
      </c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</row>
    <row r="163" ht="34" customHeight="1">
      <c r="A163" s="60" t="inlineStr">
        <is>
          <t xml:space="preserve">Sⱼ</t>
        </is>
      </c>
      <c r="B163" s="60" t="inlineStr">
        <is>
          <t xml:space="preserve">Class</t>
        </is>
      </c>
      <c r="C163" s="60" t="inlineStr">
        <is>
          <t xml:space="preserve">In F</t>
        </is>
      </c>
      <c r="D163" s="60" t="inlineStr">
        <is>
          <t xml:space="preserve">Own class of Sᵢ</t>
        </is>
      </c>
      <c r="E163" s="60" t="inlineStr">
        <is>
          <t xml:space="preserve">ρ(Sⱼ, Sᵢ)</t>
        </is>
      </c>
      <c r="F163" s="60" t="inlineStr">
        <is>
          <t xml:space="preserve">r(Sⱼ)</t>
        </is>
      </c>
      <c r="G163" s="60" t="inlineStr">
        <is>
          <t xml:space="preserve">r(Sⱼ) − ρ(Sⱼ, Sᵢ)</t>
        </is>
      </c>
      <c r="H163" s="60" t="inlineStr">
        <is>
          <t xml:space="preserve">Sphere of Sⱼ contains Sᵢ</t>
        </is>
      </c>
      <c r="I163" s="60" t="inlineStr">
        <is>
          <t xml:space="preserve">g before</t>
        </is>
      </c>
      <c r="J163" s="60" t="inlineStr">
        <is>
          <t xml:space="preserve">g &gt; 1</t>
        </is>
      </c>
      <c r="K163" s="60" t="inlineStr">
        <is>
          <t xml:space="preserve">Allowed (A, B)</t>
        </is>
      </c>
      <c r="L163" s="60" t="inlineStr">
        <is>
          <t xml:space="preserve">Sⱼ ∈ L</t>
        </is>
      </c>
      <c r="M163" s="60" t="inlineStr">
        <is>
          <t xml:space="preserve">g after</t>
        </is>
      </c>
      <c r="N163" s="60" t="inlineStr">
        <is>
          <t xml:space="preserve">Moves to D</t>
        </is>
      </c>
      <c r="O163" s="60" t="inlineStr">
        <is>
          <t xml:space="preserve">Role in this iteration</t>
        </is>
      </c>
    </row>
    <row r="164">
      <c r="A164" s="62" t="inlineStr">
        <is>
          <t xml:space="preserve">S₁</t>
        </is>
      </c>
      <c r="B164" s="68">
        <f>'ERDR Iterations'!B$137</f>
        <v>2</v>
      </c>
      <c r="C164" s="76">
        <f>'ERDR Iterations'!B$138</f>
        <v>0</v>
      </c>
      <c r="D164" s="76">
        <f>'ERDR Iterations'!B$144</f>
        <v>1</v>
      </c>
      <c r="E164" s="73">
        <f>'ERDR Iterations'!B$145</f>
        <v>6.6272117335</v>
      </c>
      <c r="F164" s="73">
        <f>'ERDR Iterations'!B$146</f>
        <v>5.60708061</v>
      </c>
      <c r="G164" s="143">
        <f>IF(ISNUMBER(E164),F164-E164,"—")</f>
        <v>-1.0201311235</v>
      </c>
      <c r="H164" s="76">
        <f>'ERDR Iterations'!B$147</f>
        <v>0</v>
      </c>
      <c r="I164" s="80">
        <f>'ERDR Iterations'!B$140</f>
        <v>1</v>
      </c>
      <c r="J164" s="76">
        <f>'ERDR Iterations'!B$148</f>
        <v>0</v>
      </c>
      <c r="K164" s="76">
        <f>'ERDR Iterations'!B$149</f>
        <v>1</v>
      </c>
      <c r="L164" s="77">
        <f>'ERDR Iterations'!B$150</f>
        <v>0</v>
      </c>
      <c r="M164" s="80">
        <f>'ERDR Iterations'!B$153</f>
        <v>1</v>
      </c>
      <c r="N164" s="85" t="str">
        <f>IF('ERDR Iterations'!B$155=1,IF('ERDR Iterations'!B$151=1,"Step 4","Step 5"),"")</f>
        <v/>
      </c>
      <c r="O164" s="101" t="str">
        <f>IF('ERDR Iterations'!$K$139=0,IF(C164=1,"in F — stays in the validation sample","in D — training sample"),IF('ERDR Iterations'!B$143=1,"Sᵢ (selected) · "&amp;IF(L164=1,"own sphere with g &gt; 1 → in L",IF(J164=0,"g = 1 → not in its own L","reading A = 2 → not in its own L")),IF(D164=0,"enemy (other class)"&amp;IF(C164=0," · in D",""),IF(C164=0,IF(H164=1,"in D — its sphere contains Sᵢ but no longer counts","in D — its sphere does not reach Sᵢ"),IF(H164=0,"own class in F — its sphere does not reach Sᵢ (ρ ≥ r)",IF(L164=1,"own class in F — its sphere contains Sᵢ → in L","own class in F — contains Sᵢ, excluded by reading B = 2 (processed)"))))))&amp;IF(N164&lt;&gt;"","  ·  moves to D ("&amp;N164&amp;")","")</f>
        <v>in D — its sphere does not reach Sᵢ</v>
      </c>
    </row>
    <row r="165">
      <c r="A165" s="62" t="inlineStr">
        <is>
          <t xml:space="preserve">S₂</t>
        </is>
      </c>
      <c r="B165" s="68">
        <f>'ERDR Iterations'!C$137</f>
        <v>2</v>
      </c>
      <c r="C165" s="76">
        <f>'ERDR Iterations'!C$138</f>
        <v>0</v>
      </c>
      <c r="D165" s="76">
        <f>'ERDR Iterations'!C$144</f>
        <v>1</v>
      </c>
      <c r="E165" s="73">
        <f>'ERDR Iterations'!C$145</f>
        <v>6.3691657565</v>
      </c>
      <c r="F165" s="73">
        <f>'ERDR Iterations'!C$146</f>
        <v>7.4699698919</v>
      </c>
      <c r="G165" s="143">
        <f>IF(ISNUMBER(E165),F165-E165,"—")</f>
        <v>1.1008041354</v>
      </c>
      <c r="H165" s="76">
        <f>'ERDR Iterations'!C$147</f>
        <v>1</v>
      </c>
      <c r="I165" s="80">
        <f>'ERDR Iterations'!C$140</f>
        <v>2</v>
      </c>
      <c r="J165" s="76">
        <f>'ERDR Iterations'!C$148</f>
        <v>1</v>
      </c>
      <c r="K165" s="76">
        <f>'ERDR Iterations'!C$149</f>
        <v>1</v>
      </c>
      <c r="L165" s="77">
        <f>'ERDR Iterations'!C$150</f>
        <v>0</v>
      </c>
      <c r="M165" s="80">
        <f>'ERDR Iterations'!C$153</f>
        <v>2</v>
      </c>
      <c r="N165" s="85" t="str">
        <f>IF('ERDR Iterations'!C$155=1,IF('ERDR Iterations'!C$151=1,"Step 4","Step 5"),"")</f>
        <v/>
      </c>
      <c r="O165" s="101" t="str">
        <f>IF('ERDR Iterations'!$K$139=0,IF(C165=1,"in F — stays in the validation sample","in D — training sample"),IF('ERDR Iterations'!C$143=1,"Sᵢ (selected) · "&amp;IF(L165=1,"own sphere with g &gt; 1 → in L",IF(J165=0,"g = 1 → not in its own L","reading A = 2 → not in its own L")),IF(D165=0,"enemy (other class)"&amp;IF(C165=0," · in D",""),IF(C165=0,IF(H165=1,"in D — its sphere contains Sᵢ but no longer counts","in D — its sphere does not reach Sᵢ"),IF(H165=0,"own class in F — its sphere does not reach Sᵢ (ρ ≥ r)",IF(L165=1,"own class in F — its sphere contains Sᵢ → in L","own class in F — contains Sᵢ, excluded by reading B = 2 (processed)"))))))&amp;IF(N165&lt;&gt;"","  ·  moves to D ("&amp;N165&amp;")","")</f>
        <v>in D — its sphere contains Sᵢ but no longer counts</v>
      </c>
    </row>
    <row r="166">
      <c r="A166" s="62" t="inlineStr">
        <is>
          <t xml:space="preserve">S₃</t>
        </is>
      </c>
      <c r="B166" s="68">
        <f>'ERDR Iterations'!D$137</f>
        <v>1</v>
      </c>
      <c r="C166" s="76">
        <f>'ERDR Iterations'!D$138</f>
        <v>1</v>
      </c>
      <c r="D166" s="76">
        <f>'ERDR Iterations'!D$144</f>
        <v>0</v>
      </c>
      <c r="E166" s="73">
        <f>'ERDR Iterations'!D$145</f>
        <v>6.2175670209</v>
      </c>
      <c r="F166" s="73">
        <f>'ERDR Iterations'!D$146</f>
        <v>5.60708061</v>
      </c>
      <c r="G166" s="143">
        <f>IF(ISNUMBER(E166),F166-E166,"—")</f>
        <v>-0.6104864109</v>
      </c>
      <c r="H166" s="76">
        <f>'ERDR Iterations'!D$147</f>
        <v>0</v>
      </c>
      <c r="I166" s="80">
        <f>'ERDR Iterations'!D$140</f>
        <v>2</v>
      </c>
      <c r="J166" s="76">
        <f>'ERDR Iterations'!D$148</f>
        <v>1</v>
      </c>
      <c r="K166" s="76">
        <f>'ERDR Iterations'!D$149</f>
        <v>1</v>
      </c>
      <c r="L166" s="77">
        <f>'ERDR Iterations'!D$150</f>
        <v>0</v>
      </c>
      <c r="M166" s="80">
        <f>'ERDR Iterations'!D$153</f>
        <v>2</v>
      </c>
      <c r="N166" s="85" t="str">
        <f>IF('ERDR Iterations'!D$155=1,IF('ERDR Iterations'!D$151=1,"Step 4","Step 5"),"")</f>
        <v/>
      </c>
      <c r="O166" s="101" t="str">
        <f>IF('ERDR Iterations'!$K$139=0,IF(C166=1,"in F — stays in the validation sample","in D — training sample"),IF('ERDR Iterations'!D$143=1,"Sᵢ (selected) · "&amp;IF(L166=1,"own sphere with g &gt; 1 → in L",IF(J166=0,"g = 1 → not in its own L","reading A = 2 → not in its own L")),IF(D166=0,"enemy (other class)"&amp;IF(C166=0," · in D",""),IF(C166=0,IF(H166=1,"in D — its sphere contains Sᵢ but no longer counts","in D — its sphere does not reach Sᵢ"),IF(H166=0,"own class in F — its sphere does not reach Sᵢ (ρ ≥ r)",IF(L166=1,"own class in F — its sphere contains Sᵢ → in L","own class in F — contains Sᵢ, excluded by reading B = 2 (processed)"))))))&amp;IF(N166&lt;&gt;"","  ·  moves to D ("&amp;N166&amp;")","")</f>
        <v>enemy (other class)</v>
      </c>
    </row>
    <row r="167">
      <c r="A167" s="62" t="inlineStr">
        <is>
          <t xml:space="preserve">S₄</t>
        </is>
      </c>
      <c r="B167" s="68">
        <f>'ERDR Iterations'!E$137</f>
        <v>2</v>
      </c>
      <c r="C167" s="76">
        <f>'ERDR Iterations'!E$138</f>
        <v>1</v>
      </c>
      <c r="D167" s="76">
        <f>'ERDR Iterations'!E$144</f>
        <v>1</v>
      </c>
      <c r="E167" s="73">
        <f>'ERDR Iterations'!E$145</f>
        <v>0</v>
      </c>
      <c r="F167" s="73">
        <f>'ERDR Iterations'!E$146</f>
        <v>3.7071187508</v>
      </c>
      <c r="G167" s="143">
        <f>IF(ISNUMBER(E167),F167-E167,"—")</f>
        <v>3.7071187508</v>
      </c>
      <c r="H167" s="76">
        <f>'ERDR Iterations'!E$147</f>
        <v>1</v>
      </c>
      <c r="I167" s="80">
        <f>'ERDR Iterations'!E$140</f>
        <v>1</v>
      </c>
      <c r="J167" s="76">
        <f>'ERDR Iterations'!E$148</f>
        <v>0</v>
      </c>
      <c r="K167" s="76">
        <f>'ERDR Iterations'!E$149</f>
        <v>1</v>
      </c>
      <c r="L167" s="77">
        <f>'ERDR Iterations'!E$150</f>
        <v>0</v>
      </c>
      <c r="M167" s="80">
        <f>'ERDR Iterations'!E$153</f>
        <v>1</v>
      </c>
      <c r="N167" s="85" t="str">
        <f>IF('ERDR Iterations'!E$155=1,IF('ERDR Iterations'!E$151=1,"Step 4","Step 5"),"")</f>
        <v/>
      </c>
      <c r="O167" s="101" t="str">
        <f>IF('ERDR Iterations'!$K$139=0,IF(C167=1,"in F — stays in the validation sample","in D — training sample"),IF('ERDR Iterations'!E$143=1,"Sᵢ (selected) · "&amp;IF(L167=1,"own sphere with g &gt; 1 → in L",IF(J167=0,"g = 1 → not in its own L","reading A = 2 → not in its own L")),IF(D167=0,"enemy (other class)"&amp;IF(C167=0," · in D",""),IF(C167=0,IF(H167=1,"in D — its sphere contains Sᵢ but no longer counts","in D — its sphere does not reach Sᵢ"),IF(H167=0,"own class in F — its sphere does not reach Sᵢ (ρ ≥ r)",IF(L167=1,"own class in F — its sphere contains Sᵢ → in L","own class in F — contains Sᵢ, excluded by reading B = 2 (processed)"))))))&amp;IF(N167&lt;&gt;"","  ·  moves to D ("&amp;N167&amp;")","")</f>
        <v>Sᵢ (selected) · g = 1 → not in its own L</v>
      </c>
    </row>
    <row r="168">
      <c r="A168" s="62" t="inlineStr">
        <is>
          <t xml:space="preserve">S₅</t>
        </is>
      </c>
      <c r="B168" s="68">
        <f>'ERDR Iterations'!F$137</f>
        <v>2</v>
      </c>
      <c r="C168" s="76">
        <f>'ERDR Iterations'!F$138</f>
        <v>0</v>
      </c>
      <c r="D168" s="76">
        <f>'ERDR Iterations'!F$144</f>
        <v>1</v>
      </c>
      <c r="E168" s="73">
        <f>'ERDR Iterations'!F$145</f>
        <v>7.8491221835</v>
      </c>
      <c r="F168" s="73">
        <f>'ERDR Iterations'!F$146</f>
        <v>7.1117040273</v>
      </c>
      <c r="G168" s="143">
        <f>IF(ISNUMBER(E168),F168-E168,"—")</f>
        <v>-0.7374181562</v>
      </c>
      <c r="H168" s="76">
        <f>'ERDR Iterations'!F$147</f>
        <v>0</v>
      </c>
      <c r="I168" s="80">
        <f>'ERDR Iterations'!F$140</f>
        <v>1</v>
      </c>
      <c r="J168" s="76">
        <f>'ERDR Iterations'!F$148</f>
        <v>0</v>
      </c>
      <c r="K168" s="76">
        <f>'ERDR Iterations'!F$149</f>
        <v>1</v>
      </c>
      <c r="L168" s="77">
        <f>'ERDR Iterations'!F$150</f>
        <v>0</v>
      </c>
      <c r="M168" s="80">
        <f>'ERDR Iterations'!F$153</f>
        <v>1</v>
      </c>
      <c r="N168" s="85" t="str">
        <f>IF('ERDR Iterations'!F$155=1,IF('ERDR Iterations'!F$151=1,"Step 4","Step 5"),"")</f>
        <v/>
      </c>
      <c r="O168" s="101" t="str">
        <f>IF('ERDR Iterations'!$K$139=0,IF(C168=1,"in F — stays in the validation sample","in D — training sample"),IF('ERDR Iterations'!F$143=1,"Sᵢ (selected) · "&amp;IF(L168=1,"own sphere with g &gt; 1 → in L",IF(J168=0,"g = 1 → not in its own L","reading A = 2 → not in its own L")),IF(D168=0,"enemy (other class)"&amp;IF(C168=0," · in D",""),IF(C168=0,IF(H168=1,"in D — its sphere contains Sᵢ but no longer counts","in D — its sphere does not reach Sᵢ"),IF(H168=0,"own class in F — its sphere does not reach Sᵢ (ρ ≥ r)",IF(L168=1,"own class in F — its sphere contains Sᵢ → in L","own class in F — contains Sᵢ, excluded by reading B = 2 (processed)"))))))&amp;IF(N168&lt;&gt;"","  ·  moves to D ("&amp;N168&amp;")","")</f>
        <v>in D — its sphere does not reach Sᵢ</v>
      </c>
    </row>
    <row r="169">
      <c r="A169" s="62" t="inlineStr">
        <is>
          <t xml:space="preserve">S₆</t>
        </is>
      </c>
      <c r="B169" s="68">
        <f>'ERDR Iterations'!G$137</f>
        <v>1</v>
      </c>
      <c r="C169" s="76">
        <f>'ERDR Iterations'!G$138</f>
        <v>0</v>
      </c>
      <c r="D169" s="76">
        <f>'ERDR Iterations'!G$144</f>
        <v>0</v>
      </c>
      <c r="E169" s="73">
        <f>'ERDR Iterations'!G$145</f>
        <v>3.7071187508</v>
      </c>
      <c r="F169" s="73">
        <f>'ERDR Iterations'!G$146</f>
        <v>3.7071187508</v>
      </c>
      <c r="G169" s="143">
        <f>IF(ISNUMBER(E169),F169-E169,"—")</f>
        <v>0</v>
      </c>
      <c r="H169" s="76">
        <f>'ERDR Iterations'!G$147</f>
        <v>0</v>
      </c>
      <c r="I169" s="80">
        <f>'ERDR Iterations'!G$140</f>
        <v>1</v>
      </c>
      <c r="J169" s="76">
        <f>'ERDR Iterations'!G$148</f>
        <v>0</v>
      </c>
      <c r="K169" s="76">
        <f>'ERDR Iterations'!G$149</f>
        <v>1</v>
      </c>
      <c r="L169" s="77">
        <f>'ERDR Iterations'!G$150</f>
        <v>0</v>
      </c>
      <c r="M169" s="80">
        <f>'ERDR Iterations'!G$153</f>
        <v>1</v>
      </c>
      <c r="N169" s="85" t="str">
        <f>IF('ERDR Iterations'!G$155=1,IF('ERDR Iterations'!G$151=1,"Step 4","Step 5"),"")</f>
        <v/>
      </c>
      <c r="O169" s="101" t="str">
        <f>IF('ERDR Iterations'!$K$139=0,IF(C169=1,"in F — stays in the validation sample","in D — training sample"),IF('ERDR Iterations'!G$143=1,"Sᵢ (selected) · "&amp;IF(L169=1,"own sphere with g &gt; 1 → in L",IF(J169=0,"g = 1 → not in its own L","reading A = 2 → not in its own L")),IF(D169=0,"enemy (other class)"&amp;IF(C169=0," · in D",""),IF(C169=0,IF(H169=1,"in D — its sphere contains Sᵢ but no longer counts","in D — its sphere does not reach Sᵢ"),IF(H169=0,"own class in F — its sphere does not reach Sᵢ (ρ ≥ r)",IF(L169=1,"own class in F — its sphere contains Sᵢ → in L","own class in F — contains Sᵢ, excluded by reading B = 2 (processed)"))))))&amp;IF(N169&lt;&gt;"","  ·  moves to D ("&amp;N169&amp;")","")</f>
        <v>enemy (other class) · in D</v>
      </c>
    </row>
    <row r="170">
      <c r="A170" s="62" t="inlineStr">
        <is>
          <t xml:space="preserve">S₇</t>
        </is>
      </c>
      <c r="B170" s="68">
        <f>'ERDR Iterations'!H$137</f>
        <v>1</v>
      </c>
      <c r="C170" s="76">
        <f>'ERDR Iterations'!H$138</f>
        <v>0</v>
      </c>
      <c r="D170" s="76">
        <f>'ERDR Iterations'!H$144</f>
        <v>0</v>
      </c>
      <c r="E170" s="73">
        <f>'ERDR Iterations'!H$145</f>
        <v>3.9109813746</v>
      </c>
      <c r="F170" s="73">
        <f>'ERDR Iterations'!H$146</f>
        <v>3.9109813746</v>
      </c>
      <c r="G170" s="143">
        <f>IF(ISNUMBER(E170),F170-E170,"—")</f>
        <v>0</v>
      </c>
      <c r="H170" s="76">
        <f>'ERDR Iterations'!H$147</f>
        <v>0</v>
      </c>
      <c r="I170" s="80">
        <f>'ERDR Iterations'!H$140</f>
        <v>1</v>
      </c>
      <c r="J170" s="76">
        <f>'ERDR Iterations'!H$148</f>
        <v>0</v>
      </c>
      <c r="K170" s="76">
        <f>'ERDR Iterations'!H$149</f>
        <v>1</v>
      </c>
      <c r="L170" s="77">
        <f>'ERDR Iterations'!H$150</f>
        <v>0</v>
      </c>
      <c r="M170" s="80">
        <f>'ERDR Iterations'!H$153</f>
        <v>1</v>
      </c>
      <c r="N170" s="85" t="str">
        <f>IF('ERDR Iterations'!H$155=1,IF('ERDR Iterations'!H$151=1,"Step 4","Step 5"),"")</f>
        <v/>
      </c>
      <c r="O170" s="101" t="str">
        <f>IF('ERDR Iterations'!$K$139=0,IF(C170=1,"in F — stays in the validation sample","in D — training sample"),IF('ERDR Iterations'!H$143=1,"Sᵢ (selected) · "&amp;IF(L170=1,"own sphere with g &gt; 1 → in L",IF(J170=0,"g = 1 → not in its own L","reading A = 2 → not in its own L")),IF(D170=0,"enemy (other class)"&amp;IF(C170=0," · in D",""),IF(C170=0,IF(H170=1,"in D — its sphere contains Sᵢ but no longer counts","in D — its sphere does not reach Sᵢ"),IF(H170=0,"own class in F — its sphere does not reach Sᵢ (ρ ≥ r)",IF(L170=1,"own class in F — its sphere contains Sᵢ → in L","own class in F — contains Sᵢ, excluded by reading B = 2 (processed)"))))))&amp;IF(N170&lt;&gt;"","  ·  moves to D ("&amp;N170&amp;")","")</f>
        <v>enemy (other class) · in D</v>
      </c>
    </row>
    <row r="171"/>
    <row r="172">
      <c r="A172" s="82" t="inlineStr">
        <is>
          <t xml:space="preserve">Spheres that contain Sᵢ (own class, in F)</t>
        </is>
      </c>
      <c r="B172" s="82"/>
      <c r="C172" s="82"/>
      <c r="D172" s="82"/>
      <c r="E172" s="85" t="str">
        <f>IF('ERDR Iterations'!$K$139=0,"—",IF(IF(AND('ERDR Iterations'!B$144=1,'ERDR Iterations'!B$138=1,'ERDR Iterations'!B$147=1),", S₁","")&amp;IF(AND('ERDR Iterations'!C$144=1,'ERDR Iterations'!C$138=1,'ERDR Iterations'!C$147=1),", S₂","")&amp;IF(AND('ERDR Iterations'!D$144=1,'ERDR Iterations'!D$138=1,'ERDR Iterations'!D$147=1),", S₃","")&amp;IF(AND('ERDR Iterations'!E$144=1,'ERDR Iterations'!E$138=1,'ERDR Iterations'!E$147=1),", S₄","")&amp;IF(AND('ERDR Iterations'!F$144=1,'ERDR Iterations'!F$138=1,'ERDR Iterations'!F$147=1),", S₅","")&amp;IF(AND('ERDR Iterations'!G$144=1,'ERDR Iterations'!G$138=1,'ERDR Iterations'!G$147=1),", S₆","")&amp;IF(AND('ERDR Iterations'!H$144=1,'ERDR Iterations'!H$138=1,'ERDR Iterations'!H$147=1),", S₇","")="","∅","{"&amp;MID(IF(AND('ERDR Iterations'!B$144=1,'ERDR Iterations'!B$138=1,'ERDR Iterations'!B$147=1),", S₁","")&amp;IF(AND('ERDR Iterations'!C$144=1,'ERDR Iterations'!C$138=1,'ERDR Iterations'!C$147=1),", S₂","")&amp;IF(AND('ERDR Iterations'!D$144=1,'ERDR Iterations'!D$138=1,'ERDR Iterations'!D$147=1),", S₃","")&amp;IF(AND('ERDR Iterations'!E$144=1,'ERDR Iterations'!E$138=1,'ERDR Iterations'!E$147=1),", S₄","")&amp;IF(AND('ERDR Iterations'!F$144=1,'ERDR Iterations'!F$138=1,'ERDR Iterations'!F$147=1),", S₅","")&amp;IF(AND('ERDR Iterations'!G$144=1,'ERDR Iterations'!G$138=1,'ERDR Iterations'!G$147=1),", S₆","")&amp;IF(AND('ERDR Iterations'!H$144=1,'ERDR Iterations'!H$138=1,'ERDR Iterations'!H$147=1),", S₇",""),3,300)&amp;"}"))</f>
        <v>{S₄}</v>
      </c>
      <c r="F172" s="85"/>
      <c r="G172" s="85"/>
      <c r="H172" s="85"/>
      <c r="I172" s="85"/>
      <c r="J172" s="85"/>
      <c r="K172" s="85"/>
      <c r="L172" s="85"/>
      <c r="M172" s="85"/>
      <c r="N172" s="85"/>
      <c r="O172" s="85"/>
    </row>
    <row r="173">
      <c r="A173" s="82" t="inlineStr">
        <is>
          <t xml:space="preserve">Own-class spheres in D that would contain Sᵢ</t>
        </is>
      </c>
      <c r="B173" s="82"/>
      <c r="C173" s="82"/>
      <c r="D173" s="82"/>
      <c r="E173" s="85" t="str">
        <f>IF('ERDR Iterations'!$K$139=0,"—",IF(IF(AND('ERDR Iterations'!B$144=1,'ERDR Iterations'!B$138=0,'ERDR Iterations'!B$147=1),", S₁","")&amp;IF(AND('ERDR Iterations'!C$144=1,'ERDR Iterations'!C$138=0,'ERDR Iterations'!C$147=1),", S₂","")&amp;IF(AND('ERDR Iterations'!D$144=1,'ERDR Iterations'!D$138=0,'ERDR Iterations'!D$147=1),", S₃","")&amp;IF(AND('ERDR Iterations'!E$144=1,'ERDR Iterations'!E$138=0,'ERDR Iterations'!E$147=1),", S₄","")&amp;IF(AND('ERDR Iterations'!F$144=1,'ERDR Iterations'!F$138=0,'ERDR Iterations'!F$147=1),", S₅","")&amp;IF(AND('ERDR Iterations'!G$144=1,'ERDR Iterations'!G$138=0,'ERDR Iterations'!G$147=1),", S₆","")&amp;IF(AND('ERDR Iterations'!H$144=1,'ERDR Iterations'!H$138=0,'ERDR Iterations'!H$147=1),", S₇","")="","∅","{"&amp;MID(IF(AND('ERDR Iterations'!B$144=1,'ERDR Iterations'!B$138=0,'ERDR Iterations'!B$147=1),", S₁","")&amp;IF(AND('ERDR Iterations'!C$144=1,'ERDR Iterations'!C$138=0,'ERDR Iterations'!C$147=1),", S₂","")&amp;IF(AND('ERDR Iterations'!D$144=1,'ERDR Iterations'!D$138=0,'ERDR Iterations'!D$147=1),", S₃","")&amp;IF(AND('ERDR Iterations'!E$144=1,'ERDR Iterations'!E$138=0,'ERDR Iterations'!E$147=1),", S₄","")&amp;IF(AND('ERDR Iterations'!F$144=1,'ERDR Iterations'!F$138=0,'ERDR Iterations'!F$147=1),", S₅","")&amp;IF(AND('ERDR Iterations'!G$144=1,'ERDR Iterations'!G$138=0,'ERDR Iterations'!G$147=1),", S₆","")&amp;IF(AND('ERDR Iterations'!H$144=1,'ERDR Iterations'!H$138=0,'ERDR Iterations'!H$147=1),", S₇",""),3,300)&amp;"}"))</f>
        <v>{S₂}</v>
      </c>
      <c r="F173" s="85"/>
      <c r="G173" s="85"/>
      <c r="H173" s="85"/>
      <c r="I173" s="85"/>
      <c r="J173" s="85"/>
      <c r="K173" s="85"/>
      <c r="L173" s="85"/>
      <c r="M173" s="85"/>
      <c r="N173" s="85"/>
      <c r="O173" s="85"/>
    </row>
    <row r="174">
      <c r="A174" s="82" t="inlineStr">
        <is>
          <t xml:space="preserve">Step 4 · L  ·  |L|  ·  decision</t>
        </is>
      </c>
      <c r="B174" s="82"/>
      <c r="C174" s="82"/>
      <c r="D174" s="82"/>
      <c r="E174" s="85" t="str">
        <f>IF('ERDR Iterations'!$K$139=0,"— (queue empty)",'ERDR Iterations'!$K$143&amp;"   ·   |L| = "&amp;'ERDR Iterations'!$K$144&amp;"   ·   "&amp;'ERDR Iterations'!$K$145)</f>
        <v>∅   ·   |L| = 0   ·   |L| = 0 → Sᵢ is only blocked and stays in F</v>
      </c>
      <c r="F174" s="85"/>
      <c r="G174" s="85"/>
      <c r="H174" s="85"/>
      <c r="I174" s="85"/>
      <c r="J174" s="85"/>
      <c r="K174" s="85"/>
      <c r="L174" s="85"/>
      <c r="M174" s="85"/>
      <c r="N174" s="85"/>
      <c r="O174" s="85"/>
    </row>
    <row r="175">
      <c r="A175" s="82" t="inlineStr">
        <is>
          <t xml:space="preserve">Step 5 · counters g: before → after</t>
        </is>
      </c>
      <c r="B175" s="82"/>
      <c r="C175" s="82"/>
      <c r="D175" s="82"/>
      <c r="E175" s="85" t="str">
        <f>'ERDR Iterations'!$K$146</f>
        <v>—</v>
      </c>
      <c r="F175" s="85"/>
      <c r="G175" s="85"/>
      <c r="H175" s="85"/>
      <c r="I175" s="85"/>
      <c r="J175" s="85"/>
      <c r="K175" s="85"/>
      <c r="L175" s="85"/>
      <c r="M175" s="85"/>
      <c r="N175" s="85"/>
      <c r="O175" s="85"/>
    </row>
    <row r="176">
      <c r="A176" s="82" t="inlineStr">
        <is>
          <t xml:space="preserve">Moved to D</t>
        </is>
      </c>
      <c r="B176" s="82"/>
      <c r="C176" s="82"/>
      <c r="D176" s="82"/>
      <c r="E176" s="85" t="str">
        <f>'ERDR Iterations'!$K$147</f>
        <v>—</v>
      </c>
      <c r="F176" s="85"/>
      <c r="G176" s="85"/>
      <c r="H176" s="85"/>
      <c r="I176" s="85"/>
      <c r="J176" s="85"/>
      <c r="K176" s="85"/>
      <c r="L176" s="85"/>
      <c r="M176" s="85"/>
      <c r="N176" s="85"/>
      <c r="O176" s="85"/>
    </row>
    <row r="177">
      <c r="A177" s="82" t="inlineStr">
        <is>
          <t xml:space="preserve">After the iteration</t>
        </is>
      </c>
      <c r="B177" s="82"/>
      <c r="C177" s="82"/>
      <c r="D177" s="82"/>
      <c r="E177" s="85" t="str">
        <f>"|F| = "&amp;'ERDR Iterations'!$K$148&amp;"   ·   |D| = "&amp;'ERDR Iterations'!$K$149&amp;"   ·   objects left in the queue: "&amp;'ERDR Iterations'!$K$150</f>
        <v>|F| = 2   ·   |D| = 5   ·   objects left in the queue: 0</v>
      </c>
      <c r="F177" s="85"/>
      <c r="G177" s="85"/>
      <c r="H177" s="85"/>
      <c r="I177" s="85"/>
      <c r="J177" s="85"/>
      <c r="K177" s="85"/>
      <c r="L177" s="85"/>
      <c r="M177" s="85"/>
      <c r="N177" s="85"/>
      <c r="O177" s="85"/>
    </row>
    <row r="178">
      <c r="A178" s="82" t="inlineStr">
        <is>
          <t xml:space="preserve">Cases of the Case Checklist shown here</t>
        </is>
      </c>
      <c r="B178" s="82"/>
      <c r="C178" s="82"/>
      <c r="D178" s="82"/>
      <c r="E178" s="85" t="str">
        <f>IF(IF('Case Checklist'!P$5=1,"   ·   6 |L| = 1, L = {Sᵢ}","")&amp;IF('Case Checklist'!P$6=1,"   ·   7 |L| = 1, L = {Sⱼ}","")&amp;IF('Case Checklist'!P$7=1,"   ·   8 |L| = 0, Sᵢ stays in F","")&amp;IF('Case Checklist'!P$8=1,"   ·   9 Step 5 move","")&amp;IF('Case Checklist'!P$9=1,"   ·   10 g lowered, no move","")&amp;IF('Case Checklist'!P$10=1,"   ·   11 moved before its turn","")&amp;IF('Case Checklist'!P$11=1,"   ·   12 processed object moved","")&amp;IF('Case Checklist'!P$12=1,"   ·   13 Sᵢ in its own L","")&amp;IF('Case Checklist'!P$13=1,"   ·   15 two moves in one Step 5","")="","—",MID(IF('Case Checklist'!P$5=1,"   ·   6 |L| = 1, L = {Sᵢ}","")&amp;IF('Case Checklist'!P$6=1,"   ·   7 |L| = 1, L = {Sⱼ}","")&amp;IF('Case Checklist'!P$7=1,"   ·   8 |L| = 0, Sᵢ stays in F","")&amp;IF('Case Checklist'!P$8=1,"   ·   9 Step 5 move","")&amp;IF('Case Checklist'!P$9=1,"   ·   10 g lowered, no move","")&amp;IF('Case Checklist'!P$10=1,"   ·   11 moved before its turn","")&amp;IF('Case Checklist'!P$11=1,"   ·   12 processed object moved","")&amp;IF('Case Checklist'!P$12=1,"   ·   13 Sᵢ in its own L","")&amp;IF('Case Checklist'!P$13=1,"   ·   15 two moves in one Step 5",""),8,400))</f>
        <v>8 |L| = 0, Sᵢ stays in F</v>
      </c>
      <c r="F178" s="85"/>
      <c r="G178" s="85"/>
      <c r="H178" s="85"/>
      <c r="I178" s="85"/>
      <c r="J178" s="85"/>
      <c r="K178" s="85"/>
      <c r="L178" s="85"/>
      <c r="M178" s="85"/>
      <c r="N178" s="85"/>
      <c r="O178" s="85"/>
    </row>
    <row r="179">
      <c r="A179" s="82" t="inlineStr">
        <is>
          <t xml:space="preserve">Check · L from the sphere test r − ρ &gt; 0</t>
        </is>
      </c>
      <c r="B179" s="82"/>
      <c r="C179" s="82"/>
      <c r="D179" s="82"/>
      <c r="E179" s="85" t="str">
        <f>IF('ERDR Iterations'!$K$139=0,"—",IF(SUMPRODUCT(ABS(L164:L170-C164:C170*D164:D170*(G164:G170&gt;0)*J164:J170*K164:K170))=0,"✓ the sphere test gives exactly the L of ERDR Iterations","✗ differs"))</f>
        <v>✓ the sphere test gives exactly the L of ERDR Iterations</v>
      </c>
      <c r="F179" s="85"/>
      <c r="G179" s="85"/>
      <c r="H179" s="85"/>
      <c r="I179" s="85"/>
      <c r="J179" s="85"/>
      <c r="K179" s="85"/>
      <c r="L179" s="85"/>
      <c r="M179" s="85"/>
      <c r="N179" s="85"/>
      <c r="O179" s="85"/>
    </row>
    <row r="180"/>
    <row r="181"/>
    <row r="182"/>
    <row r="183"/>
    <row r="184"/>
    <row r="185"/>
    <row r="186"/>
    <row r="187"/>
    <row r="188"/>
    <row r="189"/>
    <row r="190">
      <c r="A190" s="59" t="str">
        <f>'Hypersphere Data'!$B$482</f>
        <v>Iteration 7  ·  queue empty → Step 6 (stop)</v>
      </c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</row>
    <row r="191" ht="34" customHeight="1">
      <c r="A191" s="60" t="inlineStr">
        <is>
          <t xml:space="preserve">Sⱼ</t>
        </is>
      </c>
      <c r="B191" s="60" t="inlineStr">
        <is>
          <t xml:space="preserve">Class</t>
        </is>
      </c>
      <c r="C191" s="60" t="inlineStr">
        <is>
          <t xml:space="preserve">In F</t>
        </is>
      </c>
      <c r="D191" s="60" t="inlineStr">
        <is>
          <t xml:space="preserve">Own class of Sᵢ</t>
        </is>
      </c>
      <c r="E191" s="60" t="inlineStr">
        <is>
          <t xml:space="preserve">ρ(Sⱼ, Sᵢ)</t>
        </is>
      </c>
      <c r="F191" s="60" t="inlineStr">
        <is>
          <t xml:space="preserve">r(Sⱼ)</t>
        </is>
      </c>
      <c r="G191" s="60" t="inlineStr">
        <is>
          <t xml:space="preserve">r(Sⱼ) − ρ(Sⱼ, Sᵢ)</t>
        </is>
      </c>
      <c r="H191" s="60" t="inlineStr">
        <is>
          <t xml:space="preserve">Sphere of Sⱼ contains Sᵢ</t>
        </is>
      </c>
      <c r="I191" s="60" t="inlineStr">
        <is>
          <t xml:space="preserve">g before</t>
        </is>
      </c>
      <c r="J191" s="60" t="inlineStr">
        <is>
          <t xml:space="preserve">g &gt; 1</t>
        </is>
      </c>
      <c r="K191" s="60" t="inlineStr">
        <is>
          <t xml:space="preserve">Allowed (A, B)</t>
        </is>
      </c>
      <c r="L191" s="60" t="inlineStr">
        <is>
          <t xml:space="preserve">Sⱼ ∈ L</t>
        </is>
      </c>
      <c r="M191" s="60" t="inlineStr">
        <is>
          <t xml:space="preserve">g after</t>
        </is>
      </c>
      <c r="N191" s="60" t="inlineStr">
        <is>
          <t xml:space="preserve">Moves to D</t>
        </is>
      </c>
      <c r="O191" s="60" t="inlineStr">
        <is>
          <t xml:space="preserve">Role in this iteration</t>
        </is>
      </c>
    </row>
    <row r="192">
      <c r="A192" s="62" t="inlineStr">
        <is>
          <t xml:space="preserve">S₁</t>
        </is>
      </c>
      <c r="B192" s="68">
        <f>'ERDR Iterations'!B$163</f>
        <v>2</v>
      </c>
      <c r="C192" s="76">
        <f>'ERDR Iterations'!B$164</f>
        <v>0</v>
      </c>
      <c r="D192" s="76">
        <f>'ERDR Iterations'!B$170</f>
        <v>0</v>
      </c>
      <c r="E192" s="73" t="str">
        <f>'ERDR Iterations'!B$171</f>
        <v>—</v>
      </c>
      <c r="F192" s="73">
        <f>'ERDR Iterations'!B$172</f>
        <v>5.60708061</v>
      </c>
      <c r="G192" s="143" t="str">
        <f>IF(ISNUMBER(E192),F192-E192,"—")</f>
        <v>—</v>
      </c>
      <c r="H192" s="76">
        <f>'ERDR Iterations'!B$173</f>
        <v>0</v>
      </c>
      <c r="I192" s="80">
        <f>'ERDR Iterations'!B$166</f>
        <v>1</v>
      </c>
      <c r="J192" s="76">
        <f>'ERDR Iterations'!B$174</f>
        <v>0</v>
      </c>
      <c r="K192" s="76">
        <f>'ERDR Iterations'!B$175</f>
        <v>0</v>
      </c>
      <c r="L192" s="77">
        <f>'ERDR Iterations'!B$176</f>
        <v>0</v>
      </c>
      <c r="M192" s="80">
        <f>'ERDR Iterations'!B$179</f>
        <v>1</v>
      </c>
      <c r="N192" s="85" t="str">
        <f>IF('ERDR Iterations'!B$181=1,IF('ERDR Iterations'!B$177=1,"Step 4","Step 5"),"")</f>
        <v/>
      </c>
      <c r="O192" s="101" t="str">
        <f>IF('ERDR Iterations'!$K$165=0,IF(C192=1,"in F — stays in the validation sample","in D — training sample"),IF('ERDR Iterations'!B$169=1,"Sᵢ (selected) · "&amp;IF(L192=1,"own sphere with g &gt; 1 → in L",IF(J192=0,"g = 1 → not in its own L","reading A = 2 → not in its own L")),IF(D192=0,"enemy (other class)"&amp;IF(C192=0," · in D",""),IF(C192=0,IF(H192=1,"in D — its sphere contains Sᵢ but no longer counts","in D — its sphere does not reach Sᵢ"),IF(H192=0,"own class in F — its sphere does not reach Sᵢ (ρ ≥ r)",IF(L192=1,"own class in F — its sphere contains Sᵢ → in L","own class in F — contains Sᵢ, excluded by reading B = 2 (processed)"))))))&amp;IF(N192&lt;&gt;"","  ·  moves to D ("&amp;N192&amp;")","")</f>
        <v>in D — training sample</v>
      </c>
    </row>
    <row r="193">
      <c r="A193" s="62" t="inlineStr">
        <is>
          <t xml:space="preserve">S₂</t>
        </is>
      </c>
      <c r="B193" s="68">
        <f>'ERDR Iterations'!C$163</f>
        <v>2</v>
      </c>
      <c r="C193" s="76">
        <f>'ERDR Iterations'!C$164</f>
        <v>0</v>
      </c>
      <c r="D193" s="76">
        <f>'ERDR Iterations'!C$170</f>
        <v>0</v>
      </c>
      <c r="E193" s="73" t="str">
        <f>'ERDR Iterations'!C$171</f>
        <v>—</v>
      </c>
      <c r="F193" s="73">
        <f>'ERDR Iterations'!C$172</f>
        <v>7.4699698919</v>
      </c>
      <c r="G193" s="143" t="str">
        <f>IF(ISNUMBER(E193),F193-E193,"—")</f>
        <v>—</v>
      </c>
      <c r="H193" s="76">
        <f>'ERDR Iterations'!C$173</f>
        <v>0</v>
      </c>
      <c r="I193" s="80">
        <f>'ERDR Iterations'!C$166</f>
        <v>2</v>
      </c>
      <c r="J193" s="76">
        <f>'ERDR Iterations'!C$174</f>
        <v>1</v>
      </c>
      <c r="K193" s="76">
        <f>'ERDR Iterations'!C$175</f>
        <v>0</v>
      </c>
      <c r="L193" s="77">
        <f>'ERDR Iterations'!C$176</f>
        <v>0</v>
      </c>
      <c r="M193" s="80">
        <f>'ERDR Iterations'!C$179</f>
        <v>2</v>
      </c>
      <c r="N193" s="85" t="str">
        <f>IF('ERDR Iterations'!C$181=1,IF('ERDR Iterations'!C$177=1,"Step 4","Step 5"),"")</f>
        <v/>
      </c>
      <c r="O193" s="101" t="str">
        <f>IF('ERDR Iterations'!$K$165=0,IF(C193=1,"in F — stays in the validation sample","in D — training sample"),IF('ERDR Iterations'!C$169=1,"Sᵢ (selected) · "&amp;IF(L193=1,"own sphere with g &gt; 1 → in L",IF(J193=0,"g = 1 → not in its own L","reading A = 2 → not in its own L")),IF(D193=0,"enemy (other class)"&amp;IF(C193=0," · in D",""),IF(C193=0,IF(H193=1,"in D — its sphere contains Sᵢ but no longer counts","in D — its sphere does not reach Sᵢ"),IF(H193=0,"own class in F — its sphere does not reach Sᵢ (ρ ≥ r)",IF(L193=1,"own class in F — its sphere contains Sᵢ → in L","own class in F — contains Sᵢ, excluded by reading B = 2 (processed)"))))))&amp;IF(N193&lt;&gt;"","  ·  moves to D ("&amp;N193&amp;")","")</f>
        <v>in D — training sample</v>
      </c>
    </row>
    <row r="194">
      <c r="A194" s="62" t="inlineStr">
        <is>
          <t xml:space="preserve">S₃</t>
        </is>
      </c>
      <c r="B194" s="68">
        <f>'ERDR Iterations'!D$163</f>
        <v>1</v>
      </c>
      <c r="C194" s="76">
        <f>'ERDR Iterations'!D$164</f>
        <v>1</v>
      </c>
      <c r="D194" s="76">
        <f>'ERDR Iterations'!D$170</f>
        <v>0</v>
      </c>
      <c r="E194" s="73" t="str">
        <f>'ERDR Iterations'!D$171</f>
        <v>—</v>
      </c>
      <c r="F194" s="73">
        <f>'ERDR Iterations'!D$172</f>
        <v>5.60708061</v>
      </c>
      <c r="G194" s="143" t="str">
        <f>IF(ISNUMBER(E194),F194-E194,"—")</f>
        <v>—</v>
      </c>
      <c r="H194" s="76">
        <f>'ERDR Iterations'!D$173</f>
        <v>0</v>
      </c>
      <c r="I194" s="80">
        <f>'ERDR Iterations'!D$166</f>
        <v>2</v>
      </c>
      <c r="J194" s="76">
        <f>'ERDR Iterations'!D$174</f>
        <v>1</v>
      </c>
      <c r="K194" s="76">
        <f>'ERDR Iterations'!D$175</f>
        <v>0</v>
      </c>
      <c r="L194" s="77">
        <f>'ERDR Iterations'!D$176</f>
        <v>0</v>
      </c>
      <c r="M194" s="80">
        <f>'ERDR Iterations'!D$179</f>
        <v>2</v>
      </c>
      <c r="N194" s="85" t="str">
        <f>IF('ERDR Iterations'!D$181=1,IF('ERDR Iterations'!D$177=1,"Step 4","Step 5"),"")</f>
        <v/>
      </c>
      <c r="O194" s="101" t="str">
        <f>IF('ERDR Iterations'!$K$165=0,IF(C194=1,"in F — stays in the validation sample","in D — training sample"),IF('ERDR Iterations'!D$169=1,"Sᵢ (selected) · "&amp;IF(L194=1,"own sphere with g &gt; 1 → in L",IF(J194=0,"g = 1 → not in its own L","reading A = 2 → not in its own L")),IF(D194=0,"enemy (other class)"&amp;IF(C194=0," · in D",""),IF(C194=0,IF(H194=1,"in D — its sphere contains Sᵢ but no longer counts","in D — its sphere does not reach Sᵢ"),IF(H194=0,"own class in F — its sphere does not reach Sᵢ (ρ ≥ r)",IF(L194=1,"own class in F — its sphere contains Sᵢ → in L","own class in F — contains Sᵢ, excluded by reading B = 2 (processed)"))))))&amp;IF(N194&lt;&gt;"","  ·  moves to D ("&amp;N194&amp;")","")</f>
        <v>in F — stays in the validation sample</v>
      </c>
    </row>
    <row r="195">
      <c r="A195" s="62" t="inlineStr">
        <is>
          <t xml:space="preserve">S₄</t>
        </is>
      </c>
      <c r="B195" s="68">
        <f>'ERDR Iterations'!E$163</f>
        <v>2</v>
      </c>
      <c r="C195" s="76">
        <f>'ERDR Iterations'!E$164</f>
        <v>1</v>
      </c>
      <c r="D195" s="76">
        <f>'ERDR Iterations'!E$170</f>
        <v>0</v>
      </c>
      <c r="E195" s="73" t="str">
        <f>'ERDR Iterations'!E$171</f>
        <v>—</v>
      </c>
      <c r="F195" s="73">
        <f>'ERDR Iterations'!E$172</f>
        <v>3.7071187508</v>
      </c>
      <c r="G195" s="143" t="str">
        <f>IF(ISNUMBER(E195),F195-E195,"—")</f>
        <v>—</v>
      </c>
      <c r="H195" s="76">
        <f>'ERDR Iterations'!E$173</f>
        <v>0</v>
      </c>
      <c r="I195" s="80">
        <f>'ERDR Iterations'!E$166</f>
        <v>1</v>
      </c>
      <c r="J195" s="76">
        <f>'ERDR Iterations'!E$174</f>
        <v>0</v>
      </c>
      <c r="K195" s="76">
        <f>'ERDR Iterations'!E$175</f>
        <v>0</v>
      </c>
      <c r="L195" s="77">
        <f>'ERDR Iterations'!E$176</f>
        <v>0</v>
      </c>
      <c r="M195" s="80">
        <f>'ERDR Iterations'!E$179</f>
        <v>1</v>
      </c>
      <c r="N195" s="85" t="str">
        <f>IF('ERDR Iterations'!E$181=1,IF('ERDR Iterations'!E$177=1,"Step 4","Step 5"),"")</f>
        <v/>
      </c>
      <c r="O195" s="101" t="str">
        <f>IF('ERDR Iterations'!$K$165=0,IF(C195=1,"in F — stays in the validation sample","in D — training sample"),IF('ERDR Iterations'!E$169=1,"Sᵢ (selected) · "&amp;IF(L195=1,"own sphere with g &gt; 1 → in L",IF(J195=0,"g = 1 → not in its own L","reading A = 2 → not in its own L")),IF(D195=0,"enemy (other class)"&amp;IF(C195=0," · in D",""),IF(C195=0,IF(H195=1,"in D — its sphere contains Sᵢ but no longer counts","in D — its sphere does not reach Sᵢ"),IF(H195=0,"own class in F — its sphere does not reach Sᵢ (ρ ≥ r)",IF(L195=1,"own class in F — its sphere contains Sᵢ → in L","own class in F — contains Sᵢ, excluded by reading B = 2 (processed)"))))))&amp;IF(N195&lt;&gt;"","  ·  moves to D ("&amp;N195&amp;")","")</f>
        <v>in F — stays in the validation sample</v>
      </c>
    </row>
    <row r="196">
      <c r="A196" s="62" t="inlineStr">
        <is>
          <t xml:space="preserve">S₅</t>
        </is>
      </c>
      <c r="B196" s="68">
        <f>'ERDR Iterations'!F$163</f>
        <v>2</v>
      </c>
      <c r="C196" s="76">
        <f>'ERDR Iterations'!F$164</f>
        <v>0</v>
      </c>
      <c r="D196" s="76">
        <f>'ERDR Iterations'!F$170</f>
        <v>0</v>
      </c>
      <c r="E196" s="73" t="str">
        <f>'ERDR Iterations'!F$171</f>
        <v>—</v>
      </c>
      <c r="F196" s="73">
        <f>'ERDR Iterations'!F$172</f>
        <v>7.1117040273</v>
      </c>
      <c r="G196" s="143" t="str">
        <f>IF(ISNUMBER(E196),F196-E196,"—")</f>
        <v>—</v>
      </c>
      <c r="H196" s="76">
        <f>'ERDR Iterations'!F$173</f>
        <v>0</v>
      </c>
      <c r="I196" s="80">
        <f>'ERDR Iterations'!F$166</f>
        <v>1</v>
      </c>
      <c r="J196" s="76">
        <f>'ERDR Iterations'!F$174</f>
        <v>0</v>
      </c>
      <c r="K196" s="76">
        <f>'ERDR Iterations'!F$175</f>
        <v>0</v>
      </c>
      <c r="L196" s="77">
        <f>'ERDR Iterations'!F$176</f>
        <v>0</v>
      </c>
      <c r="M196" s="80">
        <f>'ERDR Iterations'!F$179</f>
        <v>1</v>
      </c>
      <c r="N196" s="85" t="str">
        <f>IF('ERDR Iterations'!F$181=1,IF('ERDR Iterations'!F$177=1,"Step 4","Step 5"),"")</f>
        <v/>
      </c>
      <c r="O196" s="101" t="str">
        <f>IF('ERDR Iterations'!$K$165=0,IF(C196=1,"in F — stays in the validation sample","in D — training sample"),IF('ERDR Iterations'!F$169=1,"Sᵢ (selected) · "&amp;IF(L196=1,"own sphere with g &gt; 1 → in L",IF(J196=0,"g = 1 → not in its own L","reading A = 2 → not in its own L")),IF(D196=0,"enemy (other class)"&amp;IF(C196=0," · in D",""),IF(C196=0,IF(H196=1,"in D — its sphere contains Sᵢ but no longer counts","in D — its sphere does not reach Sᵢ"),IF(H196=0,"own class in F — its sphere does not reach Sᵢ (ρ ≥ r)",IF(L196=1,"own class in F — its sphere contains Sᵢ → in L","own class in F — contains Sᵢ, excluded by reading B = 2 (processed)"))))))&amp;IF(N196&lt;&gt;"","  ·  moves to D ("&amp;N196&amp;")","")</f>
        <v>in D — training sample</v>
      </c>
    </row>
    <row r="197">
      <c r="A197" s="62" t="inlineStr">
        <is>
          <t xml:space="preserve">S₆</t>
        </is>
      </c>
      <c r="B197" s="68">
        <f>'ERDR Iterations'!G$163</f>
        <v>1</v>
      </c>
      <c r="C197" s="76">
        <f>'ERDR Iterations'!G$164</f>
        <v>0</v>
      </c>
      <c r="D197" s="76">
        <f>'ERDR Iterations'!G$170</f>
        <v>0</v>
      </c>
      <c r="E197" s="73" t="str">
        <f>'ERDR Iterations'!G$171</f>
        <v>—</v>
      </c>
      <c r="F197" s="73">
        <f>'ERDR Iterations'!G$172</f>
        <v>3.7071187508</v>
      </c>
      <c r="G197" s="143" t="str">
        <f>IF(ISNUMBER(E197),F197-E197,"—")</f>
        <v>—</v>
      </c>
      <c r="H197" s="76">
        <f>'ERDR Iterations'!G$173</f>
        <v>0</v>
      </c>
      <c r="I197" s="80">
        <f>'ERDR Iterations'!G$166</f>
        <v>1</v>
      </c>
      <c r="J197" s="76">
        <f>'ERDR Iterations'!G$174</f>
        <v>0</v>
      </c>
      <c r="K197" s="76">
        <f>'ERDR Iterations'!G$175</f>
        <v>0</v>
      </c>
      <c r="L197" s="77">
        <f>'ERDR Iterations'!G$176</f>
        <v>0</v>
      </c>
      <c r="M197" s="80">
        <f>'ERDR Iterations'!G$179</f>
        <v>1</v>
      </c>
      <c r="N197" s="85" t="str">
        <f>IF('ERDR Iterations'!G$181=1,IF('ERDR Iterations'!G$177=1,"Step 4","Step 5"),"")</f>
        <v/>
      </c>
      <c r="O197" s="101" t="str">
        <f>IF('ERDR Iterations'!$K$165=0,IF(C197=1,"in F — stays in the validation sample","in D — training sample"),IF('ERDR Iterations'!G$169=1,"Sᵢ (selected) · "&amp;IF(L197=1,"own sphere with g &gt; 1 → in L",IF(J197=0,"g = 1 → not in its own L","reading A = 2 → not in its own L")),IF(D197=0,"enemy (other class)"&amp;IF(C197=0," · in D",""),IF(C197=0,IF(H197=1,"in D — its sphere contains Sᵢ but no longer counts","in D — its sphere does not reach Sᵢ"),IF(H197=0,"own class in F — its sphere does not reach Sᵢ (ρ ≥ r)",IF(L197=1,"own class in F — its sphere contains Sᵢ → in L","own class in F — contains Sᵢ, excluded by reading B = 2 (processed)"))))))&amp;IF(N197&lt;&gt;"","  ·  moves to D ("&amp;N197&amp;")","")</f>
        <v>in D — training sample</v>
      </c>
    </row>
    <row r="198">
      <c r="A198" s="62" t="inlineStr">
        <is>
          <t xml:space="preserve">S₇</t>
        </is>
      </c>
      <c r="B198" s="68">
        <f>'ERDR Iterations'!H$163</f>
        <v>1</v>
      </c>
      <c r="C198" s="76">
        <f>'ERDR Iterations'!H$164</f>
        <v>0</v>
      </c>
      <c r="D198" s="76">
        <f>'ERDR Iterations'!H$170</f>
        <v>0</v>
      </c>
      <c r="E198" s="73" t="str">
        <f>'ERDR Iterations'!H$171</f>
        <v>—</v>
      </c>
      <c r="F198" s="73">
        <f>'ERDR Iterations'!H$172</f>
        <v>3.9109813746</v>
      </c>
      <c r="G198" s="143" t="str">
        <f>IF(ISNUMBER(E198),F198-E198,"—")</f>
        <v>—</v>
      </c>
      <c r="H198" s="76">
        <f>'ERDR Iterations'!H$173</f>
        <v>0</v>
      </c>
      <c r="I198" s="80">
        <f>'ERDR Iterations'!H$166</f>
        <v>1</v>
      </c>
      <c r="J198" s="76">
        <f>'ERDR Iterations'!H$174</f>
        <v>0</v>
      </c>
      <c r="K198" s="76">
        <f>'ERDR Iterations'!H$175</f>
        <v>0</v>
      </c>
      <c r="L198" s="77">
        <f>'ERDR Iterations'!H$176</f>
        <v>0</v>
      </c>
      <c r="M198" s="80">
        <f>'ERDR Iterations'!H$179</f>
        <v>1</v>
      </c>
      <c r="N198" s="85" t="str">
        <f>IF('ERDR Iterations'!H$181=1,IF('ERDR Iterations'!H$177=1,"Step 4","Step 5"),"")</f>
        <v/>
      </c>
      <c r="O198" s="101" t="str">
        <f>IF('ERDR Iterations'!$K$165=0,IF(C198=1,"in F — stays in the validation sample","in D — training sample"),IF('ERDR Iterations'!H$169=1,"Sᵢ (selected) · "&amp;IF(L198=1,"own sphere with g &gt; 1 → in L",IF(J198=0,"g = 1 → not in its own L","reading A = 2 → not in its own L")),IF(D198=0,"enemy (other class)"&amp;IF(C198=0," · in D",""),IF(C198=0,IF(H198=1,"in D — its sphere contains Sᵢ but no longer counts","in D — its sphere does not reach Sᵢ"),IF(H198=0,"own class in F — its sphere does not reach Sᵢ (ρ ≥ r)",IF(L198=1,"own class in F — its sphere contains Sᵢ → in L","own class in F — contains Sᵢ, excluded by reading B = 2 (processed)"))))))&amp;IF(N198&lt;&gt;"","  ·  moves to D ("&amp;N198&amp;")","")</f>
        <v>in D — training sample</v>
      </c>
    </row>
    <row r="199"/>
    <row r="200">
      <c r="A200" s="82" t="inlineStr">
        <is>
          <t xml:space="preserve">Spheres that contain Sᵢ (own class, in F)</t>
        </is>
      </c>
      <c r="B200" s="82"/>
      <c r="C200" s="82"/>
      <c r="D200" s="82"/>
      <c r="E200" s="85" t="str">
        <f>IF('ERDR Iterations'!$K$165=0,"—",IF(IF(AND('ERDR Iterations'!B$170=1,'ERDR Iterations'!B$164=1,'ERDR Iterations'!B$173=1),", S₁","")&amp;IF(AND('ERDR Iterations'!C$170=1,'ERDR Iterations'!C$164=1,'ERDR Iterations'!C$173=1),", S₂","")&amp;IF(AND('ERDR Iterations'!D$170=1,'ERDR Iterations'!D$164=1,'ERDR Iterations'!D$173=1),", S₃","")&amp;IF(AND('ERDR Iterations'!E$170=1,'ERDR Iterations'!E$164=1,'ERDR Iterations'!E$173=1),", S₄","")&amp;IF(AND('ERDR Iterations'!F$170=1,'ERDR Iterations'!F$164=1,'ERDR Iterations'!F$173=1),", S₅","")&amp;IF(AND('ERDR Iterations'!G$170=1,'ERDR Iterations'!G$164=1,'ERDR Iterations'!G$173=1),", S₆","")&amp;IF(AND('ERDR Iterations'!H$170=1,'ERDR Iterations'!H$164=1,'ERDR Iterations'!H$173=1),", S₇","")="","∅","{"&amp;MID(IF(AND('ERDR Iterations'!B$170=1,'ERDR Iterations'!B$164=1,'ERDR Iterations'!B$173=1),", S₁","")&amp;IF(AND('ERDR Iterations'!C$170=1,'ERDR Iterations'!C$164=1,'ERDR Iterations'!C$173=1),", S₂","")&amp;IF(AND('ERDR Iterations'!D$170=1,'ERDR Iterations'!D$164=1,'ERDR Iterations'!D$173=1),", S₃","")&amp;IF(AND('ERDR Iterations'!E$170=1,'ERDR Iterations'!E$164=1,'ERDR Iterations'!E$173=1),", S₄","")&amp;IF(AND('ERDR Iterations'!F$170=1,'ERDR Iterations'!F$164=1,'ERDR Iterations'!F$173=1),", S₅","")&amp;IF(AND('ERDR Iterations'!G$170=1,'ERDR Iterations'!G$164=1,'ERDR Iterations'!G$173=1),", S₆","")&amp;IF(AND('ERDR Iterations'!H$170=1,'ERDR Iterations'!H$164=1,'ERDR Iterations'!H$173=1),", S₇",""),3,300)&amp;"}"))</f>
        <v>—</v>
      </c>
      <c r="F200" s="85"/>
      <c r="G200" s="85"/>
      <c r="H200" s="85"/>
      <c r="I200" s="85"/>
      <c r="J200" s="85"/>
      <c r="K200" s="85"/>
      <c r="L200" s="85"/>
      <c r="M200" s="85"/>
      <c r="N200" s="85"/>
      <c r="O200" s="85"/>
    </row>
    <row r="201">
      <c r="A201" s="82" t="inlineStr">
        <is>
          <t xml:space="preserve">Own-class spheres in D that would contain Sᵢ</t>
        </is>
      </c>
      <c r="B201" s="82"/>
      <c r="C201" s="82"/>
      <c r="D201" s="82"/>
      <c r="E201" s="85" t="str">
        <f>IF('ERDR Iterations'!$K$165=0,"—",IF(IF(AND('ERDR Iterations'!B$170=1,'ERDR Iterations'!B$164=0,'ERDR Iterations'!B$173=1),", S₁","")&amp;IF(AND('ERDR Iterations'!C$170=1,'ERDR Iterations'!C$164=0,'ERDR Iterations'!C$173=1),", S₂","")&amp;IF(AND('ERDR Iterations'!D$170=1,'ERDR Iterations'!D$164=0,'ERDR Iterations'!D$173=1),", S₃","")&amp;IF(AND('ERDR Iterations'!E$170=1,'ERDR Iterations'!E$164=0,'ERDR Iterations'!E$173=1),", S₄","")&amp;IF(AND('ERDR Iterations'!F$170=1,'ERDR Iterations'!F$164=0,'ERDR Iterations'!F$173=1),", S₅","")&amp;IF(AND('ERDR Iterations'!G$170=1,'ERDR Iterations'!G$164=0,'ERDR Iterations'!G$173=1),", S₆","")&amp;IF(AND('ERDR Iterations'!H$170=1,'ERDR Iterations'!H$164=0,'ERDR Iterations'!H$173=1),", S₇","")="","∅","{"&amp;MID(IF(AND('ERDR Iterations'!B$170=1,'ERDR Iterations'!B$164=0,'ERDR Iterations'!B$173=1),", S₁","")&amp;IF(AND('ERDR Iterations'!C$170=1,'ERDR Iterations'!C$164=0,'ERDR Iterations'!C$173=1),", S₂","")&amp;IF(AND('ERDR Iterations'!D$170=1,'ERDR Iterations'!D$164=0,'ERDR Iterations'!D$173=1),", S₃","")&amp;IF(AND('ERDR Iterations'!E$170=1,'ERDR Iterations'!E$164=0,'ERDR Iterations'!E$173=1),", S₄","")&amp;IF(AND('ERDR Iterations'!F$170=1,'ERDR Iterations'!F$164=0,'ERDR Iterations'!F$173=1),", S₅","")&amp;IF(AND('ERDR Iterations'!G$170=1,'ERDR Iterations'!G$164=0,'ERDR Iterations'!G$173=1),", S₆","")&amp;IF(AND('ERDR Iterations'!H$170=1,'ERDR Iterations'!H$164=0,'ERDR Iterations'!H$173=1),", S₇",""),3,300)&amp;"}"))</f>
        <v>—</v>
      </c>
      <c r="F201" s="85"/>
      <c r="G201" s="85"/>
      <c r="H201" s="85"/>
      <c r="I201" s="85"/>
      <c r="J201" s="85"/>
      <c r="K201" s="85"/>
      <c r="L201" s="85"/>
      <c r="M201" s="85"/>
      <c r="N201" s="85"/>
      <c r="O201" s="85"/>
    </row>
    <row r="202">
      <c r="A202" s="82" t="inlineStr">
        <is>
          <t xml:space="preserve">Step 4 · L  ·  |L|  ·  decision</t>
        </is>
      </c>
      <c r="B202" s="82"/>
      <c r="C202" s="82"/>
      <c r="D202" s="82"/>
      <c r="E202" s="85" t="str">
        <f>IF('ERDR Iterations'!$K$165=0,"— (queue empty)",'ERDR Iterations'!$K$169&amp;"   ·   |L| = "&amp;'ERDR Iterations'!$K$170&amp;"   ·   "&amp;'ERDR Iterations'!$K$171)</f>
        <v>— (queue empty)</v>
      </c>
      <c r="F202" s="85"/>
      <c r="G202" s="85"/>
      <c r="H202" s="85"/>
      <c r="I202" s="85"/>
      <c r="J202" s="85"/>
      <c r="K202" s="85"/>
      <c r="L202" s="85"/>
      <c r="M202" s="85"/>
      <c r="N202" s="85"/>
      <c r="O202" s="85"/>
    </row>
    <row r="203">
      <c r="A203" s="82" t="inlineStr">
        <is>
          <t xml:space="preserve">Step 5 · counters g: before → after</t>
        </is>
      </c>
      <c r="B203" s="82"/>
      <c r="C203" s="82"/>
      <c r="D203" s="82"/>
      <c r="E203" s="85" t="str">
        <f>'ERDR Iterations'!$K$172</f>
        <v>—</v>
      </c>
      <c r="F203" s="85"/>
      <c r="G203" s="85"/>
      <c r="H203" s="85"/>
      <c r="I203" s="85"/>
      <c r="J203" s="85"/>
      <c r="K203" s="85"/>
      <c r="L203" s="85"/>
      <c r="M203" s="85"/>
      <c r="N203" s="85"/>
      <c r="O203" s="85"/>
    </row>
    <row r="204">
      <c r="A204" s="82" t="inlineStr">
        <is>
          <t xml:space="preserve">Moved to D</t>
        </is>
      </c>
      <c r="B204" s="82"/>
      <c r="C204" s="82"/>
      <c r="D204" s="82"/>
      <c r="E204" s="85" t="str">
        <f>'ERDR Iterations'!$K$173</f>
        <v>—</v>
      </c>
      <c r="F204" s="85"/>
      <c r="G204" s="85"/>
      <c r="H204" s="85"/>
      <c r="I204" s="85"/>
      <c r="J204" s="85"/>
      <c r="K204" s="85"/>
      <c r="L204" s="85"/>
      <c r="M204" s="85"/>
      <c r="N204" s="85"/>
      <c r="O204" s="85"/>
    </row>
    <row r="205">
      <c r="A205" s="82" t="inlineStr">
        <is>
          <t xml:space="preserve">After the iteration</t>
        </is>
      </c>
      <c r="B205" s="82"/>
      <c r="C205" s="82"/>
      <c r="D205" s="82"/>
      <c r="E205" s="85" t="str">
        <f>"|F| = "&amp;'ERDR Iterations'!$K$174&amp;"   ·   |D| = "&amp;'ERDR Iterations'!$K$175&amp;"   ·   objects left in the queue: "&amp;'ERDR Iterations'!$K$176</f>
        <v>|F| = 2   ·   |D| = 5   ·   objects left in the queue: 0</v>
      </c>
      <c r="F205" s="85"/>
      <c r="G205" s="85"/>
      <c r="H205" s="85"/>
      <c r="I205" s="85"/>
      <c r="J205" s="85"/>
      <c r="K205" s="85"/>
      <c r="L205" s="85"/>
      <c r="M205" s="85"/>
      <c r="N205" s="85"/>
      <c r="O205" s="85"/>
    </row>
    <row r="206">
      <c r="A206" s="82" t="inlineStr">
        <is>
          <t xml:space="preserve">Cases of the Case Checklist shown here</t>
        </is>
      </c>
      <c r="B206" s="82"/>
      <c r="C206" s="82"/>
      <c r="D206" s="82"/>
      <c r="E206" s="85" t="str">
        <f>IF(IF('Case Checklist'!Q$5=1,"   ·   6 |L| = 1, L = {Sᵢ}","")&amp;IF('Case Checklist'!Q$6=1,"   ·   7 |L| = 1, L = {Sⱼ}","")&amp;IF('Case Checklist'!Q$7=1,"   ·   8 |L| = 0, Sᵢ stays in F","")&amp;IF('Case Checklist'!Q$8=1,"   ·   9 Step 5 move","")&amp;IF('Case Checklist'!Q$9=1,"   ·   10 g lowered, no move","")&amp;IF('Case Checklist'!Q$10=1,"   ·   11 moved before its turn","")&amp;IF('Case Checklist'!Q$11=1,"   ·   12 processed object moved","")&amp;IF('Case Checklist'!Q$12=1,"   ·   13 Sᵢ in its own L","")&amp;IF('Case Checklist'!Q$13=1,"   ·   15 two moves in one Step 5","")="","—",MID(IF('Case Checklist'!Q$5=1,"   ·   6 |L| = 1, L = {Sᵢ}","")&amp;IF('Case Checklist'!Q$6=1,"   ·   7 |L| = 1, L = {Sⱼ}","")&amp;IF('Case Checklist'!Q$7=1,"   ·   8 |L| = 0, Sᵢ stays in F","")&amp;IF('Case Checklist'!Q$8=1,"   ·   9 Step 5 move","")&amp;IF('Case Checklist'!Q$9=1,"   ·   10 g lowered, no move","")&amp;IF('Case Checklist'!Q$10=1,"   ·   11 moved before its turn","")&amp;IF('Case Checklist'!Q$11=1,"   ·   12 processed object moved","")&amp;IF('Case Checklist'!Q$12=1,"   ·   13 Sᵢ in its own L","")&amp;IF('Case Checklist'!Q$13=1,"   ·   15 two moves in one Step 5",""),8,400))</f>
        <v>—</v>
      </c>
      <c r="F206" s="85"/>
      <c r="G206" s="85"/>
      <c r="H206" s="85"/>
      <c r="I206" s="85"/>
      <c r="J206" s="85"/>
      <c r="K206" s="85"/>
      <c r="L206" s="85"/>
      <c r="M206" s="85"/>
      <c r="N206" s="85"/>
      <c r="O206" s="85"/>
    </row>
    <row r="207">
      <c r="A207" s="82" t="inlineStr">
        <is>
          <t xml:space="preserve">Check · L from the sphere test r − ρ &gt; 0</t>
        </is>
      </c>
      <c r="B207" s="82"/>
      <c r="C207" s="82"/>
      <c r="D207" s="82"/>
      <c r="E207" s="85" t="str">
        <f>IF('ERDR Iterations'!$K$165=0,"—",IF(SUMPRODUCT(ABS(L192:L198-C192:C198*D192:D198*(G192:G198&gt;0)*J192:J198*K192:K198))=0,"✓ the sphere test gives exactly the L of ERDR Iterations","✗ differs"))</f>
        <v>—</v>
      </c>
      <c r="F207" s="85"/>
      <c r="G207" s="85"/>
      <c r="H207" s="85"/>
      <c r="I207" s="85"/>
      <c r="J207" s="85"/>
      <c r="K207" s="85"/>
      <c r="L207" s="85"/>
      <c r="M207" s="85"/>
      <c r="N207" s="85"/>
      <c r="O207" s="85"/>
    </row>
    <row r="208"/>
    <row r="209"/>
    <row r="210"/>
    <row r="211"/>
    <row r="212"/>
    <row r="213"/>
    <row r="214"/>
    <row r="215"/>
    <row r="216"/>
    <row r="217"/>
    <row r="218">
      <c r="A218" s="100" t="inlineStr">
        <is>
          <t xml:space="preserve">All values are read from ERDR Iterations (state before the iteration, Step 4 and Step 5 rows); the diagrams are drawn from Hypersphere Data.</t>
        </is>
      </c>
    </row>
    <row r="219">
      <c r="A219" s="100" t="str">
        <f>"With the current settings the queue is empty after "&amp;COUNTIF('ERDR Trace'!$B$5:$B$11,"S*")&amp;" iterations; the later blocks show Step 6 and stay live for other selections and readings."</f>
        <v>With the current settings the queue is empty after 6 iterations; the later blocks show Step 6 and stay live for other selections and readings.</v>
      </c>
    </row>
  </sheetData>
  <mergeCells count="151">
    <mergeCell ref="A1:O1"/>
    <mergeCell ref="A3:O3"/>
    <mergeCell ref="A5:O5"/>
    <mergeCell ref="E6:G6"/>
    <mergeCell ref="H6:J6"/>
    <mergeCell ref="K6:L6"/>
    <mergeCell ref="E7:G7"/>
    <mergeCell ref="H7:J7"/>
    <mergeCell ref="K7:L7"/>
    <mergeCell ref="E8:G8"/>
    <mergeCell ref="H8:J8"/>
    <mergeCell ref="K8:L8"/>
    <mergeCell ref="E9:G9"/>
    <mergeCell ref="H9:J9"/>
    <mergeCell ref="K9:L9"/>
    <mergeCell ref="E10:G10"/>
    <mergeCell ref="H10:J10"/>
    <mergeCell ref="K10:L10"/>
    <mergeCell ref="E11:G11"/>
    <mergeCell ref="H11:J11"/>
    <mergeCell ref="K11:L11"/>
    <mergeCell ref="E12:G12"/>
    <mergeCell ref="H12:J12"/>
    <mergeCell ref="K12:L12"/>
    <mergeCell ref="E13:G13"/>
    <mergeCell ref="H13:J13"/>
    <mergeCell ref="K13:L13"/>
    <mergeCell ref="A15:O15"/>
    <mergeCell ref="A16:O16"/>
    <mergeCell ref="A17:O17"/>
    <mergeCell ref="A18:O18"/>
    <mergeCell ref="A19:O19"/>
    <mergeCell ref="A22:O22"/>
    <mergeCell ref="A32:D32"/>
    <mergeCell ref="E32:O32"/>
    <mergeCell ref="A33:D33"/>
    <mergeCell ref="E33:O33"/>
    <mergeCell ref="A34:D34"/>
    <mergeCell ref="E34:O34"/>
    <mergeCell ref="A35:D35"/>
    <mergeCell ref="E35:O35"/>
    <mergeCell ref="A36:D36"/>
    <mergeCell ref="E36:O36"/>
    <mergeCell ref="A37:D37"/>
    <mergeCell ref="E37:O37"/>
    <mergeCell ref="A38:D38"/>
    <mergeCell ref="E38:O38"/>
    <mergeCell ref="A39:D39"/>
    <mergeCell ref="E39:O39"/>
    <mergeCell ref="A50:O50"/>
    <mergeCell ref="A60:D60"/>
    <mergeCell ref="E60:O60"/>
    <mergeCell ref="A61:D61"/>
    <mergeCell ref="E61:O61"/>
    <mergeCell ref="A62:D62"/>
    <mergeCell ref="E62:O62"/>
    <mergeCell ref="A63:D63"/>
    <mergeCell ref="E63:O63"/>
    <mergeCell ref="A64:D64"/>
    <mergeCell ref="E64:O64"/>
    <mergeCell ref="A65:D65"/>
    <mergeCell ref="E65:O65"/>
    <mergeCell ref="A66:D66"/>
    <mergeCell ref="E66:O66"/>
    <mergeCell ref="A67:D67"/>
    <mergeCell ref="E67:O67"/>
    <mergeCell ref="A78:O78"/>
    <mergeCell ref="A88:D88"/>
    <mergeCell ref="E88:O88"/>
    <mergeCell ref="A89:D89"/>
    <mergeCell ref="E89:O89"/>
    <mergeCell ref="A90:D90"/>
    <mergeCell ref="E90:O90"/>
    <mergeCell ref="A91:D91"/>
    <mergeCell ref="E91:O91"/>
    <mergeCell ref="A92:D92"/>
    <mergeCell ref="E92:O92"/>
    <mergeCell ref="A93:D93"/>
    <mergeCell ref="E93:O93"/>
    <mergeCell ref="A94:D94"/>
    <mergeCell ref="E94:O94"/>
    <mergeCell ref="A95:D95"/>
    <mergeCell ref="E95:O95"/>
    <mergeCell ref="A106:O106"/>
    <mergeCell ref="A116:D116"/>
    <mergeCell ref="E116:O116"/>
    <mergeCell ref="A117:D117"/>
    <mergeCell ref="E117:O117"/>
    <mergeCell ref="A118:D118"/>
    <mergeCell ref="E118:O118"/>
    <mergeCell ref="A119:D119"/>
    <mergeCell ref="E119:O119"/>
    <mergeCell ref="A120:D120"/>
    <mergeCell ref="E120:O120"/>
    <mergeCell ref="A121:D121"/>
    <mergeCell ref="E121:O121"/>
    <mergeCell ref="A122:D122"/>
    <mergeCell ref="E122:O122"/>
    <mergeCell ref="A123:D123"/>
    <mergeCell ref="E123:O123"/>
    <mergeCell ref="A134:O134"/>
    <mergeCell ref="A144:D144"/>
    <mergeCell ref="E144:O144"/>
    <mergeCell ref="A145:D145"/>
    <mergeCell ref="E145:O145"/>
    <mergeCell ref="A146:D146"/>
    <mergeCell ref="E146:O146"/>
    <mergeCell ref="A147:D147"/>
    <mergeCell ref="E147:O147"/>
    <mergeCell ref="A148:D148"/>
    <mergeCell ref="E148:O148"/>
    <mergeCell ref="A149:D149"/>
    <mergeCell ref="E149:O149"/>
    <mergeCell ref="A150:D150"/>
    <mergeCell ref="E150:O150"/>
    <mergeCell ref="A151:D151"/>
    <mergeCell ref="E151:O151"/>
    <mergeCell ref="A162:O162"/>
    <mergeCell ref="A172:D172"/>
    <mergeCell ref="E172:O172"/>
    <mergeCell ref="A173:D173"/>
    <mergeCell ref="E173:O173"/>
    <mergeCell ref="A174:D174"/>
    <mergeCell ref="E174:O174"/>
    <mergeCell ref="A175:D175"/>
    <mergeCell ref="E175:O175"/>
    <mergeCell ref="A176:D176"/>
    <mergeCell ref="E176:O176"/>
    <mergeCell ref="A177:D177"/>
    <mergeCell ref="E177:O177"/>
    <mergeCell ref="A178:D178"/>
    <mergeCell ref="E178:O178"/>
    <mergeCell ref="A179:D179"/>
    <mergeCell ref="E179:O179"/>
    <mergeCell ref="A190:O190"/>
    <mergeCell ref="A200:D200"/>
    <mergeCell ref="E200:O200"/>
    <mergeCell ref="A201:D201"/>
    <mergeCell ref="E201:O201"/>
    <mergeCell ref="A202:D202"/>
    <mergeCell ref="E202:O202"/>
    <mergeCell ref="A203:D203"/>
    <mergeCell ref="E203:O203"/>
    <mergeCell ref="A204:D204"/>
    <mergeCell ref="E204:O204"/>
    <mergeCell ref="A205:D205"/>
    <mergeCell ref="E205:O205"/>
    <mergeCell ref="A206:D206"/>
    <mergeCell ref="E206:O206"/>
    <mergeCell ref="A207:D207"/>
    <mergeCell ref="E207:O207"/>
  </mergeCells>
  <conditionalFormatting sqref="A7:O13">
    <cfRule type="expression" dxfId="3" priority="1">
      <formula>$B7="— stop"</formula>
    </cfRule>
  </conditionalFormatting>
  <conditionalFormatting sqref="A24:O30">
    <cfRule type="expression" dxfId="5" priority="2">
      <formula>AND(ISNUMBER($E24),$E24=0)</formula>
    </cfRule>
  </conditionalFormatting>
  <conditionalFormatting sqref="A24:O30">
    <cfRule type="expression" dxfId="3" priority="3">
      <formula>$C24=0</formula>
    </cfRule>
  </conditionalFormatting>
  <conditionalFormatting sqref="L24:L30">
    <cfRule type="cellIs" dxfId="1" priority="4" operator="equal">
      <formula>1</formula>
    </cfRule>
  </conditionalFormatting>
  <conditionalFormatting sqref="N24:N30">
    <cfRule type="expression" dxfId="4" priority="5">
      <formula>N24&lt;&gt;""</formula>
    </cfRule>
  </conditionalFormatting>
  <conditionalFormatting sqref="G24:G30">
    <cfRule type="expression" dxfId="0" priority="6">
      <formula>AND($D24=1,ISNUMBER(G24),G24&gt;0)</formula>
    </cfRule>
  </conditionalFormatting>
  <conditionalFormatting sqref="A52:O58">
    <cfRule type="expression" dxfId="5" priority="7">
      <formula>AND(ISNUMBER($E52),$E52=0)</formula>
    </cfRule>
  </conditionalFormatting>
  <conditionalFormatting sqref="A52:O58">
    <cfRule type="expression" dxfId="3" priority="8">
      <formula>$C52=0</formula>
    </cfRule>
  </conditionalFormatting>
  <conditionalFormatting sqref="L52:L58">
    <cfRule type="cellIs" dxfId="1" priority="9" operator="equal">
      <formula>1</formula>
    </cfRule>
  </conditionalFormatting>
  <conditionalFormatting sqref="N52:N58">
    <cfRule type="expression" dxfId="4" priority="10">
      <formula>N52&lt;&gt;""</formula>
    </cfRule>
  </conditionalFormatting>
  <conditionalFormatting sqref="G52:G58">
    <cfRule type="expression" dxfId="0" priority="11">
      <formula>AND($D52=1,ISNUMBER(G52),G52&gt;0)</formula>
    </cfRule>
  </conditionalFormatting>
  <conditionalFormatting sqref="A80:O86">
    <cfRule type="expression" dxfId="5" priority="12">
      <formula>AND(ISNUMBER($E80),$E80=0)</formula>
    </cfRule>
  </conditionalFormatting>
  <conditionalFormatting sqref="A80:O86">
    <cfRule type="expression" dxfId="3" priority="13">
      <formula>$C80=0</formula>
    </cfRule>
  </conditionalFormatting>
  <conditionalFormatting sqref="L80:L86">
    <cfRule type="cellIs" dxfId="1" priority="14" operator="equal">
      <formula>1</formula>
    </cfRule>
  </conditionalFormatting>
  <conditionalFormatting sqref="N80:N86">
    <cfRule type="expression" dxfId="4" priority="15">
      <formula>N80&lt;&gt;""</formula>
    </cfRule>
  </conditionalFormatting>
  <conditionalFormatting sqref="G80:G86">
    <cfRule type="expression" dxfId="0" priority="16">
      <formula>AND($D80=1,ISNUMBER(G80),G80&gt;0)</formula>
    </cfRule>
  </conditionalFormatting>
  <conditionalFormatting sqref="A108:O114">
    <cfRule type="expression" dxfId="5" priority="17">
      <formula>AND(ISNUMBER($E108),$E108=0)</formula>
    </cfRule>
  </conditionalFormatting>
  <conditionalFormatting sqref="A108:O114">
    <cfRule type="expression" dxfId="3" priority="18">
      <formula>$C108=0</formula>
    </cfRule>
  </conditionalFormatting>
  <conditionalFormatting sqref="L108:L114">
    <cfRule type="cellIs" dxfId="1" priority="19" operator="equal">
      <formula>1</formula>
    </cfRule>
  </conditionalFormatting>
  <conditionalFormatting sqref="N108:N114">
    <cfRule type="expression" dxfId="4" priority="20">
      <formula>N108&lt;&gt;""</formula>
    </cfRule>
  </conditionalFormatting>
  <conditionalFormatting sqref="G108:G114">
    <cfRule type="expression" dxfId="0" priority="21">
      <formula>AND($D108=1,ISNUMBER(G108),G108&gt;0)</formula>
    </cfRule>
  </conditionalFormatting>
  <conditionalFormatting sqref="A136:O142">
    <cfRule type="expression" dxfId="5" priority="22">
      <formula>AND(ISNUMBER($E136),$E136=0)</formula>
    </cfRule>
  </conditionalFormatting>
  <conditionalFormatting sqref="A136:O142">
    <cfRule type="expression" dxfId="3" priority="23">
      <formula>$C136=0</formula>
    </cfRule>
  </conditionalFormatting>
  <conditionalFormatting sqref="L136:L142">
    <cfRule type="cellIs" dxfId="1" priority="24" operator="equal">
      <formula>1</formula>
    </cfRule>
  </conditionalFormatting>
  <conditionalFormatting sqref="N136:N142">
    <cfRule type="expression" dxfId="4" priority="25">
      <formula>N136&lt;&gt;""</formula>
    </cfRule>
  </conditionalFormatting>
  <conditionalFormatting sqref="G136:G142">
    <cfRule type="expression" dxfId="0" priority="26">
      <formula>AND($D136=1,ISNUMBER(G136),G136&gt;0)</formula>
    </cfRule>
  </conditionalFormatting>
  <conditionalFormatting sqref="A164:O170">
    <cfRule type="expression" dxfId="5" priority="27">
      <formula>AND(ISNUMBER($E164),$E164=0)</formula>
    </cfRule>
  </conditionalFormatting>
  <conditionalFormatting sqref="A164:O170">
    <cfRule type="expression" dxfId="3" priority="28">
      <formula>$C164=0</formula>
    </cfRule>
  </conditionalFormatting>
  <conditionalFormatting sqref="L164:L170">
    <cfRule type="cellIs" dxfId="1" priority="29" operator="equal">
      <formula>1</formula>
    </cfRule>
  </conditionalFormatting>
  <conditionalFormatting sqref="N164:N170">
    <cfRule type="expression" dxfId="4" priority="30">
      <formula>N164&lt;&gt;""</formula>
    </cfRule>
  </conditionalFormatting>
  <conditionalFormatting sqref="G164:G170">
    <cfRule type="expression" dxfId="0" priority="31">
      <formula>AND($D164=1,ISNUMBER(G164),G164&gt;0)</formula>
    </cfRule>
  </conditionalFormatting>
  <conditionalFormatting sqref="A192:O198">
    <cfRule type="expression" dxfId="5" priority="32">
      <formula>AND(ISNUMBER($E192),$E192=0)</formula>
    </cfRule>
  </conditionalFormatting>
  <conditionalFormatting sqref="A192:O198">
    <cfRule type="expression" dxfId="3" priority="33">
      <formula>$C192=0</formula>
    </cfRule>
  </conditionalFormatting>
  <conditionalFormatting sqref="L192:L198">
    <cfRule type="cellIs" dxfId="1" priority="34" operator="equal">
      <formula>1</formula>
    </cfRule>
  </conditionalFormatting>
  <conditionalFormatting sqref="N192:N198">
    <cfRule type="expression" dxfId="4" priority="35">
      <formula>N192&lt;&gt;""</formula>
    </cfRule>
  </conditionalFormatting>
  <conditionalFormatting sqref="G192:G198">
    <cfRule type="expression" dxfId="0" priority="36">
      <formula>AND($D192=1,ISNUMBER(G192),G192&gt;0)</formula>
    </cfRule>
  </conditionalFormatting>
  <printOptions horizontalCentered="1"/>
  <pageMargins left="0.4" right="0.4" top="0.7" bottom="0.6" header="0.3" footer="0.3"/>
  <pageSetup paperSize="9" orientation="landscape" fitToWidth="1" fitToHeight="0"/>
  <headerFooter>
    <oddHeader>&amp;L&amp;"Calibri,Bold"&amp;9ERDR Algorithm — Heart-Disease (7, 13, 2) selected from Heart-Disease (270, 13, 2)&amp;R&amp;"Calibri,Regular"&amp;9&amp;A</oddHeader>
    <oddFooter>&amp;C&amp;"Calibri,Regular"&amp;9Page &amp;P of &amp;N</oddFooter>
  </headerFooter>
  <rowBreaks count="3" manualBreakCount="3">
    <brk id="49" max="16383" man="1"/>
    <brk id="105" max="16383" man="1"/>
    <brk id="161" max="16383" man="1"/>
  </rowBreaks>
  <drawing r:id="rIdDr1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C55A11"/>
    <pageSetUpPr fitToPage="1"/>
  </sheetPr>
  <dimension ref="A1:L105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32.77734375" customWidth="1"/>
    <col min="2" max="8" width="11.77734375" customWidth="1"/>
    <col min="9" max="9" width="20.77734375" customWidth="1"/>
    <col min="10" max="10" width="42.77734375" customWidth="1"/>
    <col min="11" max="11" width="32.77734375" customWidth="1"/>
    <col min="12" max="12" width="26.77734375" customWidth="1"/>
  </cols>
  <sheetData>
    <row r="1" ht="22" customHeight="1">
      <c r="A1" s="57" t="inlineStr">
        <is>
          <t xml:space="preserve">ERDR trace · summary of every iteration, the state matrices behind it, and the Step 6 result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</row>
    <row r="2"/>
    <row r="3">
      <c r="A3" s="58" t="inlineStr">
        <is>
          <t xml:space="preserve">Iteration summary (from ERDR Iterations)</t>
        </is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</row>
    <row r="4" ht="20" customHeight="1">
      <c r="A4" s="60" t="inlineStr">
        <is>
          <t xml:space="preserve">t</t>
        </is>
      </c>
      <c r="B4" s="60" t="inlineStr">
        <is>
          <t xml:space="preserve">Selected Sᵢ</t>
        </is>
      </c>
      <c r="C4" s="60" t="inlineStr">
        <is>
          <t xml:space="preserve">d(Sᵢ)</t>
        </is>
      </c>
      <c r="D4" s="60" t="inlineStr">
        <is>
          <t xml:space="preserve">r(Sᵢ)</t>
        </is>
      </c>
      <c r="E4" s="60" t="inlineStr">
        <is>
          <t xml:space="preserve">|L|</t>
        </is>
      </c>
      <c r="F4" s="60" t="inlineStr">
        <is>
          <t xml:space="preserve">|F| after</t>
        </is>
      </c>
      <c r="G4" s="60" t="inlineStr">
        <is>
          <t xml:space="preserve">|D| after</t>
        </is>
      </c>
      <c r="H4" s="60" t="inlineStr">
        <is>
          <t xml:space="preserve">Queue left</t>
        </is>
      </c>
      <c r="I4" s="60" t="inlineStr">
        <is>
          <t xml:space="preserve">L</t>
        </is>
      </c>
      <c r="J4" s="60" t="inlineStr">
        <is>
          <t xml:space="preserve">Decision</t>
        </is>
      </c>
      <c r="K4" s="60" t="inlineStr">
        <is>
          <t xml:space="preserve">Counters g: before → after</t>
        </is>
      </c>
      <c r="L4" s="60" t="inlineStr">
        <is>
          <t xml:space="preserve">Moved to D</t>
        </is>
      </c>
    </row>
    <row r="5">
      <c r="A5" s="77">
        <v>1</v>
      </c>
      <c r="B5" s="62" t="str">
        <f>IF('ERDR Iterations'!$K$9=0,"— stop",'ERDR Iterations'!$K$10)</f>
        <v>S₁</v>
      </c>
      <c r="C5" s="73">
        <f>'ERDR Iterations'!$K$11</f>
        <v>0</v>
      </c>
      <c r="D5" s="73">
        <f>'ERDR Iterations'!$K$12</f>
        <v>5.60708061</v>
      </c>
      <c r="E5" s="77">
        <f>'ERDR Iterations'!$K$14</f>
        <v>3</v>
      </c>
      <c r="F5" s="76">
        <f>'ERDR Iterations'!$K$18</f>
        <v>7</v>
      </c>
      <c r="G5" s="76">
        <f>'ERDR Iterations'!$K$19</f>
        <v>0</v>
      </c>
      <c r="H5" s="76">
        <f>'ERDR Iterations'!$K$20</f>
        <v>6</v>
      </c>
      <c r="I5" s="101" t="str">
        <f>'ERDR Iterations'!$K$13</f>
        <v>{S₁, S₂, S₅}</v>
      </c>
      <c r="J5" s="101" t="str">
        <f>'ERDR Iterations'!$K$15</f>
        <v>|L| &gt; 1 → Step 5 corrects g</v>
      </c>
      <c r="K5" s="101" t="str">
        <f>'ERDR Iterations'!$K$16</f>
        <v>S₁: 3 → 2, S₂: 4 → 3, S₅: 3 → 2</v>
      </c>
      <c r="L5" s="101" t="str">
        <f>'ERDR Iterations'!$K$17</f>
        <v>—</v>
      </c>
    </row>
    <row r="6">
      <c r="A6" s="77">
        <v>2</v>
      </c>
      <c r="B6" s="62" t="str">
        <f>IF('ERDR Iterations'!$K$35=0,"— stop",'ERDR Iterations'!$K$36)</f>
        <v>S₃</v>
      </c>
      <c r="C6" s="73">
        <f>'ERDR Iterations'!$K$37</f>
        <v>0</v>
      </c>
      <c r="D6" s="73">
        <f>'ERDR Iterations'!$K$38</f>
        <v>5.60708061</v>
      </c>
      <c r="E6" s="77">
        <f>'ERDR Iterations'!$K$40</f>
        <v>2</v>
      </c>
      <c r="F6" s="76">
        <f>'ERDR Iterations'!$K$44</f>
        <v>6</v>
      </c>
      <c r="G6" s="76">
        <f>'ERDR Iterations'!$K$45</f>
        <v>1</v>
      </c>
      <c r="H6" s="76">
        <f>'ERDR Iterations'!$K$46</f>
        <v>4</v>
      </c>
      <c r="I6" s="101" t="str">
        <f>'ERDR Iterations'!$K$39</f>
        <v>{S₃, S₇}</v>
      </c>
      <c r="J6" s="101" t="str">
        <f>'ERDR Iterations'!$K$41</f>
        <v>|L| &gt; 1 → Step 5 corrects g</v>
      </c>
      <c r="K6" s="101" t="str">
        <f>'ERDR Iterations'!$K$42</f>
        <v>S₃: 3 → 2, S₇: 2 → 1</v>
      </c>
      <c r="L6" s="101" t="str">
        <f>'ERDR Iterations'!$K$43</f>
        <v>S₇ (Step 5)</v>
      </c>
    </row>
    <row r="7">
      <c r="A7" s="77">
        <v>3</v>
      </c>
      <c r="B7" s="62" t="str">
        <f>IF('ERDR Iterations'!$K$61=0,"— stop",'ERDR Iterations'!$K$62)</f>
        <v>S₅</v>
      </c>
      <c r="C7" s="73">
        <f>'ERDR Iterations'!$K$63</f>
        <v>0</v>
      </c>
      <c r="D7" s="73">
        <f>'ERDR Iterations'!$K$64</f>
        <v>7.1117040273</v>
      </c>
      <c r="E7" s="77">
        <f>'ERDR Iterations'!$K$66</f>
        <v>3</v>
      </c>
      <c r="F7" s="76">
        <f>'ERDR Iterations'!$K$70</f>
        <v>4</v>
      </c>
      <c r="G7" s="76">
        <f>'ERDR Iterations'!$K$71</f>
        <v>3</v>
      </c>
      <c r="H7" s="76">
        <f>'ERDR Iterations'!$K$72</f>
        <v>3</v>
      </c>
      <c r="I7" s="101" t="str">
        <f>'ERDR Iterations'!$K$65</f>
        <v>{S₁, S₂, S₅}</v>
      </c>
      <c r="J7" s="101" t="str">
        <f>'ERDR Iterations'!$K$67</f>
        <v>|L| &gt; 1 → Step 5 corrects g</v>
      </c>
      <c r="K7" s="101" t="str">
        <f>'ERDR Iterations'!$K$68</f>
        <v>S₁: 2 → 1, S₂: 3 → 2, S₅: 2 → 1</v>
      </c>
      <c r="L7" s="101" t="str">
        <f>'ERDR Iterations'!$K$69</f>
        <v>S₁ (Step 5), S₅ (Step 5)</v>
      </c>
    </row>
    <row r="8">
      <c r="A8" s="77">
        <v>4</v>
      </c>
      <c r="B8" s="62" t="str">
        <f>IF('ERDR Iterations'!$K$87=0,"— stop",'ERDR Iterations'!$K$88)</f>
        <v>S₂</v>
      </c>
      <c r="C8" s="73">
        <f>'ERDR Iterations'!$K$89</f>
        <v>0.0795428388</v>
      </c>
      <c r="D8" s="73">
        <f>'ERDR Iterations'!$K$90</f>
        <v>7.4699698919</v>
      </c>
      <c r="E8" s="77">
        <f>'ERDR Iterations'!$K$92</f>
        <v>1</v>
      </c>
      <c r="F8" s="76">
        <f>'ERDR Iterations'!$K$96</f>
        <v>3</v>
      </c>
      <c r="G8" s="76">
        <f>'ERDR Iterations'!$K$97</f>
        <v>4</v>
      </c>
      <c r="H8" s="76">
        <f>'ERDR Iterations'!$K$98</f>
        <v>2</v>
      </c>
      <c r="I8" s="101" t="str">
        <f>'ERDR Iterations'!$K$91</f>
        <v>{S₂}</v>
      </c>
      <c r="J8" s="101" t="str">
        <f>'ERDR Iterations'!$K$93</f>
        <v>|L| = 1 → Sᵢ moves to D</v>
      </c>
      <c r="K8" s="101" t="str">
        <f>'ERDR Iterations'!$K$94</f>
        <v>—</v>
      </c>
      <c r="L8" s="101" t="str">
        <f>'ERDR Iterations'!$K$95</f>
        <v>S₂ (Step 4)</v>
      </c>
    </row>
    <row r="9">
      <c r="A9" s="77">
        <v>5</v>
      </c>
      <c r="B9" s="62" t="str">
        <f>IF('ERDR Iterations'!$K$113=0,"— stop",'ERDR Iterations'!$K$114)</f>
        <v>S₆</v>
      </c>
      <c r="C9" s="73">
        <f>'ERDR Iterations'!$K$115</f>
        <v>0.1692169896</v>
      </c>
      <c r="D9" s="73">
        <f>'ERDR Iterations'!$K$116</f>
        <v>3.7071187508</v>
      </c>
      <c r="E9" s="77">
        <f>'ERDR Iterations'!$K$118</f>
        <v>1</v>
      </c>
      <c r="F9" s="76">
        <f>'ERDR Iterations'!$K$122</f>
        <v>2</v>
      </c>
      <c r="G9" s="76">
        <f>'ERDR Iterations'!$K$123</f>
        <v>5</v>
      </c>
      <c r="H9" s="76">
        <f>'ERDR Iterations'!$K$124</f>
        <v>1</v>
      </c>
      <c r="I9" s="101" t="str">
        <f>'ERDR Iterations'!$K$117</f>
        <v>{S₃}</v>
      </c>
      <c r="J9" s="101" t="str">
        <f>'ERDR Iterations'!$K$119</f>
        <v>|L| = 1 → Sᵢ moves to D</v>
      </c>
      <c r="K9" s="101" t="str">
        <f>'ERDR Iterations'!$K$120</f>
        <v>—</v>
      </c>
      <c r="L9" s="101" t="str">
        <f>'ERDR Iterations'!$K$121</f>
        <v>S₆ (Step 4)</v>
      </c>
    </row>
    <row r="10">
      <c r="A10" s="77">
        <v>6</v>
      </c>
      <c r="B10" s="62" t="str">
        <f>IF('ERDR Iterations'!$K$139=0,"— stop",'ERDR Iterations'!$K$140)</f>
        <v>S₄</v>
      </c>
      <c r="C10" s="73">
        <f>'ERDR Iterations'!$K$141</f>
        <v>0.2529498997</v>
      </c>
      <c r="D10" s="73">
        <f>'ERDR Iterations'!$K$142</f>
        <v>3.7071187508</v>
      </c>
      <c r="E10" s="77">
        <f>'ERDR Iterations'!$K$144</f>
        <v>0</v>
      </c>
      <c r="F10" s="76">
        <f>'ERDR Iterations'!$K$148</f>
        <v>2</v>
      </c>
      <c r="G10" s="76">
        <f>'ERDR Iterations'!$K$149</f>
        <v>5</v>
      </c>
      <c r="H10" s="76">
        <f>'ERDR Iterations'!$K$150</f>
        <v>0</v>
      </c>
      <c r="I10" s="101" t="str">
        <f>'ERDR Iterations'!$K$143</f>
        <v>∅</v>
      </c>
      <c r="J10" s="101" t="str">
        <f>'ERDR Iterations'!$K$145</f>
        <v>|L| = 0 → Sᵢ is only blocked and stays in F</v>
      </c>
      <c r="K10" s="101" t="str">
        <f>'ERDR Iterations'!$K$146</f>
        <v>—</v>
      </c>
      <c r="L10" s="101" t="str">
        <f>'ERDR Iterations'!$K$147</f>
        <v>—</v>
      </c>
    </row>
    <row r="11">
      <c r="A11" s="77">
        <v>7</v>
      </c>
      <c r="B11" s="62" t="str">
        <f>IF('ERDR Iterations'!$K$165=0,"— stop",'ERDR Iterations'!$K$166)</f>
        <v>— stop</v>
      </c>
      <c r="C11" s="73" t="str">
        <f>'ERDR Iterations'!$K$167</f>
        <v>—</v>
      </c>
      <c r="D11" s="73" t="str">
        <f>'ERDR Iterations'!$K$168</f>
        <v>—</v>
      </c>
      <c r="E11" s="77">
        <f>'ERDR Iterations'!$K$170</f>
        <v>0</v>
      </c>
      <c r="F11" s="76">
        <f>'ERDR Iterations'!$K$174</f>
        <v>2</v>
      </c>
      <c r="G11" s="76">
        <f>'ERDR Iterations'!$K$175</f>
        <v>5</v>
      </c>
      <c r="H11" s="76">
        <f>'ERDR Iterations'!$K$176</f>
        <v>0</v>
      </c>
      <c r="I11" s="101" t="str">
        <f>'ERDR Iterations'!$K$169</f>
        <v>∅</v>
      </c>
      <c r="J11" s="101" t="str">
        <f>'ERDR Iterations'!$K$171</f>
        <v>Step 6 · stop</v>
      </c>
      <c r="K11" s="101" t="str">
        <f>'ERDR Iterations'!$K$172</f>
        <v>—</v>
      </c>
      <c r="L11" s="101" t="str">
        <f>'ERDR Iterations'!$K$173</f>
        <v>—</v>
      </c>
    </row>
    <row r="12">
      <c r="A12" s="90" t="inlineStr">
        <is>
          <t xml:space="preserve">Step 6</t>
        </is>
      </c>
      <c r="B12" s="92" t="str">
        <f>"Stop after "&amp;COUNTIF(B5:B11,"S*")&amp;" iterations  ·  D (training) = "&amp;'Training &amp; Validation'!$B$19&amp;"  ·  F (validation) = "&amp;'Training &amp; Validation'!$B$20</f>
        <v>Stop after 6 iterations  ·  D (training) = {S₁, S₂, S₅, S₆, S₇}  ·  F (validation) = {S₃, S₄}</v>
      </c>
      <c r="C12" s="92"/>
      <c r="D12" s="92"/>
      <c r="E12" s="92"/>
      <c r="F12" s="92"/>
      <c r="G12" s="92"/>
      <c r="H12" s="92"/>
      <c r="I12" s="92"/>
      <c r="J12" s="92"/>
      <c r="K12" s="92"/>
      <c r="L12" s="92"/>
    </row>
    <row r="13"/>
    <row r="14">
      <c r="A14" s="58" t="inlineStr">
        <is>
          <t xml:space="preserve">Step 3 · selected in iteration t</t>
        </is>
      </c>
      <c r="B14" s="58"/>
      <c r="C14" s="58"/>
      <c r="D14" s="58"/>
      <c r="E14" s="58"/>
      <c r="F14" s="58"/>
      <c r="G14" s="58"/>
      <c r="H14" s="58"/>
    </row>
    <row r="15">
      <c r="A15" s="60" t="inlineStr">
        <is>
          <t xml:space="preserve">t</t>
        </is>
      </c>
      <c r="B15" s="60" t="inlineStr">
        <is>
          <t xml:space="preserve">S₁</t>
        </is>
      </c>
      <c r="C15" s="60" t="inlineStr">
        <is>
          <t xml:space="preserve">S₂</t>
        </is>
      </c>
      <c r="D15" s="60" t="inlineStr">
        <is>
          <t xml:space="preserve">S₃</t>
        </is>
      </c>
      <c r="E15" s="60" t="inlineStr">
        <is>
          <t xml:space="preserve">S₄</t>
        </is>
      </c>
      <c r="F15" s="60" t="inlineStr">
        <is>
          <t xml:space="preserve">S₅</t>
        </is>
      </c>
      <c r="G15" s="60" t="inlineStr">
        <is>
          <t xml:space="preserve">S₆</t>
        </is>
      </c>
      <c r="H15" s="60" t="inlineStr">
        <is>
          <t xml:space="preserve">S₇</t>
        </is>
      </c>
    </row>
    <row r="16">
      <c r="A16" s="62">
        <v>1</v>
      </c>
      <c r="B16" s="76">
        <f>'ERDR Iterations'!B13</f>
        <v>1</v>
      </c>
      <c r="C16" s="76">
        <f>'ERDR Iterations'!C13</f>
        <v>0</v>
      </c>
      <c r="D16" s="76">
        <f>'ERDR Iterations'!D13</f>
        <v>0</v>
      </c>
      <c r="E16" s="76">
        <f>'ERDR Iterations'!E13</f>
        <v>0</v>
      </c>
      <c r="F16" s="76">
        <f>'ERDR Iterations'!F13</f>
        <v>0</v>
      </c>
      <c r="G16" s="76">
        <f>'ERDR Iterations'!G13</f>
        <v>0</v>
      </c>
      <c r="H16" s="76">
        <f>'ERDR Iterations'!H13</f>
        <v>0</v>
      </c>
    </row>
    <row r="17">
      <c r="A17" s="62">
        <v>2</v>
      </c>
      <c r="B17" s="76">
        <f>'ERDR Iterations'!B39</f>
        <v>0</v>
      </c>
      <c r="C17" s="76">
        <f>'ERDR Iterations'!C39</f>
        <v>0</v>
      </c>
      <c r="D17" s="76">
        <f>'ERDR Iterations'!D39</f>
        <v>1</v>
      </c>
      <c r="E17" s="76">
        <f>'ERDR Iterations'!E39</f>
        <v>0</v>
      </c>
      <c r="F17" s="76">
        <f>'ERDR Iterations'!F39</f>
        <v>0</v>
      </c>
      <c r="G17" s="76">
        <f>'ERDR Iterations'!G39</f>
        <v>0</v>
      </c>
      <c r="H17" s="76">
        <f>'ERDR Iterations'!H39</f>
        <v>0</v>
      </c>
    </row>
    <row r="18">
      <c r="A18" s="62">
        <v>3</v>
      </c>
      <c r="B18" s="76">
        <f>'ERDR Iterations'!B65</f>
        <v>0</v>
      </c>
      <c r="C18" s="76">
        <f>'ERDR Iterations'!C65</f>
        <v>0</v>
      </c>
      <c r="D18" s="76">
        <f>'ERDR Iterations'!D65</f>
        <v>0</v>
      </c>
      <c r="E18" s="76">
        <f>'ERDR Iterations'!E65</f>
        <v>0</v>
      </c>
      <c r="F18" s="76">
        <f>'ERDR Iterations'!F65</f>
        <v>1</v>
      </c>
      <c r="G18" s="76">
        <f>'ERDR Iterations'!G65</f>
        <v>0</v>
      </c>
      <c r="H18" s="76">
        <f>'ERDR Iterations'!H65</f>
        <v>0</v>
      </c>
    </row>
    <row r="19">
      <c r="A19" s="62">
        <v>4</v>
      </c>
      <c r="B19" s="76">
        <f>'ERDR Iterations'!B91</f>
        <v>0</v>
      </c>
      <c r="C19" s="76">
        <f>'ERDR Iterations'!C91</f>
        <v>1</v>
      </c>
      <c r="D19" s="76">
        <f>'ERDR Iterations'!D91</f>
        <v>0</v>
      </c>
      <c r="E19" s="76">
        <f>'ERDR Iterations'!E91</f>
        <v>0</v>
      </c>
      <c r="F19" s="76">
        <f>'ERDR Iterations'!F91</f>
        <v>0</v>
      </c>
      <c r="G19" s="76">
        <f>'ERDR Iterations'!G91</f>
        <v>0</v>
      </c>
      <c r="H19" s="76">
        <f>'ERDR Iterations'!H91</f>
        <v>0</v>
      </c>
    </row>
    <row r="20">
      <c r="A20" s="62">
        <v>5</v>
      </c>
      <c r="B20" s="76">
        <f>'ERDR Iterations'!B117</f>
        <v>0</v>
      </c>
      <c r="C20" s="76">
        <f>'ERDR Iterations'!C117</f>
        <v>0</v>
      </c>
      <c r="D20" s="76">
        <f>'ERDR Iterations'!D117</f>
        <v>0</v>
      </c>
      <c r="E20" s="76">
        <f>'ERDR Iterations'!E117</f>
        <v>0</v>
      </c>
      <c r="F20" s="76">
        <f>'ERDR Iterations'!F117</f>
        <v>0</v>
      </c>
      <c r="G20" s="76">
        <f>'ERDR Iterations'!G117</f>
        <v>1</v>
      </c>
      <c r="H20" s="76">
        <f>'ERDR Iterations'!H117</f>
        <v>0</v>
      </c>
    </row>
    <row r="21">
      <c r="A21" s="62">
        <v>6</v>
      </c>
      <c r="B21" s="76">
        <f>'ERDR Iterations'!B143</f>
        <v>0</v>
      </c>
      <c r="C21" s="76">
        <f>'ERDR Iterations'!C143</f>
        <v>0</v>
      </c>
      <c r="D21" s="76">
        <f>'ERDR Iterations'!D143</f>
        <v>0</v>
      </c>
      <c r="E21" s="76">
        <f>'ERDR Iterations'!E143</f>
        <v>1</v>
      </c>
      <c r="F21" s="76">
        <f>'ERDR Iterations'!F143</f>
        <v>0</v>
      </c>
      <c r="G21" s="76">
        <f>'ERDR Iterations'!G143</f>
        <v>0</v>
      </c>
      <c r="H21" s="76">
        <f>'ERDR Iterations'!H143</f>
        <v>0</v>
      </c>
    </row>
    <row r="22">
      <c r="A22" s="62">
        <v>7</v>
      </c>
      <c r="B22" s="76">
        <f>'ERDR Iterations'!B169</f>
        <v>0</v>
      </c>
      <c r="C22" s="76">
        <f>'ERDR Iterations'!C169</f>
        <v>0</v>
      </c>
      <c r="D22" s="76">
        <f>'ERDR Iterations'!D169</f>
        <v>0</v>
      </c>
      <c r="E22" s="76">
        <f>'ERDR Iterations'!E169</f>
        <v>0</v>
      </c>
      <c r="F22" s="76">
        <f>'ERDR Iterations'!F169</f>
        <v>0</v>
      </c>
      <c r="G22" s="76">
        <f>'ERDR Iterations'!G169</f>
        <v>0</v>
      </c>
      <c r="H22" s="76">
        <f>'ERDR Iterations'!H169</f>
        <v>0</v>
      </c>
    </row>
    <row r="23"/>
    <row r="24">
      <c r="A24" s="58" t="inlineStr">
        <is>
          <t xml:space="preserve">Step 4 · Sⱼ ∈ L</t>
        </is>
      </c>
      <c r="B24" s="58"/>
      <c r="C24" s="58"/>
      <c r="D24" s="58"/>
      <c r="E24" s="58"/>
      <c r="F24" s="58"/>
      <c r="G24" s="58"/>
      <c r="H24" s="58"/>
    </row>
    <row r="25">
      <c r="A25" s="60" t="inlineStr">
        <is>
          <t xml:space="preserve">t</t>
        </is>
      </c>
      <c r="B25" s="60" t="inlineStr">
        <is>
          <t xml:space="preserve">S₁</t>
        </is>
      </c>
      <c r="C25" s="60" t="inlineStr">
        <is>
          <t xml:space="preserve">S₂</t>
        </is>
      </c>
      <c r="D25" s="60" t="inlineStr">
        <is>
          <t xml:space="preserve">S₃</t>
        </is>
      </c>
      <c r="E25" s="60" t="inlineStr">
        <is>
          <t xml:space="preserve">S₄</t>
        </is>
      </c>
      <c r="F25" s="60" t="inlineStr">
        <is>
          <t xml:space="preserve">S₅</t>
        </is>
      </c>
      <c r="G25" s="60" t="inlineStr">
        <is>
          <t xml:space="preserve">S₆</t>
        </is>
      </c>
      <c r="H25" s="60" t="inlineStr">
        <is>
          <t xml:space="preserve">S₇</t>
        </is>
      </c>
    </row>
    <row r="26">
      <c r="A26" s="62">
        <v>1</v>
      </c>
      <c r="B26" s="76">
        <f>'ERDR Iterations'!B20</f>
        <v>1</v>
      </c>
      <c r="C26" s="76">
        <f>'ERDR Iterations'!C20</f>
        <v>1</v>
      </c>
      <c r="D26" s="76">
        <f>'ERDR Iterations'!D20</f>
        <v>0</v>
      </c>
      <c r="E26" s="76">
        <f>'ERDR Iterations'!E20</f>
        <v>0</v>
      </c>
      <c r="F26" s="76">
        <f>'ERDR Iterations'!F20</f>
        <v>1</v>
      </c>
      <c r="G26" s="76">
        <f>'ERDR Iterations'!G20</f>
        <v>0</v>
      </c>
      <c r="H26" s="76">
        <f>'ERDR Iterations'!H20</f>
        <v>0</v>
      </c>
    </row>
    <row r="27">
      <c r="A27" s="62">
        <v>2</v>
      </c>
      <c r="B27" s="76">
        <f>'ERDR Iterations'!B46</f>
        <v>0</v>
      </c>
      <c r="C27" s="76">
        <f>'ERDR Iterations'!C46</f>
        <v>0</v>
      </c>
      <c r="D27" s="76">
        <f>'ERDR Iterations'!D46</f>
        <v>1</v>
      </c>
      <c r="E27" s="76">
        <f>'ERDR Iterations'!E46</f>
        <v>0</v>
      </c>
      <c r="F27" s="76">
        <f>'ERDR Iterations'!F46</f>
        <v>0</v>
      </c>
      <c r="G27" s="76">
        <f>'ERDR Iterations'!G46</f>
        <v>0</v>
      </c>
      <c r="H27" s="76">
        <f>'ERDR Iterations'!H46</f>
        <v>1</v>
      </c>
    </row>
    <row r="28">
      <c r="A28" s="62">
        <v>3</v>
      </c>
      <c r="B28" s="76">
        <f>'ERDR Iterations'!B72</f>
        <v>1</v>
      </c>
      <c r="C28" s="76">
        <f>'ERDR Iterations'!C72</f>
        <v>1</v>
      </c>
      <c r="D28" s="76">
        <f>'ERDR Iterations'!D72</f>
        <v>0</v>
      </c>
      <c r="E28" s="76">
        <f>'ERDR Iterations'!E72</f>
        <v>0</v>
      </c>
      <c r="F28" s="76">
        <f>'ERDR Iterations'!F72</f>
        <v>1</v>
      </c>
      <c r="G28" s="76">
        <f>'ERDR Iterations'!G72</f>
        <v>0</v>
      </c>
      <c r="H28" s="76">
        <f>'ERDR Iterations'!H72</f>
        <v>0</v>
      </c>
    </row>
    <row r="29">
      <c r="A29" s="62">
        <v>4</v>
      </c>
      <c r="B29" s="76">
        <f>'ERDR Iterations'!B98</f>
        <v>0</v>
      </c>
      <c r="C29" s="76">
        <f>'ERDR Iterations'!C98</f>
        <v>1</v>
      </c>
      <c r="D29" s="76">
        <f>'ERDR Iterations'!D98</f>
        <v>0</v>
      </c>
      <c r="E29" s="76">
        <f>'ERDR Iterations'!E98</f>
        <v>0</v>
      </c>
      <c r="F29" s="76">
        <f>'ERDR Iterations'!F98</f>
        <v>0</v>
      </c>
      <c r="G29" s="76">
        <f>'ERDR Iterations'!G98</f>
        <v>0</v>
      </c>
      <c r="H29" s="76">
        <f>'ERDR Iterations'!H98</f>
        <v>0</v>
      </c>
    </row>
    <row r="30">
      <c r="A30" s="62">
        <v>5</v>
      </c>
      <c r="B30" s="76">
        <f>'ERDR Iterations'!B124</f>
        <v>0</v>
      </c>
      <c r="C30" s="76">
        <f>'ERDR Iterations'!C124</f>
        <v>0</v>
      </c>
      <c r="D30" s="76">
        <f>'ERDR Iterations'!D124</f>
        <v>1</v>
      </c>
      <c r="E30" s="76">
        <f>'ERDR Iterations'!E124</f>
        <v>0</v>
      </c>
      <c r="F30" s="76">
        <f>'ERDR Iterations'!F124</f>
        <v>0</v>
      </c>
      <c r="G30" s="76">
        <f>'ERDR Iterations'!G124</f>
        <v>0</v>
      </c>
      <c r="H30" s="76">
        <f>'ERDR Iterations'!H124</f>
        <v>0</v>
      </c>
    </row>
    <row r="31">
      <c r="A31" s="62">
        <v>6</v>
      </c>
      <c r="B31" s="76">
        <f>'ERDR Iterations'!B150</f>
        <v>0</v>
      </c>
      <c r="C31" s="76">
        <f>'ERDR Iterations'!C150</f>
        <v>0</v>
      </c>
      <c r="D31" s="76">
        <f>'ERDR Iterations'!D150</f>
        <v>0</v>
      </c>
      <c r="E31" s="76">
        <f>'ERDR Iterations'!E150</f>
        <v>0</v>
      </c>
      <c r="F31" s="76">
        <f>'ERDR Iterations'!F150</f>
        <v>0</v>
      </c>
      <c r="G31" s="76">
        <f>'ERDR Iterations'!G150</f>
        <v>0</v>
      </c>
      <c r="H31" s="76">
        <f>'ERDR Iterations'!H150</f>
        <v>0</v>
      </c>
    </row>
    <row r="32">
      <c r="A32" s="62">
        <v>7</v>
      </c>
      <c r="B32" s="76">
        <f>'ERDR Iterations'!B176</f>
        <v>0</v>
      </c>
      <c r="C32" s="76">
        <f>'ERDR Iterations'!C176</f>
        <v>0</v>
      </c>
      <c r="D32" s="76">
        <f>'ERDR Iterations'!D176</f>
        <v>0</v>
      </c>
      <c r="E32" s="76">
        <f>'ERDR Iterations'!E176</f>
        <v>0</v>
      </c>
      <c r="F32" s="76">
        <f>'ERDR Iterations'!F176</f>
        <v>0</v>
      </c>
      <c r="G32" s="76">
        <f>'ERDR Iterations'!G176</f>
        <v>0</v>
      </c>
      <c r="H32" s="76">
        <f>'ERDR Iterations'!H176</f>
        <v>0</v>
      </c>
    </row>
    <row r="33"/>
    <row r="34">
      <c r="A34" s="58" t="inlineStr">
        <is>
          <t xml:space="preserve">Step 5 · counter decreased</t>
        </is>
      </c>
      <c r="B34" s="58"/>
      <c r="C34" s="58"/>
      <c r="D34" s="58"/>
      <c r="E34" s="58"/>
      <c r="F34" s="58"/>
      <c r="G34" s="58"/>
      <c r="H34" s="58"/>
    </row>
    <row r="35">
      <c r="A35" s="60" t="inlineStr">
        <is>
          <t xml:space="preserve">t</t>
        </is>
      </c>
      <c r="B35" s="60" t="inlineStr">
        <is>
          <t xml:space="preserve">S₁</t>
        </is>
      </c>
      <c r="C35" s="60" t="inlineStr">
        <is>
          <t xml:space="preserve">S₂</t>
        </is>
      </c>
      <c r="D35" s="60" t="inlineStr">
        <is>
          <t xml:space="preserve">S₃</t>
        </is>
      </c>
      <c r="E35" s="60" t="inlineStr">
        <is>
          <t xml:space="preserve">S₄</t>
        </is>
      </c>
      <c r="F35" s="60" t="inlineStr">
        <is>
          <t xml:space="preserve">S₅</t>
        </is>
      </c>
      <c r="G35" s="60" t="inlineStr">
        <is>
          <t xml:space="preserve">S₆</t>
        </is>
      </c>
      <c r="H35" s="60" t="inlineStr">
        <is>
          <t xml:space="preserve">S₇</t>
        </is>
      </c>
    </row>
    <row r="36">
      <c r="A36" s="62">
        <v>1</v>
      </c>
      <c r="B36" s="76">
        <f>'ERDR Iterations'!B22</f>
        <v>1</v>
      </c>
      <c r="C36" s="76">
        <f>'ERDR Iterations'!C22</f>
        <v>1</v>
      </c>
      <c r="D36" s="76">
        <f>'ERDR Iterations'!D22</f>
        <v>0</v>
      </c>
      <c r="E36" s="76">
        <f>'ERDR Iterations'!E22</f>
        <v>0</v>
      </c>
      <c r="F36" s="76">
        <f>'ERDR Iterations'!F22</f>
        <v>1</v>
      </c>
      <c r="G36" s="76">
        <f>'ERDR Iterations'!G22</f>
        <v>0</v>
      </c>
      <c r="H36" s="76">
        <f>'ERDR Iterations'!H22</f>
        <v>0</v>
      </c>
    </row>
    <row r="37">
      <c r="A37" s="62">
        <v>2</v>
      </c>
      <c r="B37" s="76">
        <f>'ERDR Iterations'!B48</f>
        <v>0</v>
      </c>
      <c r="C37" s="76">
        <f>'ERDR Iterations'!C48</f>
        <v>0</v>
      </c>
      <c r="D37" s="76">
        <f>'ERDR Iterations'!D48</f>
        <v>1</v>
      </c>
      <c r="E37" s="76">
        <f>'ERDR Iterations'!E48</f>
        <v>0</v>
      </c>
      <c r="F37" s="76">
        <f>'ERDR Iterations'!F48</f>
        <v>0</v>
      </c>
      <c r="G37" s="76">
        <f>'ERDR Iterations'!G48</f>
        <v>0</v>
      </c>
      <c r="H37" s="76">
        <f>'ERDR Iterations'!H48</f>
        <v>1</v>
      </c>
    </row>
    <row r="38">
      <c r="A38" s="62">
        <v>3</v>
      </c>
      <c r="B38" s="76">
        <f>'ERDR Iterations'!B74</f>
        <v>1</v>
      </c>
      <c r="C38" s="76">
        <f>'ERDR Iterations'!C74</f>
        <v>1</v>
      </c>
      <c r="D38" s="76">
        <f>'ERDR Iterations'!D74</f>
        <v>0</v>
      </c>
      <c r="E38" s="76">
        <f>'ERDR Iterations'!E74</f>
        <v>0</v>
      </c>
      <c r="F38" s="76">
        <f>'ERDR Iterations'!F74</f>
        <v>1</v>
      </c>
      <c r="G38" s="76">
        <f>'ERDR Iterations'!G74</f>
        <v>0</v>
      </c>
      <c r="H38" s="76">
        <f>'ERDR Iterations'!H74</f>
        <v>0</v>
      </c>
    </row>
    <row r="39">
      <c r="A39" s="62">
        <v>4</v>
      </c>
      <c r="B39" s="76">
        <f>'ERDR Iterations'!B100</f>
        <v>0</v>
      </c>
      <c r="C39" s="76">
        <f>'ERDR Iterations'!C100</f>
        <v>0</v>
      </c>
      <c r="D39" s="76">
        <f>'ERDR Iterations'!D100</f>
        <v>0</v>
      </c>
      <c r="E39" s="76">
        <f>'ERDR Iterations'!E100</f>
        <v>0</v>
      </c>
      <c r="F39" s="76">
        <f>'ERDR Iterations'!F100</f>
        <v>0</v>
      </c>
      <c r="G39" s="76">
        <f>'ERDR Iterations'!G100</f>
        <v>0</v>
      </c>
      <c r="H39" s="76">
        <f>'ERDR Iterations'!H100</f>
        <v>0</v>
      </c>
    </row>
    <row r="40">
      <c r="A40" s="62">
        <v>5</v>
      </c>
      <c r="B40" s="76">
        <f>'ERDR Iterations'!B126</f>
        <v>0</v>
      </c>
      <c r="C40" s="76">
        <f>'ERDR Iterations'!C126</f>
        <v>0</v>
      </c>
      <c r="D40" s="76">
        <f>'ERDR Iterations'!D126</f>
        <v>0</v>
      </c>
      <c r="E40" s="76">
        <f>'ERDR Iterations'!E126</f>
        <v>0</v>
      </c>
      <c r="F40" s="76">
        <f>'ERDR Iterations'!F126</f>
        <v>0</v>
      </c>
      <c r="G40" s="76">
        <f>'ERDR Iterations'!G126</f>
        <v>0</v>
      </c>
      <c r="H40" s="76">
        <f>'ERDR Iterations'!H126</f>
        <v>0</v>
      </c>
    </row>
    <row r="41">
      <c r="A41" s="62">
        <v>6</v>
      </c>
      <c r="B41" s="76">
        <f>'ERDR Iterations'!B152</f>
        <v>0</v>
      </c>
      <c r="C41" s="76">
        <f>'ERDR Iterations'!C152</f>
        <v>0</v>
      </c>
      <c r="D41" s="76">
        <f>'ERDR Iterations'!D152</f>
        <v>0</v>
      </c>
      <c r="E41" s="76">
        <f>'ERDR Iterations'!E152</f>
        <v>0</v>
      </c>
      <c r="F41" s="76">
        <f>'ERDR Iterations'!F152</f>
        <v>0</v>
      </c>
      <c r="G41" s="76">
        <f>'ERDR Iterations'!G152</f>
        <v>0</v>
      </c>
      <c r="H41" s="76">
        <f>'ERDR Iterations'!H152</f>
        <v>0</v>
      </c>
    </row>
    <row r="42">
      <c r="A42" s="62">
        <v>7</v>
      </c>
      <c r="B42" s="76">
        <f>'ERDR Iterations'!B178</f>
        <v>0</v>
      </c>
      <c r="C42" s="76">
        <f>'ERDR Iterations'!C178</f>
        <v>0</v>
      </c>
      <c r="D42" s="76">
        <f>'ERDR Iterations'!D178</f>
        <v>0</v>
      </c>
      <c r="E42" s="76">
        <f>'ERDR Iterations'!E178</f>
        <v>0</v>
      </c>
      <c r="F42" s="76">
        <f>'ERDR Iterations'!F178</f>
        <v>0</v>
      </c>
      <c r="G42" s="76">
        <f>'ERDR Iterations'!G178</f>
        <v>0</v>
      </c>
      <c r="H42" s="76">
        <f>'ERDR Iterations'!H178</f>
        <v>0</v>
      </c>
    </row>
    <row r="43"/>
    <row r="44">
      <c r="A44" s="58" t="inlineStr">
        <is>
          <t xml:space="preserve">Step 4 · moved to D (|L| = 1)</t>
        </is>
      </c>
      <c r="B44" s="58"/>
      <c r="C44" s="58"/>
      <c r="D44" s="58"/>
      <c r="E44" s="58"/>
      <c r="F44" s="58"/>
      <c r="G44" s="58"/>
      <c r="H44" s="58"/>
    </row>
    <row r="45">
      <c r="A45" s="60" t="inlineStr">
        <is>
          <t xml:space="preserve">t</t>
        </is>
      </c>
      <c r="B45" s="60" t="inlineStr">
        <is>
          <t xml:space="preserve">S₁</t>
        </is>
      </c>
      <c r="C45" s="60" t="inlineStr">
        <is>
          <t xml:space="preserve">S₂</t>
        </is>
      </c>
      <c r="D45" s="60" t="inlineStr">
        <is>
          <t xml:space="preserve">S₃</t>
        </is>
      </c>
      <c r="E45" s="60" t="inlineStr">
        <is>
          <t xml:space="preserve">S₄</t>
        </is>
      </c>
      <c r="F45" s="60" t="inlineStr">
        <is>
          <t xml:space="preserve">S₅</t>
        </is>
      </c>
      <c r="G45" s="60" t="inlineStr">
        <is>
          <t xml:space="preserve">S₆</t>
        </is>
      </c>
      <c r="H45" s="60" t="inlineStr">
        <is>
          <t xml:space="preserve">S₇</t>
        </is>
      </c>
    </row>
    <row r="46">
      <c r="A46" s="62">
        <v>1</v>
      </c>
      <c r="B46" s="76">
        <f>'ERDR Iterations'!B21</f>
        <v>0</v>
      </c>
      <c r="C46" s="76">
        <f>'ERDR Iterations'!C21</f>
        <v>0</v>
      </c>
      <c r="D46" s="76">
        <f>'ERDR Iterations'!D21</f>
        <v>0</v>
      </c>
      <c r="E46" s="76">
        <f>'ERDR Iterations'!E21</f>
        <v>0</v>
      </c>
      <c r="F46" s="76">
        <f>'ERDR Iterations'!F21</f>
        <v>0</v>
      </c>
      <c r="G46" s="76">
        <f>'ERDR Iterations'!G21</f>
        <v>0</v>
      </c>
      <c r="H46" s="76">
        <f>'ERDR Iterations'!H21</f>
        <v>0</v>
      </c>
    </row>
    <row r="47">
      <c r="A47" s="62">
        <v>2</v>
      </c>
      <c r="B47" s="76">
        <f>'ERDR Iterations'!B47</f>
        <v>0</v>
      </c>
      <c r="C47" s="76">
        <f>'ERDR Iterations'!C47</f>
        <v>0</v>
      </c>
      <c r="D47" s="76">
        <f>'ERDR Iterations'!D47</f>
        <v>0</v>
      </c>
      <c r="E47" s="76">
        <f>'ERDR Iterations'!E47</f>
        <v>0</v>
      </c>
      <c r="F47" s="76">
        <f>'ERDR Iterations'!F47</f>
        <v>0</v>
      </c>
      <c r="G47" s="76">
        <f>'ERDR Iterations'!G47</f>
        <v>0</v>
      </c>
      <c r="H47" s="76">
        <f>'ERDR Iterations'!H47</f>
        <v>0</v>
      </c>
    </row>
    <row r="48">
      <c r="A48" s="62">
        <v>3</v>
      </c>
      <c r="B48" s="76">
        <f>'ERDR Iterations'!B73</f>
        <v>0</v>
      </c>
      <c r="C48" s="76">
        <f>'ERDR Iterations'!C73</f>
        <v>0</v>
      </c>
      <c r="D48" s="76">
        <f>'ERDR Iterations'!D73</f>
        <v>0</v>
      </c>
      <c r="E48" s="76">
        <f>'ERDR Iterations'!E73</f>
        <v>0</v>
      </c>
      <c r="F48" s="76">
        <f>'ERDR Iterations'!F73</f>
        <v>0</v>
      </c>
      <c r="G48" s="76">
        <f>'ERDR Iterations'!G73</f>
        <v>0</v>
      </c>
      <c r="H48" s="76">
        <f>'ERDR Iterations'!H73</f>
        <v>0</v>
      </c>
    </row>
    <row r="49">
      <c r="A49" s="62">
        <v>4</v>
      </c>
      <c r="B49" s="76">
        <f>'ERDR Iterations'!B99</f>
        <v>0</v>
      </c>
      <c r="C49" s="76">
        <f>'ERDR Iterations'!C99</f>
        <v>1</v>
      </c>
      <c r="D49" s="76">
        <f>'ERDR Iterations'!D99</f>
        <v>0</v>
      </c>
      <c r="E49" s="76">
        <f>'ERDR Iterations'!E99</f>
        <v>0</v>
      </c>
      <c r="F49" s="76">
        <f>'ERDR Iterations'!F99</f>
        <v>0</v>
      </c>
      <c r="G49" s="76">
        <f>'ERDR Iterations'!G99</f>
        <v>0</v>
      </c>
      <c r="H49" s="76">
        <f>'ERDR Iterations'!H99</f>
        <v>0</v>
      </c>
    </row>
    <row r="50">
      <c r="A50" s="62">
        <v>5</v>
      </c>
      <c r="B50" s="76">
        <f>'ERDR Iterations'!B125</f>
        <v>0</v>
      </c>
      <c r="C50" s="76">
        <f>'ERDR Iterations'!C125</f>
        <v>0</v>
      </c>
      <c r="D50" s="76">
        <f>'ERDR Iterations'!D125</f>
        <v>0</v>
      </c>
      <c r="E50" s="76">
        <f>'ERDR Iterations'!E125</f>
        <v>0</v>
      </c>
      <c r="F50" s="76">
        <f>'ERDR Iterations'!F125</f>
        <v>0</v>
      </c>
      <c r="G50" s="76">
        <f>'ERDR Iterations'!G125</f>
        <v>1</v>
      </c>
      <c r="H50" s="76">
        <f>'ERDR Iterations'!H125</f>
        <v>0</v>
      </c>
    </row>
    <row r="51">
      <c r="A51" s="62">
        <v>6</v>
      </c>
      <c r="B51" s="76">
        <f>'ERDR Iterations'!B151</f>
        <v>0</v>
      </c>
      <c r="C51" s="76">
        <f>'ERDR Iterations'!C151</f>
        <v>0</v>
      </c>
      <c r="D51" s="76">
        <f>'ERDR Iterations'!D151</f>
        <v>0</v>
      </c>
      <c r="E51" s="76">
        <f>'ERDR Iterations'!E151</f>
        <v>0</v>
      </c>
      <c r="F51" s="76">
        <f>'ERDR Iterations'!F151</f>
        <v>0</v>
      </c>
      <c r="G51" s="76">
        <f>'ERDR Iterations'!G151</f>
        <v>0</v>
      </c>
      <c r="H51" s="76">
        <f>'ERDR Iterations'!H151</f>
        <v>0</v>
      </c>
    </row>
    <row r="52">
      <c r="A52" s="62">
        <v>7</v>
      </c>
      <c r="B52" s="76">
        <f>'ERDR Iterations'!B177</f>
        <v>0</v>
      </c>
      <c r="C52" s="76">
        <f>'ERDR Iterations'!C177</f>
        <v>0</v>
      </c>
      <c r="D52" s="76">
        <f>'ERDR Iterations'!D177</f>
        <v>0</v>
      </c>
      <c r="E52" s="76">
        <f>'ERDR Iterations'!E177</f>
        <v>0</v>
      </c>
      <c r="F52" s="76">
        <f>'ERDR Iterations'!F177</f>
        <v>0</v>
      </c>
      <c r="G52" s="76">
        <f>'ERDR Iterations'!G177</f>
        <v>0</v>
      </c>
      <c r="H52" s="76">
        <f>'ERDR Iterations'!H177</f>
        <v>0</v>
      </c>
    </row>
    <row r="53"/>
    <row r="54">
      <c r="A54" s="58" t="inlineStr">
        <is>
          <t xml:space="preserve">Moved to D (Step 4 or Step 5)</t>
        </is>
      </c>
      <c r="B54" s="58"/>
      <c r="C54" s="58"/>
      <c r="D54" s="58"/>
      <c r="E54" s="58"/>
      <c r="F54" s="58"/>
      <c r="G54" s="58"/>
      <c r="H54" s="58"/>
    </row>
    <row r="55">
      <c r="A55" s="60" t="inlineStr">
        <is>
          <t xml:space="preserve">t</t>
        </is>
      </c>
      <c r="B55" s="60" t="inlineStr">
        <is>
          <t xml:space="preserve">S₁</t>
        </is>
      </c>
      <c r="C55" s="60" t="inlineStr">
        <is>
          <t xml:space="preserve">S₂</t>
        </is>
      </c>
      <c r="D55" s="60" t="inlineStr">
        <is>
          <t xml:space="preserve">S₃</t>
        </is>
      </c>
      <c r="E55" s="60" t="inlineStr">
        <is>
          <t xml:space="preserve">S₄</t>
        </is>
      </c>
      <c r="F55" s="60" t="inlineStr">
        <is>
          <t xml:space="preserve">S₅</t>
        </is>
      </c>
      <c r="G55" s="60" t="inlineStr">
        <is>
          <t xml:space="preserve">S₆</t>
        </is>
      </c>
      <c r="H55" s="60" t="inlineStr">
        <is>
          <t xml:space="preserve">S₇</t>
        </is>
      </c>
    </row>
    <row r="56">
      <c r="A56" s="62">
        <v>1</v>
      </c>
      <c r="B56" s="76">
        <f>'ERDR Iterations'!B25</f>
        <v>0</v>
      </c>
      <c r="C56" s="76">
        <f>'ERDR Iterations'!C25</f>
        <v>0</v>
      </c>
      <c r="D56" s="76">
        <f>'ERDR Iterations'!D25</f>
        <v>0</v>
      </c>
      <c r="E56" s="76">
        <f>'ERDR Iterations'!E25</f>
        <v>0</v>
      </c>
      <c r="F56" s="76">
        <f>'ERDR Iterations'!F25</f>
        <v>0</v>
      </c>
      <c r="G56" s="76">
        <f>'ERDR Iterations'!G25</f>
        <v>0</v>
      </c>
      <c r="H56" s="76">
        <f>'ERDR Iterations'!H25</f>
        <v>0</v>
      </c>
    </row>
    <row r="57">
      <c r="A57" s="62">
        <v>2</v>
      </c>
      <c r="B57" s="76">
        <f>'ERDR Iterations'!B51</f>
        <v>0</v>
      </c>
      <c r="C57" s="76">
        <f>'ERDR Iterations'!C51</f>
        <v>0</v>
      </c>
      <c r="D57" s="76">
        <f>'ERDR Iterations'!D51</f>
        <v>0</v>
      </c>
      <c r="E57" s="76">
        <f>'ERDR Iterations'!E51</f>
        <v>0</v>
      </c>
      <c r="F57" s="76">
        <f>'ERDR Iterations'!F51</f>
        <v>0</v>
      </c>
      <c r="G57" s="76">
        <f>'ERDR Iterations'!G51</f>
        <v>0</v>
      </c>
      <c r="H57" s="76">
        <f>'ERDR Iterations'!H51</f>
        <v>1</v>
      </c>
    </row>
    <row r="58">
      <c r="A58" s="62">
        <v>3</v>
      </c>
      <c r="B58" s="76">
        <f>'ERDR Iterations'!B77</f>
        <v>1</v>
      </c>
      <c r="C58" s="76">
        <f>'ERDR Iterations'!C77</f>
        <v>0</v>
      </c>
      <c r="D58" s="76">
        <f>'ERDR Iterations'!D77</f>
        <v>0</v>
      </c>
      <c r="E58" s="76">
        <f>'ERDR Iterations'!E77</f>
        <v>0</v>
      </c>
      <c r="F58" s="76">
        <f>'ERDR Iterations'!F77</f>
        <v>1</v>
      </c>
      <c r="G58" s="76">
        <f>'ERDR Iterations'!G77</f>
        <v>0</v>
      </c>
      <c r="H58" s="76">
        <f>'ERDR Iterations'!H77</f>
        <v>0</v>
      </c>
    </row>
    <row r="59">
      <c r="A59" s="62">
        <v>4</v>
      </c>
      <c r="B59" s="76">
        <f>'ERDR Iterations'!B103</f>
        <v>0</v>
      </c>
      <c r="C59" s="76">
        <f>'ERDR Iterations'!C103</f>
        <v>1</v>
      </c>
      <c r="D59" s="76">
        <f>'ERDR Iterations'!D103</f>
        <v>0</v>
      </c>
      <c r="E59" s="76">
        <f>'ERDR Iterations'!E103</f>
        <v>0</v>
      </c>
      <c r="F59" s="76">
        <f>'ERDR Iterations'!F103</f>
        <v>0</v>
      </c>
      <c r="G59" s="76">
        <f>'ERDR Iterations'!G103</f>
        <v>0</v>
      </c>
      <c r="H59" s="76">
        <f>'ERDR Iterations'!H103</f>
        <v>0</v>
      </c>
    </row>
    <row r="60">
      <c r="A60" s="62">
        <v>5</v>
      </c>
      <c r="B60" s="76">
        <f>'ERDR Iterations'!B129</f>
        <v>0</v>
      </c>
      <c r="C60" s="76">
        <f>'ERDR Iterations'!C129</f>
        <v>0</v>
      </c>
      <c r="D60" s="76">
        <f>'ERDR Iterations'!D129</f>
        <v>0</v>
      </c>
      <c r="E60" s="76">
        <f>'ERDR Iterations'!E129</f>
        <v>0</v>
      </c>
      <c r="F60" s="76">
        <f>'ERDR Iterations'!F129</f>
        <v>0</v>
      </c>
      <c r="G60" s="76">
        <f>'ERDR Iterations'!G129</f>
        <v>1</v>
      </c>
      <c r="H60" s="76">
        <f>'ERDR Iterations'!H129</f>
        <v>0</v>
      </c>
    </row>
    <row r="61">
      <c r="A61" s="62">
        <v>6</v>
      </c>
      <c r="B61" s="76">
        <f>'ERDR Iterations'!B155</f>
        <v>0</v>
      </c>
      <c r="C61" s="76">
        <f>'ERDR Iterations'!C155</f>
        <v>0</v>
      </c>
      <c r="D61" s="76">
        <f>'ERDR Iterations'!D155</f>
        <v>0</v>
      </c>
      <c r="E61" s="76">
        <f>'ERDR Iterations'!E155</f>
        <v>0</v>
      </c>
      <c r="F61" s="76">
        <f>'ERDR Iterations'!F155</f>
        <v>0</v>
      </c>
      <c r="G61" s="76">
        <f>'ERDR Iterations'!G155</f>
        <v>0</v>
      </c>
      <c r="H61" s="76">
        <f>'ERDR Iterations'!H155</f>
        <v>0</v>
      </c>
    </row>
    <row r="62">
      <c r="A62" s="62">
        <v>7</v>
      </c>
      <c r="B62" s="76">
        <f>'ERDR Iterations'!B181</f>
        <v>0</v>
      </c>
      <c r="C62" s="76">
        <f>'ERDR Iterations'!C181</f>
        <v>0</v>
      </c>
      <c r="D62" s="76">
        <f>'ERDR Iterations'!D181</f>
        <v>0</v>
      </c>
      <c r="E62" s="76">
        <f>'ERDR Iterations'!E181</f>
        <v>0</v>
      </c>
      <c r="F62" s="76">
        <f>'ERDR Iterations'!F181</f>
        <v>0</v>
      </c>
      <c r="G62" s="76">
        <f>'ERDR Iterations'!G181</f>
        <v>0</v>
      </c>
      <c r="H62" s="76">
        <f>'ERDR Iterations'!H181</f>
        <v>0</v>
      </c>
    </row>
    <row r="63"/>
    <row r="64">
      <c r="A64" s="58" t="inlineStr">
        <is>
          <t xml:space="preserve">In F after iteration t  (start = E₀)</t>
        </is>
      </c>
      <c r="B64" s="58"/>
      <c r="C64" s="58"/>
      <c r="D64" s="58"/>
      <c r="E64" s="58"/>
      <c r="F64" s="58"/>
      <c r="G64" s="58"/>
      <c r="H64" s="58"/>
    </row>
    <row r="65">
      <c r="A65" s="60" t="inlineStr">
        <is>
          <t xml:space="preserve">t</t>
        </is>
      </c>
      <c r="B65" s="60" t="inlineStr">
        <is>
          <t xml:space="preserve">S₁</t>
        </is>
      </c>
      <c r="C65" s="60" t="inlineStr">
        <is>
          <t xml:space="preserve">S₂</t>
        </is>
      </c>
      <c r="D65" s="60" t="inlineStr">
        <is>
          <t xml:space="preserve">S₃</t>
        </is>
      </c>
      <c r="E65" s="60" t="inlineStr">
        <is>
          <t xml:space="preserve">S₄</t>
        </is>
      </c>
      <c r="F65" s="60" t="inlineStr">
        <is>
          <t xml:space="preserve">S₅</t>
        </is>
      </c>
      <c r="G65" s="60" t="inlineStr">
        <is>
          <t xml:space="preserve">S₆</t>
        </is>
      </c>
      <c r="H65" s="60" t="inlineStr">
        <is>
          <t xml:space="preserve">S₇</t>
        </is>
      </c>
    </row>
    <row r="66">
      <c r="A66" s="62" t="inlineStr">
        <is>
          <t xml:space="preserve">start</t>
        </is>
      </c>
      <c r="B66" s="76">
        <v>1</v>
      </c>
      <c r="C66" s="76">
        <v>1</v>
      </c>
      <c r="D66" s="76">
        <v>1</v>
      </c>
      <c r="E66" s="76">
        <v>1</v>
      </c>
      <c r="F66" s="76">
        <v>1</v>
      </c>
      <c r="G66" s="76">
        <v>1</v>
      </c>
      <c r="H66" s="76">
        <v>1</v>
      </c>
    </row>
    <row r="67">
      <c r="A67" s="62">
        <v>1</v>
      </c>
      <c r="B67" s="76">
        <f>'ERDR Iterations'!B26</f>
        <v>1</v>
      </c>
      <c r="C67" s="76">
        <f>'ERDR Iterations'!C26</f>
        <v>1</v>
      </c>
      <c r="D67" s="76">
        <f>'ERDR Iterations'!D26</f>
        <v>1</v>
      </c>
      <c r="E67" s="76">
        <f>'ERDR Iterations'!E26</f>
        <v>1</v>
      </c>
      <c r="F67" s="76">
        <f>'ERDR Iterations'!F26</f>
        <v>1</v>
      </c>
      <c r="G67" s="76">
        <f>'ERDR Iterations'!G26</f>
        <v>1</v>
      </c>
      <c r="H67" s="76">
        <f>'ERDR Iterations'!H26</f>
        <v>1</v>
      </c>
    </row>
    <row r="68">
      <c r="A68" s="62">
        <v>2</v>
      </c>
      <c r="B68" s="76">
        <f>'ERDR Iterations'!B52</f>
        <v>1</v>
      </c>
      <c r="C68" s="76">
        <f>'ERDR Iterations'!C52</f>
        <v>1</v>
      </c>
      <c r="D68" s="76">
        <f>'ERDR Iterations'!D52</f>
        <v>1</v>
      </c>
      <c r="E68" s="76">
        <f>'ERDR Iterations'!E52</f>
        <v>1</v>
      </c>
      <c r="F68" s="76">
        <f>'ERDR Iterations'!F52</f>
        <v>1</v>
      </c>
      <c r="G68" s="76">
        <f>'ERDR Iterations'!G52</f>
        <v>1</v>
      </c>
      <c r="H68" s="76">
        <f>'ERDR Iterations'!H52</f>
        <v>0</v>
      </c>
    </row>
    <row r="69">
      <c r="A69" s="62">
        <v>3</v>
      </c>
      <c r="B69" s="76">
        <f>'ERDR Iterations'!B78</f>
        <v>0</v>
      </c>
      <c r="C69" s="76">
        <f>'ERDR Iterations'!C78</f>
        <v>1</v>
      </c>
      <c r="D69" s="76">
        <f>'ERDR Iterations'!D78</f>
        <v>1</v>
      </c>
      <c r="E69" s="76">
        <f>'ERDR Iterations'!E78</f>
        <v>1</v>
      </c>
      <c r="F69" s="76">
        <f>'ERDR Iterations'!F78</f>
        <v>0</v>
      </c>
      <c r="G69" s="76">
        <f>'ERDR Iterations'!G78</f>
        <v>1</v>
      </c>
      <c r="H69" s="76">
        <f>'ERDR Iterations'!H78</f>
        <v>0</v>
      </c>
    </row>
    <row r="70">
      <c r="A70" s="62">
        <v>4</v>
      </c>
      <c r="B70" s="76">
        <f>'ERDR Iterations'!B104</f>
        <v>0</v>
      </c>
      <c r="C70" s="76">
        <f>'ERDR Iterations'!C104</f>
        <v>0</v>
      </c>
      <c r="D70" s="76">
        <f>'ERDR Iterations'!D104</f>
        <v>1</v>
      </c>
      <c r="E70" s="76">
        <f>'ERDR Iterations'!E104</f>
        <v>1</v>
      </c>
      <c r="F70" s="76">
        <f>'ERDR Iterations'!F104</f>
        <v>0</v>
      </c>
      <c r="G70" s="76">
        <f>'ERDR Iterations'!G104</f>
        <v>1</v>
      </c>
      <c r="H70" s="76">
        <f>'ERDR Iterations'!H104</f>
        <v>0</v>
      </c>
    </row>
    <row r="71">
      <c r="A71" s="62">
        <v>5</v>
      </c>
      <c r="B71" s="76">
        <f>'ERDR Iterations'!B130</f>
        <v>0</v>
      </c>
      <c r="C71" s="76">
        <f>'ERDR Iterations'!C130</f>
        <v>0</v>
      </c>
      <c r="D71" s="76">
        <f>'ERDR Iterations'!D130</f>
        <v>1</v>
      </c>
      <c r="E71" s="76">
        <f>'ERDR Iterations'!E130</f>
        <v>1</v>
      </c>
      <c r="F71" s="76">
        <f>'ERDR Iterations'!F130</f>
        <v>0</v>
      </c>
      <c r="G71" s="76">
        <f>'ERDR Iterations'!G130</f>
        <v>0</v>
      </c>
      <c r="H71" s="76">
        <f>'ERDR Iterations'!H130</f>
        <v>0</v>
      </c>
    </row>
    <row r="72">
      <c r="A72" s="62">
        <v>6</v>
      </c>
      <c r="B72" s="76">
        <f>'ERDR Iterations'!B156</f>
        <v>0</v>
      </c>
      <c r="C72" s="76">
        <f>'ERDR Iterations'!C156</f>
        <v>0</v>
      </c>
      <c r="D72" s="76">
        <f>'ERDR Iterations'!D156</f>
        <v>1</v>
      </c>
      <c r="E72" s="76">
        <f>'ERDR Iterations'!E156</f>
        <v>1</v>
      </c>
      <c r="F72" s="76">
        <f>'ERDR Iterations'!F156</f>
        <v>0</v>
      </c>
      <c r="G72" s="76">
        <f>'ERDR Iterations'!G156</f>
        <v>0</v>
      </c>
      <c r="H72" s="76">
        <f>'ERDR Iterations'!H156</f>
        <v>0</v>
      </c>
    </row>
    <row r="73">
      <c r="A73" s="62">
        <v>7</v>
      </c>
      <c r="B73" s="76">
        <f>'ERDR Iterations'!B182</f>
        <v>0</v>
      </c>
      <c r="C73" s="76">
        <f>'ERDR Iterations'!C182</f>
        <v>0</v>
      </c>
      <c r="D73" s="76">
        <f>'ERDR Iterations'!D182</f>
        <v>1</v>
      </c>
      <c r="E73" s="76">
        <f>'ERDR Iterations'!E182</f>
        <v>1</v>
      </c>
      <c r="F73" s="76">
        <f>'ERDR Iterations'!F182</f>
        <v>0</v>
      </c>
      <c r="G73" s="76">
        <f>'ERDR Iterations'!G182</f>
        <v>0</v>
      </c>
      <c r="H73" s="76">
        <f>'ERDR Iterations'!H182</f>
        <v>0</v>
      </c>
    </row>
    <row r="74"/>
    <row r="75">
      <c r="A75" s="58" t="inlineStr">
        <is>
          <t xml:space="preserve">g after iteration t  (start = Step 1)</t>
        </is>
      </c>
      <c r="B75" s="58"/>
      <c r="C75" s="58"/>
      <c r="D75" s="58"/>
      <c r="E75" s="58"/>
      <c r="F75" s="58"/>
      <c r="G75" s="58"/>
      <c r="H75" s="58"/>
    </row>
    <row r="76">
      <c r="A76" s="60" t="inlineStr">
        <is>
          <t xml:space="preserve">t</t>
        </is>
      </c>
      <c r="B76" s="60" t="inlineStr">
        <is>
          <t xml:space="preserve">S₁</t>
        </is>
      </c>
      <c r="C76" s="60" t="inlineStr">
        <is>
          <t xml:space="preserve">S₂</t>
        </is>
      </c>
      <c r="D76" s="60" t="inlineStr">
        <is>
          <t xml:space="preserve">S₃</t>
        </is>
      </c>
      <c r="E76" s="60" t="inlineStr">
        <is>
          <t xml:space="preserve">S₄</t>
        </is>
      </c>
      <c r="F76" s="60" t="inlineStr">
        <is>
          <t xml:space="preserve">S₅</t>
        </is>
      </c>
      <c r="G76" s="60" t="inlineStr">
        <is>
          <t xml:space="preserve">S₆</t>
        </is>
      </c>
      <c r="H76" s="60" t="inlineStr">
        <is>
          <t xml:space="preserve">S₇</t>
        </is>
      </c>
    </row>
    <row r="77">
      <c r="A77" s="62" t="inlineStr">
        <is>
          <t xml:space="preserve">start</t>
        </is>
      </c>
      <c r="B77" s="80">
        <f>'ERDR Characteristics'!$E$5</f>
        <v>3</v>
      </c>
      <c r="C77" s="80">
        <f>'ERDR Characteristics'!$E$6</f>
        <v>4</v>
      </c>
      <c r="D77" s="80">
        <f>'ERDR Characteristics'!$E$7</f>
        <v>3</v>
      </c>
      <c r="E77" s="80">
        <f>'ERDR Characteristics'!$E$8</f>
        <v>1</v>
      </c>
      <c r="F77" s="80">
        <f>'ERDR Characteristics'!$E$9</f>
        <v>3</v>
      </c>
      <c r="G77" s="80">
        <f>'ERDR Characteristics'!$E$10</f>
        <v>1</v>
      </c>
      <c r="H77" s="80">
        <f>'ERDR Characteristics'!$E$11</f>
        <v>2</v>
      </c>
    </row>
    <row r="78">
      <c r="A78" s="62">
        <v>1</v>
      </c>
      <c r="B78" s="80">
        <f>'ERDR Iterations'!B23</f>
        <v>2</v>
      </c>
      <c r="C78" s="80">
        <f>'ERDR Iterations'!C23</f>
        <v>3</v>
      </c>
      <c r="D78" s="80">
        <f>'ERDR Iterations'!D23</f>
        <v>3</v>
      </c>
      <c r="E78" s="80">
        <f>'ERDR Iterations'!E23</f>
        <v>1</v>
      </c>
      <c r="F78" s="80">
        <f>'ERDR Iterations'!F23</f>
        <v>2</v>
      </c>
      <c r="G78" s="80">
        <f>'ERDR Iterations'!G23</f>
        <v>1</v>
      </c>
      <c r="H78" s="80">
        <f>'ERDR Iterations'!H23</f>
        <v>2</v>
      </c>
    </row>
    <row r="79">
      <c r="A79" s="62">
        <v>2</v>
      </c>
      <c r="B79" s="80">
        <f>'ERDR Iterations'!B49</f>
        <v>2</v>
      </c>
      <c r="C79" s="80">
        <f>'ERDR Iterations'!C49</f>
        <v>3</v>
      </c>
      <c r="D79" s="80">
        <f>'ERDR Iterations'!D49</f>
        <v>2</v>
      </c>
      <c r="E79" s="80">
        <f>'ERDR Iterations'!E49</f>
        <v>1</v>
      </c>
      <c r="F79" s="80">
        <f>'ERDR Iterations'!F49</f>
        <v>2</v>
      </c>
      <c r="G79" s="80">
        <f>'ERDR Iterations'!G49</f>
        <v>1</v>
      </c>
      <c r="H79" s="80">
        <f>'ERDR Iterations'!H49</f>
        <v>1</v>
      </c>
    </row>
    <row r="80">
      <c r="A80" s="62">
        <v>3</v>
      </c>
      <c r="B80" s="80">
        <f>'ERDR Iterations'!B75</f>
        <v>1</v>
      </c>
      <c r="C80" s="80">
        <f>'ERDR Iterations'!C75</f>
        <v>2</v>
      </c>
      <c r="D80" s="80">
        <f>'ERDR Iterations'!D75</f>
        <v>2</v>
      </c>
      <c r="E80" s="80">
        <f>'ERDR Iterations'!E75</f>
        <v>1</v>
      </c>
      <c r="F80" s="80">
        <f>'ERDR Iterations'!F75</f>
        <v>1</v>
      </c>
      <c r="G80" s="80">
        <f>'ERDR Iterations'!G75</f>
        <v>1</v>
      </c>
      <c r="H80" s="80">
        <f>'ERDR Iterations'!H75</f>
        <v>1</v>
      </c>
    </row>
    <row r="81">
      <c r="A81" s="62">
        <v>4</v>
      </c>
      <c r="B81" s="80">
        <f>'ERDR Iterations'!B101</f>
        <v>1</v>
      </c>
      <c r="C81" s="80">
        <f>'ERDR Iterations'!C101</f>
        <v>2</v>
      </c>
      <c r="D81" s="80">
        <f>'ERDR Iterations'!D101</f>
        <v>2</v>
      </c>
      <c r="E81" s="80">
        <f>'ERDR Iterations'!E101</f>
        <v>1</v>
      </c>
      <c r="F81" s="80">
        <f>'ERDR Iterations'!F101</f>
        <v>1</v>
      </c>
      <c r="G81" s="80">
        <f>'ERDR Iterations'!G101</f>
        <v>1</v>
      </c>
      <c r="H81" s="80">
        <f>'ERDR Iterations'!H101</f>
        <v>1</v>
      </c>
    </row>
    <row r="82">
      <c r="A82" s="62">
        <v>5</v>
      </c>
      <c r="B82" s="80">
        <f>'ERDR Iterations'!B127</f>
        <v>1</v>
      </c>
      <c r="C82" s="80">
        <f>'ERDR Iterations'!C127</f>
        <v>2</v>
      </c>
      <c r="D82" s="80">
        <f>'ERDR Iterations'!D127</f>
        <v>2</v>
      </c>
      <c r="E82" s="80">
        <f>'ERDR Iterations'!E127</f>
        <v>1</v>
      </c>
      <c r="F82" s="80">
        <f>'ERDR Iterations'!F127</f>
        <v>1</v>
      </c>
      <c r="G82" s="80">
        <f>'ERDR Iterations'!G127</f>
        <v>1</v>
      </c>
      <c r="H82" s="80">
        <f>'ERDR Iterations'!H127</f>
        <v>1</v>
      </c>
    </row>
    <row r="83">
      <c r="A83" s="62">
        <v>6</v>
      </c>
      <c r="B83" s="80">
        <f>'ERDR Iterations'!B153</f>
        <v>1</v>
      </c>
      <c r="C83" s="80">
        <f>'ERDR Iterations'!C153</f>
        <v>2</v>
      </c>
      <c r="D83" s="80">
        <f>'ERDR Iterations'!D153</f>
        <v>2</v>
      </c>
      <c r="E83" s="80">
        <f>'ERDR Iterations'!E153</f>
        <v>1</v>
      </c>
      <c r="F83" s="80">
        <f>'ERDR Iterations'!F153</f>
        <v>1</v>
      </c>
      <c r="G83" s="80">
        <f>'ERDR Iterations'!G153</f>
        <v>1</v>
      </c>
      <c r="H83" s="80">
        <f>'ERDR Iterations'!H153</f>
        <v>1</v>
      </c>
    </row>
    <row r="84">
      <c r="A84" s="62">
        <v>7</v>
      </c>
      <c r="B84" s="80">
        <f>'ERDR Iterations'!B179</f>
        <v>1</v>
      </c>
      <c r="C84" s="80">
        <f>'ERDR Iterations'!C179</f>
        <v>2</v>
      </c>
      <c r="D84" s="80">
        <f>'ERDR Iterations'!D179</f>
        <v>2</v>
      </c>
      <c r="E84" s="80">
        <f>'ERDR Iterations'!E179</f>
        <v>1</v>
      </c>
      <c r="F84" s="80">
        <f>'ERDR Iterations'!F179</f>
        <v>1</v>
      </c>
      <c r="G84" s="80">
        <f>'ERDR Iterations'!G179</f>
        <v>1</v>
      </c>
      <c r="H84" s="80">
        <f>'ERDR Iterations'!H179</f>
        <v>1</v>
      </c>
    </row>
    <row r="85"/>
    <row r="86">
      <c r="A86" s="58" t="inlineStr">
        <is>
          <t xml:space="preserve">Per object</t>
        </is>
      </c>
      <c r="B86" s="58"/>
      <c r="C86" s="58"/>
      <c r="D86" s="58"/>
      <c r="E86" s="58"/>
      <c r="F86" s="58"/>
      <c r="G86" s="58"/>
      <c r="H86" s="58"/>
    </row>
    <row r="87">
      <c r="A87" s="60" t="inlineStr">
        <is>
          <t xml:space="preserve">Object</t>
        </is>
      </c>
      <c r="B87" s="60" t="inlineStr">
        <is>
          <t xml:space="preserve">S₁</t>
        </is>
      </c>
      <c r="C87" s="60" t="inlineStr">
        <is>
          <t xml:space="preserve">S₂</t>
        </is>
      </c>
      <c r="D87" s="60" t="inlineStr">
        <is>
          <t xml:space="preserve">S₃</t>
        </is>
      </c>
      <c r="E87" s="60" t="inlineStr">
        <is>
          <t xml:space="preserve">S₄</t>
        </is>
      </c>
      <c r="F87" s="60" t="inlineStr">
        <is>
          <t xml:space="preserve">S₅</t>
        </is>
      </c>
      <c r="G87" s="60" t="inlineStr">
        <is>
          <t xml:space="preserve">S₆</t>
        </is>
      </c>
      <c r="H87" s="60" t="inlineStr">
        <is>
          <t xml:space="preserve">S₇</t>
        </is>
      </c>
    </row>
    <row r="88">
      <c r="A88" s="63" t="inlineStr">
        <is>
          <t xml:space="preserve">Processed (selected) in iteration</t>
        </is>
      </c>
      <c r="B88" s="77">
        <f>IFERROR(MATCH(1,B16:B22,0),"—")</f>
        <v>1</v>
      </c>
      <c r="C88" s="77">
        <f>IFERROR(MATCH(1,C16:C22,0),"—")</f>
        <v>4</v>
      </c>
      <c r="D88" s="77">
        <f>IFERROR(MATCH(1,D16:D22,0),"—")</f>
        <v>2</v>
      </c>
      <c r="E88" s="77">
        <f>IFERROR(MATCH(1,E16:E22,0),"—")</f>
        <v>6</v>
      </c>
      <c r="F88" s="77">
        <f>IFERROR(MATCH(1,F16:F22,0),"—")</f>
        <v>3</v>
      </c>
      <c r="G88" s="77">
        <f>IFERROR(MATCH(1,G16:G22,0),"—")</f>
        <v>5</v>
      </c>
      <c r="H88" s="77" t="str">
        <f>IFERROR(MATCH(1,H16:H22,0),"—")</f>
        <v>—</v>
      </c>
    </row>
    <row r="89">
      <c r="A89" s="63" t="inlineStr">
        <is>
          <t xml:space="preserve">Moved to D in iteration</t>
        </is>
      </c>
      <c r="B89" s="77">
        <f>IFERROR(MATCH(1,B56:B62,0),"—")</f>
        <v>3</v>
      </c>
      <c r="C89" s="77">
        <f>IFERROR(MATCH(1,C56:C62,0),"—")</f>
        <v>4</v>
      </c>
      <c r="D89" s="77" t="str">
        <f>IFERROR(MATCH(1,D56:D62,0),"—")</f>
        <v>—</v>
      </c>
      <c r="E89" s="77" t="str">
        <f>IFERROR(MATCH(1,E56:E62,0),"—")</f>
        <v>—</v>
      </c>
      <c r="F89" s="77">
        <f>IFERROR(MATCH(1,F56:F62,0),"—")</f>
        <v>3</v>
      </c>
      <c r="G89" s="77">
        <f>IFERROR(MATCH(1,G56:G62,0),"—")</f>
        <v>5</v>
      </c>
      <c r="H89" s="77">
        <f>IFERROR(MATCH(1,H56:H62,0),"—")</f>
        <v>2</v>
      </c>
    </row>
    <row r="90">
      <c r="A90" s="63" t="inlineStr">
        <is>
          <t xml:space="preserve">Moved by</t>
        </is>
      </c>
      <c r="B90" s="77" t="str">
        <f>IF(B89="—","—",IF(SUM(B46:B52)=1,"Step 4","Step 5"))</f>
        <v>Step 5</v>
      </c>
      <c r="C90" s="77" t="str">
        <f>IF(C89="—","—",IF(SUM(C46:C52)=1,"Step 4","Step 5"))</f>
        <v>Step 4</v>
      </c>
      <c r="D90" s="77" t="str">
        <f>IF(D89="—","—",IF(SUM(D46:D52)=1,"Step 4","Step 5"))</f>
        <v>—</v>
      </c>
      <c r="E90" s="77" t="str">
        <f>IF(E89="—","—",IF(SUM(E46:E52)=1,"Step 4","Step 5"))</f>
        <v>—</v>
      </c>
      <c r="F90" s="77" t="str">
        <f>IF(F89="—","—",IF(SUM(F46:F52)=1,"Step 4","Step 5"))</f>
        <v>Step 5</v>
      </c>
      <c r="G90" s="77" t="str">
        <f>IF(G89="—","—",IF(SUM(G46:G52)=1,"Step 4","Step 5"))</f>
        <v>Step 4</v>
      </c>
      <c r="H90" s="77" t="str">
        <f>IF(H89="—","—",IF(SUM(H46:H52)=1,"Step 4","Step 5"))</f>
        <v>Step 5</v>
      </c>
    </row>
    <row r="91">
      <c r="A91" s="63" t="inlineStr">
        <is>
          <t xml:space="preserve">Counter decreases (Step 5)</t>
        </is>
      </c>
      <c r="B91" s="77">
        <f>SUM(B36:B42)</f>
        <v>2</v>
      </c>
      <c r="C91" s="77">
        <f>SUM(C36:C42)</f>
        <v>2</v>
      </c>
      <c r="D91" s="77">
        <f>SUM(D36:D42)</f>
        <v>1</v>
      </c>
      <c r="E91" s="77">
        <f>SUM(E36:E42)</f>
        <v>0</v>
      </c>
      <c r="F91" s="77">
        <f>SUM(F36:F42)</f>
        <v>2</v>
      </c>
      <c r="G91" s="77">
        <f>SUM(G36:G42)</f>
        <v>0</v>
      </c>
      <c r="H91" s="77">
        <f>SUM(H36:H42)</f>
        <v>1</v>
      </c>
    </row>
    <row r="92">
      <c r="A92" s="63" t="inlineStr">
        <is>
          <t xml:space="preserve">Final sample</t>
        </is>
      </c>
      <c r="B92" s="77" t="str">
        <f>IF(B73=1,"F","D")</f>
        <v>D</v>
      </c>
      <c r="C92" s="77" t="str">
        <f>IF(C73=1,"F","D")</f>
        <v>D</v>
      </c>
      <c r="D92" s="77" t="str">
        <f>IF(D73=1,"F","D")</f>
        <v>F</v>
      </c>
      <c r="E92" s="77" t="str">
        <f>IF(E73=1,"F","D")</f>
        <v>F</v>
      </c>
      <c r="F92" s="77" t="str">
        <f>IF(F73=1,"F","D")</f>
        <v>D</v>
      </c>
      <c r="G92" s="77" t="str">
        <f>IF(G73=1,"F","D")</f>
        <v>D</v>
      </c>
      <c r="H92" s="77" t="str">
        <f>IF(H73=1,"F","D")</f>
        <v>D</v>
      </c>
    </row>
    <row r="93"/>
    <row r="94"/>
    <row r="95">
      <c r="A95" s="58" t="inlineStr">
        <is>
          <t xml:space="preserve">Sample sizes after each iteration (chart data)</t>
        </is>
      </c>
      <c r="B95" s="58"/>
      <c r="C95" s="58"/>
      <c r="D95" s="58"/>
    </row>
    <row r="96">
      <c r="A96" s="60" t="inlineStr">
        <is>
          <t xml:space="preserve">Iteration</t>
        </is>
      </c>
      <c r="B96" s="60" t="inlineStr">
        <is>
          <t xml:space="preserve">|F| (working set)</t>
        </is>
      </c>
      <c r="C96" s="60" t="inlineStr">
        <is>
          <t xml:space="preserve">|D| (training)</t>
        </is>
      </c>
      <c r="D96" s="60" t="inlineStr">
        <is>
          <t xml:space="preserve">Queue left</t>
        </is>
      </c>
    </row>
    <row r="97">
      <c r="A97" s="77">
        <v>0</v>
      </c>
      <c r="B97" s="76">
        <f>SUM(B66:H66)</f>
        <v>7</v>
      </c>
      <c r="C97" s="76">
        <f>'Parameters'!$B$5-B97</f>
        <v>0</v>
      </c>
      <c r="D97" s="76">
        <f>'Parameters'!$B$5</f>
        <v>7</v>
      </c>
    </row>
    <row r="98">
      <c r="A98" s="77">
        <v>1</v>
      </c>
      <c r="B98" s="76">
        <f>SUM(B67:H67)</f>
        <v>7</v>
      </c>
      <c r="C98" s="76">
        <f>'Parameters'!$B$5-B98</f>
        <v>0</v>
      </c>
      <c r="D98" s="76">
        <f>H5</f>
        <v>6</v>
      </c>
    </row>
    <row r="99">
      <c r="A99" s="77">
        <v>2</v>
      </c>
      <c r="B99" s="76">
        <f>SUM(B68:H68)</f>
        <v>6</v>
      </c>
      <c r="C99" s="76">
        <f>'Parameters'!$B$5-B99</f>
        <v>1</v>
      </c>
      <c r="D99" s="76">
        <f>H6</f>
        <v>4</v>
      </c>
    </row>
    <row r="100">
      <c r="A100" s="77">
        <v>3</v>
      </c>
      <c r="B100" s="76">
        <f>SUM(B69:H69)</f>
        <v>4</v>
      </c>
      <c r="C100" s="76">
        <f>'Parameters'!$B$5-B100</f>
        <v>3</v>
      </c>
      <c r="D100" s="76">
        <f>H7</f>
        <v>3</v>
      </c>
    </row>
    <row r="101">
      <c r="A101" s="77">
        <v>4</v>
      </c>
      <c r="B101" s="76">
        <f>SUM(B70:H70)</f>
        <v>3</v>
      </c>
      <c r="C101" s="76">
        <f>'Parameters'!$B$5-B101</f>
        <v>4</v>
      </c>
      <c r="D101" s="76">
        <f>H8</f>
        <v>2</v>
      </c>
    </row>
    <row r="102">
      <c r="A102" s="77">
        <v>5</v>
      </c>
      <c r="B102" s="76">
        <f>SUM(B71:H71)</f>
        <v>2</v>
      </c>
      <c r="C102" s="76">
        <f>'Parameters'!$B$5-B102</f>
        <v>5</v>
      </c>
      <c r="D102" s="76">
        <f>H9</f>
        <v>1</v>
      </c>
    </row>
    <row r="103">
      <c r="A103" s="77">
        <v>6</v>
      </c>
      <c r="B103" s="76">
        <f>SUM(B72:H72)</f>
        <v>2</v>
      </c>
      <c r="C103" s="76">
        <f>'Parameters'!$B$5-B103</f>
        <v>5</v>
      </c>
      <c r="D103" s="76">
        <f>H10</f>
        <v>0</v>
      </c>
    </row>
    <row r="104">
      <c r="A104" s="77">
        <v>7</v>
      </c>
      <c r="B104" s="76">
        <f>SUM(B73:H73)</f>
        <v>2</v>
      </c>
      <c r="C104" s="76">
        <f>'Parameters'!$B$5-B104</f>
        <v>5</v>
      </c>
      <c r="D104" s="76">
        <f>H11</f>
        <v>0</v>
      </c>
    </row>
    <row r="105">
      <c r="A105" s="100" t="inlineStr">
        <is>
          <t xml:space="preserve">All cells are formulas on ERDR Iterations; “Counter decreases” counts how often Step 5 lowered g(Sⱼ) over the whole run (the state carried between iterations).</t>
        </is>
      </c>
    </row>
  </sheetData>
  <mergeCells count="12">
    <mergeCell ref="A1:L1"/>
    <mergeCell ref="A3:L3"/>
    <mergeCell ref="B12:L12"/>
    <mergeCell ref="A14:H14"/>
    <mergeCell ref="A24:H24"/>
    <mergeCell ref="A34:H34"/>
    <mergeCell ref="A44:H44"/>
    <mergeCell ref="A54:H54"/>
    <mergeCell ref="A64:H64"/>
    <mergeCell ref="A75:H75"/>
    <mergeCell ref="A86:H86"/>
    <mergeCell ref="A95:D95"/>
  </mergeCells>
  <conditionalFormatting sqref="B16:H22">
    <cfRule type="cellIs" dxfId="1" priority="1" operator="equal">
      <formula>1</formula>
    </cfRule>
  </conditionalFormatting>
  <conditionalFormatting sqref="B26:H32">
    <cfRule type="cellIs" dxfId="1" priority="2" operator="equal">
      <formula>1</formula>
    </cfRule>
  </conditionalFormatting>
  <conditionalFormatting sqref="B36:H42">
    <cfRule type="cellIs" dxfId="1" priority="3" operator="equal">
      <formula>1</formula>
    </cfRule>
  </conditionalFormatting>
  <conditionalFormatting sqref="B46:H52">
    <cfRule type="cellIs" dxfId="1" priority="4" operator="equal">
      <formula>1</formula>
    </cfRule>
  </conditionalFormatting>
  <conditionalFormatting sqref="B56:H62">
    <cfRule type="cellIs" dxfId="4" priority="5" operator="equal">
      <formula>1</formula>
    </cfRule>
  </conditionalFormatting>
  <conditionalFormatting sqref="B66:H73">
    <cfRule type="cellIs" dxfId="3" priority="6" operator="equal">
      <formula>0</formula>
    </cfRule>
  </conditionalFormatting>
  <conditionalFormatting sqref="B92:H92">
    <cfRule type="cellIs" dxfId="4" priority="7" operator="equal">
      <formula>"D"</formula>
    </cfRule>
  </conditionalFormatting>
  <printOptions horizontalCentered="1"/>
  <pageMargins left="0.4" right="0.4" top="0.7" bottom="0.6" header="0.3" footer="0.3"/>
  <pageSetup paperSize="9" orientation="landscape" fitToWidth="1" fitToHeight="0"/>
  <headerFooter>
    <oddHeader>&amp;L&amp;"Calibri,Bold"&amp;9ERDR Algorithm — Heart-Disease (7, 13, 2) selected from Heart-Disease (270, 13, 2)&amp;R&amp;"Calibri,Regular"&amp;9&amp;A</oddHeader>
    <oddFooter>&amp;C&amp;"Calibri,Regular"&amp;9Page &amp;P of &amp;N</oddFooter>
  </headerFooter>
  <drawing r:id="rIdDr1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548235"/>
    <pageSetUpPr fitToPage="1"/>
  </sheetPr>
  <dimension ref="A1:Q26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8.77734375" customWidth="1"/>
    <col min="2" max="2" width="74.77734375" customWidth="1"/>
    <col min="3" max="3" width="22.77734375" customWidth="1"/>
    <col min="4" max="4" width="9.77734375" customWidth="1"/>
    <col min="5" max="5" width="13.77734375" customWidth="1"/>
    <col min="6" max="6" width="56.77734375" customWidth="1"/>
    <col min="7" max="7" width="9.77734375" customWidth="1"/>
    <col min="8" max="9" width="2.77734375" customWidth="1"/>
    <col min="10" max="10" width="10.77734375" customWidth="1"/>
    <col min="11" max="17" width="6.77734375" customWidth="1"/>
  </cols>
  <sheetData>
    <row r="1" ht="22" customHeight="1">
      <c r="A1" s="57" t="inlineStr">
        <is>
          <t xml:space="preserve">Case checklist · every case of the ERDR algorithm and where it occurs in this sample (live — recalculates for any selection or reading)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</row>
    <row r="2"/>
    <row r="3">
      <c r="A3" s="58" t="inlineStr">
        <is>
          <t xml:space="preserve">Cases 1–4, 6–14 and 16 are the 14 branch cases; 5, 15 and 17 are the extra cases that need the seventh object (see Object Selection)</t>
        </is>
      </c>
      <c r="B3" s="58"/>
      <c r="C3" s="58"/>
      <c r="D3" s="58"/>
      <c r="E3" s="58"/>
      <c r="F3" s="58"/>
      <c r="G3" s="58"/>
      <c r="H3" s="58"/>
      <c r="J3" s="58" t="inlineStr">
        <is>
          <t xml:space="preserve">Per-iteration flags (1 = happens in t)</t>
        </is>
      </c>
      <c r="K3" s="58"/>
      <c r="L3" s="58"/>
      <c r="M3" s="58"/>
      <c r="N3" s="58"/>
      <c r="O3" s="58"/>
      <c r="P3" s="58"/>
      <c r="Q3" s="58"/>
    </row>
    <row r="4" ht="20" customHeight="1">
      <c r="A4" s="60" t="inlineStr">
        <is>
          <t xml:space="preserve">#</t>
        </is>
      </c>
      <c r="B4" s="60" t="inlineStr">
        <is>
          <t xml:space="preserve">Case</t>
        </is>
      </c>
      <c r="C4" s="60" t="inlineStr">
        <is>
          <t xml:space="preserve">Checked on</t>
        </is>
      </c>
      <c r="D4" s="60" t="inlineStr">
        <is>
          <t xml:space="preserve">Occurs</t>
        </is>
      </c>
      <c r="E4" s="60" t="inlineStr">
        <is>
          <t xml:space="preserve">First iteration</t>
        </is>
      </c>
      <c r="F4" s="60" t="inlineStr">
        <is>
          <t xml:space="preserve">Why it matters</t>
        </is>
      </c>
      <c r="G4" s="60" t="inlineStr">
        <is>
          <t xml:space="preserve">Kind</t>
        </is>
      </c>
      <c r="H4" s="60" t="inlineStr">
        <is>
          <t xml:space="preserve"/>
        </is>
      </c>
      <c r="J4" s="60" t="inlineStr">
        <is>
          <t xml:space="preserve">Case \ t</t>
        </is>
      </c>
      <c r="K4" s="60">
        <v>1</v>
      </c>
      <c r="L4" s="60">
        <v>2</v>
      </c>
      <c r="M4" s="60">
        <v>3</v>
      </c>
      <c r="N4" s="60">
        <v>4</v>
      </c>
      <c r="O4" s="60">
        <v>5</v>
      </c>
      <c r="P4" s="60">
        <v>6</v>
      </c>
      <c r="Q4" s="60">
        <v>7</v>
      </c>
    </row>
    <row r="5" ht="31" customHeight="1">
      <c r="A5" s="77">
        <v>1</v>
      </c>
      <c r="B5" s="102" t="inlineStr">
        <is>
          <t xml:space="preserve">Both classes with at least 3 objects each — k_min = 3 is permitted (k_max = 2·min|Kᵢ| − 3 ≥ 3)</t>
        </is>
      </c>
      <c r="C5" s="111" t="inlineStr">
        <is>
          <t xml:space="preserve">Parameters</t>
        </is>
      </c>
      <c r="D5" s="94">
        <f>IF(AND('Parameters'!$B$6&gt;=3,'Parameters'!$B$7&gt;=3),1,0)</f>
        <v>1</v>
      </c>
      <c r="E5" s="77" t="inlineStr">
        <is>
          <t xml:space="preserve">k rule</t>
        </is>
      </c>
      <c r="F5" s="102" t="inlineStr">
        <is>
          <t xml:space="preserve">The k rule; with fewer objects in a class no k is permitted</t>
        </is>
      </c>
      <c r="G5" s="101" t="inlineStr">
        <is>
          <t xml:space="preserve">branch</t>
        </is>
      </c>
      <c r="J5" s="62">
        <v>6</v>
      </c>
      <c r="K5" s="76">
        <f>IF('ERDR Iterations'!$K$9=0,0,IF(AND('ERDR Iterations'!$K$14=1,INDEX('ERDR Iterations'!$B$20:$H$20,'ERDR Iterations'!$K$9)=1),1,0))</f>
        <v>0</v>
      </c>
      <c r="L5" s="76">
        <f>IF('ERDR Iterations'!$K$35=0,0,IF(AND('ERDR Iterations'!$K$40=1,INDEX('ERDR Iterations'!$B$46:$H$46,'ERDR Iterations'!$K$35)=1),1,0))</f>
        <v>0</v>
      </c>
      <c r="M5" s="76">
        <f>IF('ERDR Iterations'!$K$61=0,0,IF(AND('ERDR Iterations'!$K$66=1,INDEX('ERDR Iterations'!$B$72:$H$72,'ERDR Iterations'!$K$61)=1),1,0))</f>
        <v>0</v>
      </c>
      <c r="N5" s="76">
        <f>IF('ERDR Iterations'!$K$87=0,0,IF(AND('ERDR Iterations'!$K$92=1,INDEX('ERDR Iterations'!$B$98:$H$98,'ERDR Iterations'!$K$87)=1),1,0))</f>
        <v>1</v>
      </c>
      <c r="O5" s="76">
        <f>IF('ERDR Iterations'!$K$113=0,0,IF(AND('ERDR Iterations'!$K$118=1,INDEX('ERDR Iterations'!$B$124:$H$124,'ERDR Iterations'!$K$113)=1),1,0))</f>
        <v>0</v>
      </c>
      <c r="P5" s="76">
        <f>IF('ERDR Iterations'!$K$139=0,0,IF(AND('ERDR Iterations'!$K$144=1,INDEX('ERDR Iterations'!$B$150:$H$150,'ERDR Iterations'!$K$139)=1),1,0))</f>
        <v>0</v>
      </c>
      <c r="Q5" s="76">
        <f>IF('ERDR Iterations'!$K$165=0,0,IF(AND('ERDR Iterations'!$K$170=1,INDEX('ERDR Iterations'!$B$176:$H$176,'ERDR Iterations'!$K$165)=1),1,0))</f>
        <v>0</v>
      </c>
    </row>
    <row r="6" ht="31" customHeight="1">
      <c r="A6" s="77">
        <v>2</v>
      </c>
      <c r="B6" s="102" t="inlineStr">
        <is>
          <t xml:space="preserve">An object with g = 1: no own-class object inside its enemy sphere (border object)</t>
        </is>
      </c>
      <c r="C6" s="111" t="inlineStr">
        <is>
          <t xml:space="preserve">ERDR Characteristics</t>
        </is>
      </c>
      <c r="D6" s="94">
        <f>IF(COUNTIF('ERDR Characteristics'!$E$5:$E$11,1)&gt;0,1,0)</f>
        <v>1</v>
      </c>
      <c r="E6" s="77" t="inlineStr">
        <is>
          <t xml:space="preserve">Step 1</t>
        </is>
      </c>
      <c r="F6" s="102" t="inlineStr">
        <is>
          <t xml:space="preserve">Such an object can never be in another object’s L</t>
        </is>
      </c>
      <c r="G6" s="101" t="inlineStr">
        <is>
          <t xml:space="preserve">branch</t>
        </is>
      </c>
      <c r="J6" s="62">
        <v>7</v>
      </c>
      <c r="K6" s="76">
        <f>IF('ERDR Iterations'!$K$9=0,0,IF(AND('ERDR Iterations'!$K$14=1,INDEX('ERDR Iterations'!$B$20:$H$20,'ERDR Iterations'!$K$9)=0),1,0))</f>
        <v>0</v>
      </c>
      <c r="L6" s="76">
        <f>IF('ERDR Iterations'!$K$35=0,0,IF(AND('ERDR Iterations'!$K$40=1,INDEX('ERDR Iterations'!$B$46:$H$46,'ERDR Iterations'!$K$35)=0),1,0))</f>
        <v>0</v>
      </c>
      <c r="M6" s="76">
        <f>IF('ERDR Iterations'!$K$61=0,0,IF(AND('ERDR Iterations'!$K$66=1,INDEX('ERDR Iterations'!$B$72:$H$72,'ERDR Iterations'!$K$61)=0),1,0))</f>
        <v>0</v>
      </c>
      <c r="N6" s="76">
        <f>IF('ERDR Iterations'!$K$87=0,0,IF(AND('ERDR Iterations'!$K$92=1,INDEX('ERDR Iterations'!$B$98:$H$98,'ERDR Iterations'!$K$87)=0),1,0))</f>
        <v>0</v>
      </c>
      <c r="O6" s="76">
        <f>IF('ERDR Iterations'!$K$113=0,0,IF(AND('ERDR Iterations'!$K$118=1,INDEX('ERDR Iterations'!$B$124:$H$124,'ERDR Iterations'!$K$113)=0),1,0))</f>
        <v>1</v>
      </c>
      <c r="P6" s="76">
        <f>IF('ERDR Iterations'!$K$139=0,0,IF(AND('ERDR Iterations'!$K$144=1,INDEX('ERDR Iterations'!$B$150:$H$150,'ERDR Iterations'!$K$139)=0),1,0))</f>
        <v>0</v>
      </c>
      <c r="Q6" s="76">
        <f>IF('ERDR Iterations'!$K$165=0,0,IF(AND('ERDR Iterations'!$K$170=1,INDEX('ERDR Iterations'!$B$176:$H$176,'ERDR Iterations'!$K$165)=0),1,0))</f>
        <v>0</v>
      </c>
    </row>
    <row r="7" ht="31" customHeight="1">
      <c r="A7" s="77">
        <v>3</v>
      </c>
      <c r="B7" s="102" t="inlineStr">
        <is>
          <t xml:space="preserve">An object with g ≥ 2: own-class objects inside its enemy sphere (dense object)</t>
        </is>
      </c>
      <c r="C7" s="111" t="inlineStr">
        <is>
          <t xml:space="preserve">ERDR Characteristics</t>
        </is>
      </c>
      <c r="D7" s="94">
        <f>IF(COUNTIF('ERDR Characteristics'!$E$5:$E$11,"&gt;=2")&gt;0,1,0)</f>
        <v>1</v>
      </c>
      <c r="E7" s="77" t="inlineStr">
        <is>
          <t xml:space="preserve">Step 1</t>
        </is>
      </c>
      <c r="F7" s="102" t="inlineStr">
        <is>
          <t xml:space="preserve">Only these objects can cover others in Step 4</t>
        </is>
      </c>
      <c r="G7" s="101" t="inlineStr">
        <is>
          <t xml:space="preserve">branch</t>
        </is>
      </c>
      <c r="J7" s="62">
        <v>8</v>
      </c>
      <c r="K7" s="76">
        <f>IF('ERDR Iterations'!$K$9=0,0,IF('ERDR Iterations'!$K$14=0,1,0))</f>
        <v>0</v>
      </c>
      <c r="L7" s="76">
        <f>IF('ERDR Iterations'!$K$35=0,0,IF('ERDR Iterations'!$K$40=0,1,0))</f>
        <v>0</v>
      </c>
      <c r="M7" s="76">
        <f>IF('ERDR Iterations'!$K$61=0,0,IF('ERDR Iterations'!$K$66=0,1,0))</f>
        <v>0</v>
      </c>
      <c r="N7" s="76">
        <f>IF('ERDR Iterations'!$K$87=0,0,IF('ERDR Iterations'!$K$92=0,1,0))</f>
        <v>0</v>
      </c>
      <c r="O7" s="76">
        <f>IF('ERDR Iterations'!$K$113=0,0,IF('ERDR Iterations'!$K$118=0,1,0))</f>
        <v>0</v>
      </c>
      <c r="P7" s="76">
        <f>IF('ERDR Iterations'!$K$139=0,0,IF('ERDR Iterations'!$K$144=0,1,0))</f>
        <v>1</v>
      </c>
      <c r="Q7" s="76">
        <f>IF('ERDR Iterations'!$K$165=0,0,IF('ERDR Iterations'!$K$170=0,1,0))</f>
        <v>0</v>
      </c>
    </row>
    <row r="8" ht="31" customHeight="1">
      <c r="A8" s="77">
        <v>4</v>
      </c>
      <c r="B8" s="102" t="inlineStr">
        <is>
          <t xml:space="preserve">Two objects with equal d — Step 2 orders them by r</t>
        </is>
      </c>
      <c r="C8" s="111" t="inlineStr">
        <is>
          <t xml:space="preserve">Priority Queue</t>
        </is>
      </c>
      <c r="D8" s="94">
        <f>IF(COUNTIF('Priority Queue'!$G$5:$G$10,"r*")&gt;0,1,0)</f>
        <v>1</v>
      </c>
      <c r="E8" s="77" t="inlineStr">
        <is>
          <t xml:space="preserve">Step 2</t>
        </is>
      </c>
      <c r="F8" s="102" t="inlineStr">
        <is>
          <t xml:space="preserve">Second criterion of Step 2</t>
        </is>
      </c>
      <c r="G8" s="101" t="inlineStr">
        <is>
          <t xml:space="preserve">branch</t>
        </is>
      </c>
      <c r="J8" s="62">
        <v>9</v>
      </c>
      <c r="K8" s="76">
        <f>IF(AND('ERDR Iterations'!$K$14&gt;1,SUM('ERDR Iterations'!$B$24:$H$24)&gt;0),1,0)</f>
        <v>0</v>
      </c>
      <c r="L8" s="76">
        <f>IF(AND('ERDR Iterations'!$K$40&gt;1,SUM('ERDR Iterations'!$B$50:$H$50)&gt;0),1,0)</f>
        <v>1</v>
      </c>
      <c r="M8" s="76">
        <f>IF(AND('ERDR Iterations'!$K$66&gt;1,SUM('ERDR Iterations'!$B$76:$H$76)&gt;0),1,0)</f>
        <v>1</v>
      </c>
      <c r="N8" s="76">
        <f>IF(AND('ERDR Iterations'!$K$92&gt;1,SUM('ERDR Iterations'!$B$102:$H$102)&gt;0),1,0)</f>
        <v>0</v>
      </c>
      <c r="O8" s="76">
        <f>IF(AND('ERDR Iterations'!$K$118&gt;1,SUM('ERDR Iterations'!$B$128:$H$128)&gt;0),1,0)</f>
        <v>0</v>
      </c>
      <c r="P8" s="76">
        <f>IF(AND('ERDR Iterations'!$K$144&gt;1,SUM('ERDR Iterations'!$B$154:$H$154)&gt;0),1,0)</f>
        <v>0</v>
      </c>
      <c r="Q8" s="76">
        <f>IF(AND('ERDR Iterations'!$K$170&gt;1,SUM('ERDR Iterations'!$B$180:$H$180)&gt;0),1,0)</f>
        <v>0</v>
      </c>
    </row>
    <row r="9" ht="31" customHeight="1">
      <c r="A9" s="77">
        <v>5</v>
      </c>
      <c r="B9" s="102" t="inlineStr">
        <is>
          <t xml:space="preserve">Two objects with equal d and equal r — Step 2 orders them by the index</t>
        </is>
      </c>
      <c r="C9" s="111" t="inlineStr">
        <is>
          <t xml:space="preserve">Priority Queue</t>
        </is>
      </c>
      <c r="D9" s="94">
        <f>IF(COUNTIF('Priority Queue'!$G$5:$G$10,"index*")&gt;0,1,0)</f>
        <v>1</v>
      </c>
      <c r="E9" s="77" t="inlineStr">
        <is>
          <t xml:space="preserve">Step 2</t>
        </is>
      </c>
      <c r="F9" s="102" t="inlineStr">
        <is>
          <t xml:space="preserve">Third criterion of Step 2 (needs mutual nearest enemies with z = r)</t>
        </is>
      </c>
      <c r="G9" s="101" t="inlineStr">
        <is>
          <t xml:space="preserve">extra</t>
        </is>
      </c>
      <c r="J9" s="62">
        <v>10</v>
      </c>
      <c r="K9" s="76">
        <f>IF(AND('ERDR Iterations'!$K$14&gt;1,SUMPRODUCT('ERDR Iterations'!$B$22:$H$22*('ERDR Iterations'!$B$23:$H$23&gt;1))&gt;0),1,0)</f>
        <v>1</v>
      </c>
      <c r="L9" s="76">
        <f>IF(AND('ERDR Iterations'!$K$40&gt;1,SUMPRODUCT('ERDR Iterations'!$B$48:$H$48*('ERDR Iterations'!$B$49:$H$49&gt;1))&gt;0),1,0)</f>
        <v>1</v>
      </c>
      <c r="M9" s="76">
        <f>IF(AND('ERDR Iterations'!$K$66&gt;1,SUMPRODUCT('ERDR Iterations'!$B$74:$H$74*('ERDR Iterations'!$B$75:$H$75&gt;1))&gt;0),1,0)</f>
        <v>1</v>
      </c>
      <c r="N9" s="76">
        <f>IF(AND('ERDR Iterations'!$K$92&gt;1,SUMPRODUCT('ERDR Iterations'!$B$100:$H$100*('ERDR Iterations'!$B$101:$H$101&gt;1))&gt;0),1,0)</f>
        <v>0</v>
      </c>
      <c r="O9" s="76">
        <f>IF(AND('ERDR Iterations'!$K$118&gt;1,SUMPRODUCT('ERDR Iterations'!$B$126:$H$126*('ERDR Iterations'!$B$127:$H$127&gt;1))&gt;0),1,0)</f>
        <v>0</v>
      </c>
      <c r="P9" s="76">
        <f>IF(AND('ERDR Iterations'!$K$144&gt;1,SUMPRODUCT('ERDR Iterations'!$B$152:$H$152*('ERDR Iterations'!$B$153:$H$153&gt;1))&gt;0),1,0)</f>
        <v>0</v>
      </c>
      <c r="Q9" s="76">
        <f>IF(AND('ERDR Iterations'!$K$170&gt;1,SUMPRODUCT('ERDR Iterations'!$B$178:$H$178*('ERDR Iterations'!$B$179:$H$179&gt;1))&gt;0),1,0)</f>
        <v>0</v>
      </c>
    </row>
    <row r="10" ht="31" customHeight="1">
      <c r="A10" s="77">
        <v>6</v>
      </c>
      <c r="B10" s="102" t="inlineStr">
        <is>
          <t xml:space="preserve">|L| = 1 with L = {Sᵢ}: no other object covers Sᵢ → Sᵢ moves to D</t>
        </is>
      </c>
      <c r="C10" s="111" t="inlineStr">
        <is>
          <t xml:space="preserve">ERDR Iterations</t>
        </is>
      </c>
      <c r="D10" s="94">
        <f>IF(SUM(K5:Q5)&gt;0,1,0)</f>
        <v>1</v>
      </c>
      <c r="E10" s="77">
        <f>IFERROR(MATCH(1,K5:Q5,0),"—")</f>
        <v>4</v>
      </c>
      <c r="F10" s="102" t="inlineStr">
        <is>
          <t xml:space="preserve">Step 4, first form</t>
        </is>
      </c>
      <c r="G10" s="101" t="inlineStr">
        <is>
          <t xml:space="preserve">branch</t>
        </is>
      </c>
      <c r="J10" s="62">
        <v>11</v>
      </c>
      <c r="K10" s="76">
        <f>IF(SUMPRODUCT('ERDR Iterations'!$B$24:$H$24*(1-'ERDR Iterations'!$B$9:$H$9)*(1-'ERDR Iterations'!$B$13:$H$13))&gt;0,1,0)</f>
        <v>0</v>
      </c>
      <c r="L10" s="76">
        <f>IF(SUMPRODUCT('ERDR Iterations'!$B$50:$H$50*(1-'ERDR Iterations'!$B$35:$H$35)*(1-'ERDR Iterations'!$B$39:$H$39))&gt;0,1,0)</f>
        <v>1</v>
      </c>
      <c r="M10" s="76">
        <f>IF(SUMPRODUCT('ERDR Iterations'!$B$76:$H$76*(1-'ERDR Iterations'!$B$61:$H$61)*(1-'ERDR Iterations'!$B$65:$H$65))&gt;0,1,0)</f>
        <v>0</v>
      </c>
      <c r="N10" s="76">
        <f>IF(SUMPRODUCT('ERDR Iterations'!$B$102:$H$102*(1-'ERDR Iterations'!$B$87:$H$87)*(1-'ERDR Iterations'!$B$91:$H$91))&gt;0,1,0)</f>
        <v>0</v>
      </c>
      <c r="O10" s="76">
        <f>IF(SUMPRODUCT('ERDR Iterations'!$B$128:$H$128*(1-'ERDR Iterations'!$B$113:$H$113)*(1-'ERDR Iterations'!$B$117:$H$117))&gt;0,1,0)</f>
        <v>0</v>
      </c>
      <c r="P10" s="76">
        <f>IF(SUMPRODUCT('ERDR Iterations'!$B$154:$H$154*(1-'ERDR Iterations'!$B$139:$H$139)*(1-'ERDR Iterations'!$B$143:$H$143))&gt;0,1,0)</f>
        <v>0</v>
      </c>
      <c r="Q10" s="76">
        <f>IF(SUMPRODUCT('ERDR Iterations'!$B$180:$H$180*(1-'ERDR Iterations'!$B$165:$H$165)*(1-'ERDR Iterations'!$B$169:$H$169))&gt;0,1,0)</f>
        <v>0</v>
      </c>
    </row>
    <row r="11" ht="31" customHeight="1">
      <c r="A11" s="77">
        <v>7</v>
      </c>
      <c r="B11" s="102" t="inlineStr">
        <is>
          <t xml:space="preserve">|L| = 1 with L = {Sⱼ}, j ≠ i: exactly one other object covers Sᵢ → Sᵢ moves to D</t>
        </is>
      </c>
      <c r="C11" s="111" t="inlineStr">
        <is>
          <t xml:space="preserve">ERDR Iterations</t>
        </is>
      </c>
      <c r="D11" s="94">
        <f>IF(SUM(K6:Q6)&gt;0,1,0)</f>
        <v>1</v>
      </c>
      <c r="E11" s="77">
        <f>IFERROR(MATCH(1,K6:Q6,0),"—")</f>
        <v>5</v>
      </c>
      <c r="F11" s="102" t="inlineStr">
        <is>
          <t xml:space="preserve">Step 4, second form (here g(Sᵢ) = 1)</t>
        </is>
      </c>
      <c r="G11" s="101" t="inlineStr">
        <is>
          <t xml:space="preserve">branch</t>
        </is>
      </c>
      <c r="J11" s="62">
        <v>12</v>
      </c>
      <c r="K11" s="76">
        <f>IF(SUMPRODUCT('ERDR Iterations'!$B$24:$H$24*'ERDR Iterations'!$B$9:$H$9)&gt;0,1,0)</f>
        <v>0</v>
      </c>
      <c r="L11" s="76">
        <f>IF(SUMPRODUCT('ERDR Iterations'!$B$50:$H$50*'ERDR Iterations'!$B$35:$H$35)&gt;0,1,0)</f>
        <v>0</v>
      </c>
      <c r="M11" s="76">
        <f>IF(SUMPRODUCT('ERDR Iterations'!$B$76:$H$76*'ERDR Iterations'!$B$61:$H$61)&gt;0,1,0)</f>
        <v>1</v>
      </c>
      <c r="N11" s="76">
        <f>IF(SUMPRODUCT('ERDR Iterations'!$B$102:$H$102*'ERDR Iterations'!$B$87:$H$87)&gt;0,1,0)</f>
        <v>0</v>
      </c>
      <c r="O11" s="76">
        <f>IF(SUMPRODUCT('ERDR Iterations'!$B$128:$H$128*'ERDR Iterations'!$B$113:$H$113)&gt;0,1,0)</f>
        <v>0</v>
      </c>
      <c r="P11" s="76">
        <f>IF(SUMPRODUCT('ERDR Iterations'!$B$154:$H$154*'ERDR Iterations'!$B$139:$H$139)&gt;0,1,0)</f>
        <v>0</v>
      </c>
      <c r="Q11" s="76">
        <f>IF(SUMPRODUCT('ERDR Iterations'!$B$180:$H$180*'ERDR Iterations'!$B$165:$H$165)&gt;0,1,0)</f>
        <v>0</v>
      </c>
    </row>
    <row r="12" ht="31" customHeight="1">
      <c r="A12" s="77">
        <v>8</v>
      </c>
      <c r="B12" s="102" t="inlineStr">
        <is>
          <t xml:space="preserve">|L| = 0: Sᵢ is only blocked and stays in F</t>
        </is>
      </c>
      <c r="C12" s="111" t="inlineStr">
        <is>
          <t xml:space="preserve">ERDR Iterations</t>
        </is>
      </c>
      <c r="D12" s="94">
        <f>IF(SUM(K7:Q7)&gt;0,1,0)</f>
        <v>1</v>
      </c>
      <c r="E12" s="77">
        <f>IFERROR(MATCH(1,K7:Q7,0),"—")</f>
        <v>6</v>
      </c>
      <c r="F12" s="102" t="inlineStr">
        <is>
          <t xml:space="preserve">Not stated in the article; the literal text leaves Sᵢ in F (validation)</t>
        </is>
      </c>
      <c r="G12" s="101" t="inlineStr">
        <is>
          <t xml:space="preserve">branch</t>
        </is>
      </c>
      <c r="J12" s="62">
        <v>13</v>
      </c>
      <c r="K12" s="76">
        <f>IF('ERDR Iterations'!$K$9=0,0,IF(AND('ERDR Iterations'!$K$14&gt;1,INDEX('ERDR Iterations'!$B$20:$H$20,'ERDR Iterations'!$K$9)=1),1,0))</f>
        <v>1</v>
      </c>
      <c r="L12" s="76">
        <f>IF('ERDR Iterations'!$K$35=0,0,IF(AND('ERDR Iterations'!$K$40&gt;1,INDEX('ERDR Iterations'!$B$46:$H$46,'ERDR Iterations'!$K$35)=1),1,0))</f>
        <v>1</v>
      </c>
      <c r="M12" s="76">
        <f>IF('ERDR Iterations'!$K$61=0,0,IF(AND('ERDR Iterations'!$K$66&gt;1,INDEX('ERDR Iterations'!$B$72:$H$72,'ERDR Iterations'!$K$61)=1),1,0))</f>
        <v>1</v>
      </c>
      <c r="N12" s="76">
        <f>IF('ERDR Iterations'!$K$87=0,0,IF(AND('ERDR Iterations'!$K$92&gt;1,INDEX('ERDR Iterations'!$B$98:$H$98,'ERDR Iterations'!$K$87)=1),1,0))</f>
        <v>0</v>
      </c>
      <c r="O12" s="76">
        <f>IF('ERDR Iterations'!$K$113=0,0,IF(AND('ERDR Iterations'!$K$118&gt;1,INDEX('ERDR Iterations'!$B$124:$H$124,'ERDR Iterations'!$K$113)=1),1,0))</f>
        <v>0</v>
      </c>
      <c r="P12" s="76">
        <f>IF('ERDR Iterations'!$K$139=0,0,IF(AND('ERDR Iterations'!$K$144&gt;1,INDEX('ERDR Iterations'!$B$150:$H$150,'ERDR Iterations'!$K$139)=1),1,0))</f>
        <v>0</v>
      </c>
      <c r="Q12" s="76">
        <f>IF('ERDR Iterations'!$K$165=0,0,IF(AND('ERDR Iterations'!$K$170&gt;1,INDEX('ERDR Iterations'!$B$176:$H$176,'ERDR Iterations'!$K$165)=1),1,0))</f>
        <v>0</v>
      </c>
    </row>
    <row r="13" ht="31" customHeight="1">
      <c r="A13" s="77">
        <v>9</v>
      </c>
      <c r="B13" s="102" t="inlineStr">
        <is>
          <t xml:space="preserve">|L| &gt; 1 and some g(Sⱼ) falls to 1 → Sⱼ moves to D</t>
        </is>
      </c>
      <c r="C13" s="111" t="inlineStr">
        <is>
          <t xml:space="preserve">ERDR Iterations</t>
        </is>
      </c>
      <c r="D13" s="94">
        <f>IF(SUM(K8:Q8)&gt;0,1,0)</f>
        <v>1</v>
      </c>
      <c r="E13" s="77">
        <f>IFERROR(MATCH(1,K8:Q8,0),"—")</f>
        <v>2</v>
      </c>
      <c r="F13" s="102" t="inlineStr">
        <is>
          <t xml:space="preserve">Step 5 move</t>
        </is>
      </c>
      <c r="G13" s="101" t="inlineStr">
        <is>
          <t xml:space="preserve">branch</t>
        </is>
      </c>
      <c r="J13" s="62">
        <v>15</v>
      </c>
      <c r="K13" s="76">
        <f>IF(SUM('ERDR Iterations'!$B$24:$H$24)&gt;=2,1,0)</f>
        <v>0</v>
      </c>
      <c r="L13" s="76">
        <f>IF(SUM('ERDR Iterations'!$B$50:$H$50)&gt;=2,1,0)</f>
        <v>0</v>
      </c>
      <c r="M13" s="76">
        <f>IF(SUM('ERDR Iterations'!$B$76:$H$76)&gt;=2,1,0)</f>
        <v>1</v>
      </c>
      <c r="N13" s="76">
        <f>IF(SUM('ERDR Iterations'!$B$102:$H$102)&gt;=2,1,0)</f>
        <v>0</v>
      </c>
      <c r="O13" s="76">
        <f>IF(SUM('ERDR Iterations'!$B$128:$H$128)&gt;=2,1,0)</f>
        <v>0</v>
      </c>
      <c r="P13" s="76">
        <f>IF(SUM('ERDR Iterations'!$B$154:$H$154)&gt;=2,1,0)</f>
        <v>0</v>
      </c>
      <c r="Q13" s="76">
        <f>IF(SUM('ERDR Iterations'!$B$180:$H$180)&gt;=2,1,0)</f>
        <v>0</v>
      </c>
    </row>
    <row r="14" ht="31" customHeight="1">
      <c r="A14" s="77">
        <v>10</v>
      </c>
      <c r="B14" s="102" t="inlineStr">
        <is>
          <t xml:space="preserve">|L| &gt; 1 and some g(Sⱼ) stays above 1 after the decrease</t>
        </is>
      </c>
      <c r="C14" s="111" t="inlineStr">
        <is>
          <t xml:space="preserve">ERDR Iterations</t>
        </is>
      </c>
      <c r="D14" s="94">
        <f>IF(SUM(K9:Q9)&gt;0,1,0)</f>
        <v>1</v>
      </c>
      <c r="E14" s="77">
        <f>IFERROR(MATCH(1,K9:Q9,0),"—")</f>
        <v>1</v>
      </c>
      <c r="F14" s="102" t="inlineStr">
        <is>
          <t xml:space="preserve">Step 5 correction without a move</t>
        </is>
      </c>
      <c r="G14" s="101" t="inlineStr">
        <is>
          <t xml:space="preserve">branch</t>
        </is>
      </c>
    </row>
    <row r="15" ht="31" customHeight="1">
      <c r="A15" s="77">
        <v>11</v>
      </c>
      <c r="B15" s="102" t="inlineStr">
        <is>
          <t xml:space="preserve">Step 5 moves an object that has not been processed yet (it leaves the queue early)</t>
        </is>
      </c>
      <c r="C15" s="111" t="inlineStr">
        <is>
          <t xml:space="preserve">ERDR Iterations</t>
        </is>
      </c>
      <c r="D15" s="94">
        <f>IF(SUM(K10:Q10)&gt;0,1,0)</f>
        <v>1</v>
      </c>
      <c r="E15" s="77">
        <f>IFERROR(MATCH(1,K10:Q10,0),"—")</f>
        <v>2</v>
      </c>
      <c r="F15" s="102" t="inlineStr">
        <is>
          <t xml:space="preserve">Step 5 changes the queue of later iterations</t>
        </is>
      </c>
      <c r="G15" s="101" t="inlineStr">
        <is>
          <t xml:space="preserve">branch</t>
        </is>
      </c>
    </row>
    <row r="16" ht="31" customHeight="1">
      <c r="A16" s="77">
        <v>12</v>
      </c>
      <c r="B16" s="102" t="inlineStr">
        <is>
          <t xml:space="preserve">Step 5 moves an object that was processed earlier and stayed in F</t>
        </is>
      </c>
      <c r="C16" s="111" t="inlineStr">
        <is>
          <t xml:space="preserve">ERDR Iterations</t>
        </is>
      </c>
      <c r="D16" s="94">
        <f>IF(SUM(K11:Q11)&gt;0,1,0)</f>
        <v>1</v>
      </c>
      <c r="E16" s="77">
        <f>IFERROR(MATCH(1,K11:Q11,0),"—")</f>
        <v>3</v>
      </c>
      <c r="F16" s="102" t="inlineStr">
        <is>
          <t xml:space="preserve">Possible only because processed objects stay in F (reading B)</t>
        </is>
      </c>
      <c r="G16" s="101" t="inlineStr">
        <is>
          <t xml:space="preserve">branch</t>
        </is>
      </c>
    </row>
    <row r="17" ht="31" customHeight="1">
      <c r="A17" s="77">
        <v>13</v>
      </c>
      <c r="B17" s="102" t="inlineStr">
        <is>
          <t xml:space="preserve">Sᵢ belongs to its own L and its own counter is decreased</t>
        </is>
      </c>
      <c r="C17" s="111" t="inlineStr">
        <is>
          <t xml:space="preserve">ERDR Iterations</t>
        </is>
      </c>
      <c r="D17" s="94">
        <f>IF(SUM(K12:Q12)&gt;0,1,0)</f>
        <v>1</v>
      </c>
      <c r="E17" s="77">
        <f>IFERROR(MATCH(1,K12:Q12,0),"—")</f>
        <v>1</v>
      </c>
      <c r="F17" s="102" t="inlineStr">
        <is>
          <t xml:space="preserve">Literal reading A: Sᵢ lies inside its own sphere</t>
        </is>
      </c>
      <c r="G17" s="101" t="inlineStr">
        <is>
          <t xml:space="preserve">branch</t>
        </is>
      </c>
    </row>
    <row r="18" ht="31" customHeight="1">
      <c r="A18" s="77">
        <v>14</v>
      </c>
      <c r="B18" s="102" t="inlineStr">
        <is>
          <t xml:space="preserve">One counter g(Sⱼ) is decreased in two different iterations</t>
        </is>
      </c>
      <c r="C18" s="111" t="inlineStr">
        <is>
          <t xml:space="preserve">ERDR Trace</t>
        </is>
      </c>
      <c r="D18" s="94">
        <f>IF(COUNTIF('ERDR Trace'!$B$91:$H$91,"&gt;=2")&gt;0,1,0)</f>
        <v>1</v>
      </c>
      <c r="E18" s="77" t="inlineStr">
        <is>
          <t xml:space="preserve">Step 5 (run)</t>
        </is>
      </c>
      <c r="F18" s="102" t="inlineStr">
        <is>
          <t xml:space="preserve">State carried from one iteration to the next</t>
        </is>
      </c>
      <c r="G18" s="101" t="inlineStr">
        <is>
          <t xml:space="preserve">branch</t>
        </is>
      </c>
    </row>
    <row r="19" ht="31" customHeight="1">
      <c r="A19" s="77">
        <v>15</v>
      </c>
      <c r="B19" s="102" t="inlineStr">
        <is>
          <t xml:space="preserve">Two objects move to D in the same Step 5</t>
        </is>
      </c>
      <c r="C19" s="111" t="inlineStr">
        <is>
          <t xml:space="preserve">ERDR Iterations</t>
        </is>
      </c>
      <c r="D19" s="94">
        <f>IF(SUM(K13:Q13)&gt;0,1,0)</f>
        <v>1</v>
      </c>
      <c r="E19" s="77">
        <f>IFERROR(MATCH(1,K13:Q13,0),"—")</f>
        <v>3</v>
      </c>
      <c r="F19" s="102" t="inlineStr">
        <is>
          <t xml:space="preserve">Where “Перейти к шагу 2” stands matters (reading C)</t>
        </is>
      </c>
      <c r="G19" s="101" t="inlineStr">
        <is>
          <t xml:space="preserve">extra</t>
        </is>
      </c>
    </row>
    <row r="20" ht="31" customHeight="1">
      <c r="A20" s="77">
        <v>16</v>
      </c>
      <c r="B20" s="102" t="inlineStr">
        <is>
          <t xml:space="preserve">Result: D contains both classes and the validation set F is not empty</t>
        </is>
      </c>
      <c r="C20" s="111" t="inlineStr">
        <is>
          <t xml:space="preserve">Training &amp; Validation</t>
        </is>
      </c>
      <c r="D20" s="94">
        <f>IF(AND('Training &amp; Validation'!$B$15&gt;0,'Training &amp; Validation'!$C$15&gt;0,'Training &amp; Validation'!$D$16&gt;0),1,0)</f>
        <v>1</v>
      </c>
      <c r="E20" s="77" t="inlineStr">
        <is>
          <t xml:space="preserve">Step 6</t>
        </is>
      </c>
      <c r="F20" s="102" t="inlineStr">
        <is>
          <t xml:space="preserve">A usable training sample</t>
        </is>
      </c>
      <c r="G20" s="101" t="inlineStr">
        <is>
          <t xml:space="preserve">branch</t>
        </is>
      </c>
    </row>
    <row r="21" ht="31" customHeight="1">
      <c r="A21" s="77">
        <v>17</v>
      </c>
      <c r="B21" s="102" t="inlineStr">
        <is>
          <t xml:space="preserve">Result: the validation set F contains both classes</t>
        </is>
      </c>
      <c r="C21" s="111" t="inlineStr">
        <is>
          <t xml:space="preserve">Training &amp; Validation</t>
        </is>
      </c>
      <c r="D21" s="94">
        <f>IF(AND('Training &amp; Validation'!$B$16&gt;0,'Training &amp; Validation'!$C$16&gt;0),1,0)</f>
        <v>1</v>
      </c>
      <c r="E21" s="77" t="inlineStr">
        <is>
          <t xml:space="preserve">Step 6</t>
        </is>
      </c>
      <c r="F21" s="102" t="inlineStr">
        <is>
          <t xml:space="preserve">A usable validation sample</t>
        </is>
      </c>
      <c r="G21" s="101" t="inlineStr">
        <is>
          <t xml:space="preserve">extra</t>
        </is>
      </c>
    </row>
    <row r="22">
      <c r="A22" s="90" t="inlineStr">
        <is>
          <t xml:space="preserve">Σ</t>
        </is>
      </c>
      <c r="B22" s="92" t="str">
        <f>SUM(D5:D21)&amp;" of 17 cases occur"&amp;IF(SUM(D5:D21)=17,"  ✓ every case of the algorithm is shown","  ⚠ some cases are missing for this selection / reading")</f>
        <v>17 of 17 cases occur  ✓ every case of the algorithm is shown</v>
      </c>
      <c r="C22" s="92"/>
      <c r="D22" s="92"/>
      <c r="E22" s="92"/>
      <c r="F22" s="92"/>
      <c r="G22" s="92"/>
      <c r="H22" s="92"/>
    </row>
    <row r="23"/>
    <row r="24">
      <c r="A24" s="100" t="inlineStr">
        <is>
          <t xml:space="preserve">A case that cannot happen is not listed: “an object covers Sᵢ but is left out of L because g(Sⱼ) = 1”. If Sⱼ ≠ Sᵢ covers Sᵢ, Sᵢ is inside the sphere of Sⱼ, so g(Sⱼ) ≥ 2 at the start;</t>
        </is>
      </c>
    </row>
    <row r="25">
      <c r="A25" s="100" t="inlineStr">
        <is>
          <t xml:space="preserve">g only decreases in Step 5, and an object whose g falls to 1 leaves F at once. Hence for Sⱼ ≠ Sᵢ the condition g(Sⱼ) &gt; 1 in L always holds — it only decides whether Sᵢ itself is in L.</t>
        </is>
      </c>
    </row>
    <row r="26">
      <c r="A26" s="100" t="inlineStr">
        <is>
          <t xml:space="preserve">Iteration cases are detected from the ERDR Iterations rows (|L|, membership of Sᵢ, Step 5 moves, processed flags); the others from Step 1, Step 2 and the Step 6 result.</t>
        </is>
      </c>
    </row>
  </sheetData>
  <mergeCells count="4">
    <mergeCell ref="A1:Q1"/>
    <mergeCell ref="A3:H3"/>
    <mergeCell ref="B22:H22"/>
    <mergeCell ref="J3:Q3"/>
  </mergeCells>
  <conditionalFormatting sqref="D5:D21">
    <cfRule type="cellIs" dxfId="0" priority="1" operator="equal">
      <formula>1</formula>
    </cfRule>
  </conditionalFormatting>
  <conditionalFormatting sqref="D5:D21">
    <cfRule type="cellIs" dxfId="2" priority="2" operator="equal">
      <formula>0</formula>
    </cfRule>
  </conditionalFormatting>
  <conditionalFormatting sqref="K5:Q5">
    <cfRule type="cellIs" dxfId="0" priority="3" operator="equal">
      <formula>1</formula>
    </cfRule>
  </conditionalFormatting>
  <conditionalFormatting sqref="K6:Q6">
    <cfRule type="cellIs" dxfId="0" priority="4" operator="equal">
      <formula>1</formula>
    </cfRule>
  </conditionalFormatting>
  <conditionalFormatting sqref="K7:Q7">
    <cfRule type="cellIs" dxfId="0" priority="5" operator="equal">
      <formula>1</formula>
    </cfRule>
  </conditionalFormatting>
  <conditionalFormatting sqref="K8:Q8">
    <cfRule type="cellIs" dxfId="0" priority="6" operator="equal">
      <formula>1</formula>
    </cfRule>
  </conditionalFormatting>
  <conditionalFormatting sqref="K9:Q9">
    <cfRule type="cellIs" dxfId="0" priority="7" operator="equal">
      <formula>1</formula>
    </cfRule>
  </conditionalFormatting>
  <conditionalFormatting sqref="K10:Q10">
    <cfRule type="cellIs" dxfId="0" priority="8" operator="equal">
      <formula>1</formula>
    </cfRule>
  </conditionalFormatting>
  <conditionalFormatting sqref="K11:Q11">
    <cfRule type="cellIs" dxfId="0" priority="9" operator="equal">
      <formula>1</formula>
    </cfRule>
  </conditionalFormatting>
  <conditionalFormatting sqref="K12:Q12">
    <cfRule type="cellIs" dxfId="0" priority="10" operator="equal">
      <formula>1</formula>
    </cfRule>
  </conditionalFormatting>
  <conditionalFormatting sqref="K13:Q13">
    <cfRule type="cellIs" dxfId="0" priority="11" operator="equal">
      <formula>1</formula>
    </cfRule>
  </conditionalFormatting>
  <hyperlinks>
    <hyperlink ref="C5" location="'Parameters'!A1" display="Parameters" tooltip="Go to Parameters"/>
    <hyperlink ref="C6" location="'ERDR Characteristics'!A1" display="ERDR Characteristics" tooltip="Go to ERDR Characteristics"/>
    <hyperlink ref="C7" location="'ERDR Characteristics'!A1" display="ERDR Characteristics" tooltip="Go to ERDR Characteristics"/>
    <hyperlink ref="C8" location="'Priority Queue'!A1" display="Priority Queue" tooltip="Go to Priority Queue"/>
    <hyperlink ref="C9" location="'Priority Queue'!A1" display="Priority Queue" tooltip="Go to Priority Queue"/>
    <hyperlink ref="C10" location="'ERDR Iterations'!A1" display="ERDR Iterations" tooltip="Go to ERDR Iterations"/>
    <hyperlink ref="C11" location="'ERDR Iterations'!A1" display="ERDR Iterations" tooltip="Go to ERDR Iterations"/>
    <hyperlink ref="C12" location="'ERDR Iterations'!A1" display="ERDR Iterations" tooltip="Go to ERDR Iterations"/>
    <hyperlink ref="C13" location="'ERDR Iterations'!A1" display="ERDR Iterations" tooltip="Go to ERDR Iterations"/>
    <hyperlink ref="C14" location="'ERDR Iterations'!A1" display="ERDR Iterations" tooltip="Go to ERDR Iterations"/>
    <hyperlink ref="C15" location="'ERDR Iterations'!A1" display="ERDR Iterations" tooltip="Go to ERDR Iterations"/>
    <hyperlink ref="C16" location="'ERDR Iterations'!A1" display="ERDR Iterations" tooltip="Go to ERDR Iterations"/>
    <hyperlink ref="C17" location="'ERDR Iterations'!A1" display="ERDR Iterations" tooltip="Go to ERDR Iterations"/>
    <hyperlink ref="C18" location="'ERDR Trace'!A1" display="ERDR Trace" tooltip="Go to ERDR Trace"/>
    <hyperlink ref="C19" location="'ERDR Iterations'!A1" display="ERDR Iterations" tooltip="Go to ERDR Iterations"/>
    <hyperlink ref="C20" location="'Training &amp; Validation'!A1" display="Training &amp; Validation" tooltip="Go to Training &amp; Validation"/>
    <hyperlink ref="C21" location="'Training &amp; Validation'!A1" display="Training &amp; Validation" tooltip="Go to Training &amp; Validation"/>
  </hyperlink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&amp;L&amp;"Calibri,Bold"&amp;9ERDR Algorithm — Heart-Disease (7, 13, 2) selected from Heart-Disease (270, 13, 2)&amp;R&amp;"Calibri,Regular"&amp;9&amp;A</oddHeader>
    <oddFooter>&amp;C&amp;"Calibri,Regular"&amp;9Page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548235"/>
    <pageSetUpPr fitToPage="1"/>
  </sheetPr>
  <dimension ref="A1:H23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22.77734375" customWidth="1"/>
    <col min="2" max="3" width="12.77734375" customWidth="1"/>
    <col min="4" max="4" width="16.77734375" customWidth="1"/>
    <col min="5" max="6" width="14.77734375" customWidth="1"/>
    <col min="7" max="7" width="22.77734375" customWidth="1"/>
    <col min="8" max="8" width="12.77734375" customWidth="1"/>
  </cols>
  <sheetData>
    <row r="1" ht="22" customHeight="1">
      <c r="A1" s="57" t="inlineStr">
        <is>
          <t xml:space="preserve">ERDR Step 6 · Training sample D and validation sample F = E₀ \ D</t>
        </is>
      </c>
      <c r="B1" s="57"/>
      <c r="C1" s="57"/>
      <c r="D1" s="57"/>
      <c r="E1" s="57"/>
      <c r="F1" s="57"/>
      <c r="G1" s="57"/>
      <c r="H1" s="57"/>
    </row>
    <row r="2"/>
    <row r="3">
      <c r="A3" s="58" t="inlineStr">
        <is>
          <t xml:space="preserve">Every object, its sample and how it got there (live)</t>
        </is>
      </c>
      <c r="B3" s="58"/>
      <c r="C3" s="58"/>
      <c r="D3" s="58"/>
      <c r="E3" s="58"/>
      <c r="F3" s="58"/>
      <c r="G3" s="58"/>
      <c r="H3" s="58"/>
    </row>
    <row r="4" ht="34" customHeight="1">
      <c r="A4" s="60" t="inlineStr">
        <is>
          <t xml:space="preserve">№</t>
        </is>
      </c>
      <c r="B4" s="60" t="inlineStr">
        <is>
          <t xml:space="preserve">Source row</t>
        </is>
      </c>
      <c r="C4" s="60" t="inlineStr">
        <is>
          <t xml:space="preserve">Class</t>
        </is>
      </c>
      <c r="D4" s="60" t="inlineStr">
        <is>
          <t xml:space="preserve">Sample</t>
        </is>
      </c>
      <c r="E4" s="60" t="inlineStr">
        <is>
          <t xml:space="preserve">Processed in iteration</t>
        </is>
      </c>
      <c r="F4" s="60" t="inlineStr">
        <is>
          <t xml:space="preserve">Entered D in iteration</t>
        </is>
      </c>
      <c r="G4" s="60" t="inlineStr">
        <is>
          <t xml:space="preserve">Entered D by</t>
        </is>
      </c>
      <c r="H4" s="60" t="inlineStr">
        <is>
          <t xml:space="preserve">Counter decreases</t>
        </is>
      </c>
    </row>
    <row r="5">
      <c r="A5" s="62" t="inlineStr">
        <is>
          <t xml:space="preserve">S₁</t>
        </is>
      </c>
      <c r="B5" s="78">
        <f>'Dataset'!B5</f>
        <v>1</v>
      </c>
      <c r="C5" s="68">
        <f>'Dataset'!P5</f>
        <v>2</v>
      </c>
      <c r="D5" s="85" t="str">
        <f>IF('ERDR Trace'!B$92="F","F · validation","D · training")</f>
        <v>D · training</v>
      </c>
      <c r="E5" s="77">
        <f>'ERDR Trace'!B$88</f>
        <v>1</v>
      </c>
      <c r="F5" s="77">
        <f>'ERDR Trace'!B$89</f>
        <v>3</v>
      </c>
      <c r="G5" s="101" t="str">
        <f>IF('ERDR Trace'!B$90="Step 4","Step 4 · |L| = 1",IF('ERDR Trace'!B$90="Step 5","Step 5 · g fell to 1","— (stays in F)"))</f>
        <v>Step 5 · g fell to 1</v>
      </c>
      <c r="H5" s="76">
        <f>'ERDR Trace'!B$91</f>
        <v>2</v>
      </c>
    </row>
    <row r="6">
      <c r="A6" s="62" t="inlineStr">
        <is>
          <t xml:space="preserve">S₂</t>
        </is>
      </c>
      <c r="B6" s="78">
        <f>'Dataset'!B6</f>
        <v>10</v>
      </c>
      <c r="C6" s="68">
        <f>'Dataset'!P6</f>
        <v>2</v>
      </c>
      <c r="D6" s="85" t="str">
        <f>IF('ERDR Trace'!C$92="F","F · validation","D · training")</f>
        <v>D · training</v>
      </c>
      <c r="E6" s="77">
        <f>'ERDR Trace'!C$88</f>
        <v>4</v>
      </c>
      <c r="F6" s="77">
        <f>'ERDR Trace'!C$89</f>
        <v>4</v>
      </c>
      <c r="G6" s="101" t="str">
        <f>IF('ERDR Trace'!C$90="Step 4","Step 4 · |L| = 1",IF('ERDR Trace'!C$90="Step 5","Step 5 · g fell to 1","— (stays in F)"))</f>
        <v>Step 4 · |L| = 1</v>
      </c>
      <c r="H6" s="76">
        <f>'ERDR Trace'!C$91</f>
        <v>2</v>
      </c>
    </row>
    <row r="7">
      <c r="A7" s="62" t="inlineStr">
        <is>
          <t xml:space="preserve">S₃</t>
        </is>
      </c>
      <c r="B7" s="78">
        <f>'Dataset'!B7</f>
        <v>73</v>
      </c>
      <c r="C7" s="68">
        <f>'Dataset'!P7</f>
        <v>1</v>
      </c>
      <c r="D7" s="85" t="str">
        <f>IF('ERDR Trace'!D$92="F","F · validation","D · training")</f>
        <v>F · validation</v>
      </c>
      <c r="E7" s="77">
        <f>'ERDR Trace'!D$88</f>
        <v>2</v>
      </c>
      <c r="F7" s="77" t="str">
        <f>'ERDR Trace'!D$89</f>
        <v>—</v>
      </c>
      <c r="G7" s="101" t="str">
        <f>IF('ERDR Trace'!D$90="Step 4","Step 4 · |L| = 1",IF('ERDR Trace'!D$90="Step 5","Step 5 · g fell to 1","— (stays in F)"))</f>
        <v>— (stays in F)</v>
      </c>
      <c r="H7" s="76">
        <f>'ERDR Trace'!D$91</f>
        <v>1</v>
      </c>
    </row>
    <row r="8">
      <c r="A8" s="62" t="inlineStr">
        <is>
          <t xml:space="preserve">S₄</t>
        </is>
      </c>
      <c r="B8" s="78">
        <f>'Dataset'!B8</f>
        <v>143</v>
      </c>
      <c r="C8" s="68">
        <f>'Dataset'!P8</f>
        <v>2</v>
      </c>
      <c r="D8" s="85" t="str">
        <f>IF('ERDR Trace'!E$92="F","F · validation","D · training")</f>
        <v>F · validation</v>
      </c>
      <c r="E8" s="77">
        <f>'ERDR Trace'!E$88</f>
        <v>6</v>
      </c>
      <c r="F8" s="77" t="str">
        <f>'ERDR Trace'!E$89</f>
        <v>—</v>
      </c>
      <c r="G8" s="101" t="str">
        <f>IF('ERDR Trace'!E$90="Step 4","Step 4 · |L| = 1",IF('ERDR Trace'!E$90="Step 5","Step 5 · g fell to 1","— (stays in F)"))</f>
        <v>— (stays in F)</v>
      </c>
      <c r="H8" s="76">
        <f>'ERDR Trace'!E$91</f>
        <v>0</v>
      </c>
    </row>
    <row r="9">
      <c r="A9" s="62" t="inlineStr">
        <is>
          <t xml:space="preserve">S₅</t>
        </is>
      </c>
      <c r="B9" s="78">
        <f>'Dataset'!B9</f>
        <v>224</v>
      </c>
      <c r="C9" s="68">
        <f>'Dataset'!P9</f>
        <v>2</v>
      </c>
      <c r="D9" s="85" t="str">
        <f>IF('ERDR Trace'!F$92="F","F · validation","D · training")</f>
        <v>D · training</v>
      </c>
      <c r="E9" s="77">
        <f>'ERDR Trace'!F$88</f>
        <v>3</v>
      </c>
      <c r="F9" s="77">
        <f>'ERDR Trace'!F$89</f>
        <v>3</v>
      </c>
      <c r="G9" s="101" t="str">
        <f>IF('ERDR Trace'!F$90="Step 4","Step 4 · |L| = 1",IF('ERDR Trace'!F$90="Step 5","Step 5 · g fell to 1","— (stays in F)"))</f>
        <v>Step 5 · g fell to 1</v>
      </c>
      <c r="H9" s="76">
        <f>'ERDR Trace'!F$91</f>
        <v>2</v>
      </c>
    </row>
    <row r="10">
      <c r="A10" s="62" t="inlineStr">
        <is>
          <t xml:space="preserve">S₆</t>
        </is>
      </c>
      <c r="B10" s="78">
        <f>'Dataset'!B10</f>
        <v>226</v>
      </c>
      <c r="C10" s="68">
        <f>'Dataset'!P10</f>
        <v>1</v>
      </c>
      <c r="D10" s="85" t="str">
        <f>IF('ERDR Trace'!G$92="F","F · validation","D · training")</f>
        <v>D · training</v>
      </c>
      <c r="E10" s="77">
        <f>'ERDR Trace'!G$88</f>
        <v>5</v>
      </c>
      <c r="F10" s="77">
        <f>'ERDR Trace'!G$89</f>
        <v>5</v>
      </c>
      <c r="G10" s="101" t="str">
        <f>IF('ERDR Trace'!G$90="Step 4","Step 4 · |L| = 1",IF('ERDR Trace'!G$90="Step 5","Step 5 · g fell to 1","— (stays in F)"))</f>
        <v>Step 4 · |L| = 1</v>
      </c>
      <c r="H10" s="76">
        <f>'ERDR Trace'!G$91</f>
        <v>0</v>
      </c>
    </row>
    <row r="11">
      <c r="A11" s="62" t="inlineStr">
        <is>
          <t xml:space="preserve">S₇</t>
        </is>
      </c>
      <c r="B11" s="78">
        <f>'Dataset'!B11</f>
        <v>239</v>
      </c>
      <c r="C11" s="68">
        <f>'Dataset'!P11</f>
        <v>1</v>
      </c>
      <c r="D11" s="85" t="str">
        <f>IF('ERDR Trace'!H$92="F","F · validation","D · training")</f>
        <v>D · training</v>
      </c>
      <c r="E11" s="77" t="str">
        <f>'ERDR Trace'!H$88</f>
        <v>—</v>
      </c>
      <c r="F11" s="77">
        <f>'ERDR Trace'!H$89</f>
        <v>2</v>
      </c>
      <c r="G11" s="101" t="str">
        <f>IF('ERDR Trace'!H$90="Step 4","Step 4 · |L| = 1",IF('ERDR Trace'!H$90="Step 5","Step 5 · g fell to 1","— (stays in F)"))</f>
        <v>Step 5 · g fell to 1</v>
      </c>
      <c r="H11" s="76">
        <f>'ERDR Trace'!H$91</f>
        <v>1</v>
      </c>
    </row>
    <row r="12"/>
    <row r="13">
      <c r="A13" s="58" t="inlineStr">
        <is>
          <t xml:space="preserve">Class composition</t>
        </is>
      </c>
      <c r="B13" s="58"/>
      <c r="C13" s="58"/>
      <c r="D13" s="58"/>
      <c r="E13" s="58"/>
    </row>
    <row r="14">
      <c r="A14" s="60" t="inlineStr">
        <is>
          <t xml:space="preserve">Sample</t>
        </is>
      </c>
      <c r="B14" s="60" t="inlineStr">
        <is>
          <t xml:space="preserve">K1 (class 1)</t>
        </is>
      </c>
      <c r="C14" s="60" t="inlineStr">
        <is>
          <t xml:space="preserve">K2 (class 2)</t>
        </is>
      </c>
      <c r="D14" s="60" t="inlineStr">
        <is>
          <t xml:space="preserve">Total</t>
        </is>
      </c>
      <c r="E14" s="60" t="inlineStr">
        <is>
          <t xml:space="preserve">Share of N</t>
        </is>
      </c>
    </row>
    <row r="15">
      <c r="A15" s="63" t="inlineStr">
        <is>
          <t xml:space="preserve">D · training</t>
        </is>
      </c>
      <c r="B15" s="77">
        <f>SUMPRODUCT(($C$5:$C$11=1)*(LEFT($D$5:$D$11,1)="D"))</f>
        <v>2</v>
      </c>
      <c r="C15" s="77">
        <f>SUMPRODUCT(($C$5:$C$11=2)*(LEFT($D$5:$D$11,1)="D"))</f>
        <v>3</v>
      </c>
      <c r="D15" s="77">
        <f>B15+C15</f>
        <v>5</v>
      </c>
      <c r="E15" s="108">
        <f>D15/'Parameters'!$B$5</f>
        <v>0.714285714285714</v>
      </c>
    </row>
    <row r="16">
      <c r="A16" s="63" t="inlineStr">
        <is>
          <t xml:space="preserve">F · validation</t>
        </is>
      </c>
      <c r="B16" s="77">
        <f>SUMPRODUCT(($C$5:$C$11=1)*(LEFT($D$5:$D$11,1)="F"))</f>
        <v>1</v>
      </c>
      <c r="C16" s="77">
        <f>SUMPRODUCT(($C$5:$C$11=2)*(LEFT($D$5:$D$11,1)="F"))</f>
        <v>1</v>
      </c>
      <c r="D16" s="77">
        <f>B16+C16</f>
        <v>2</v>
      </c>
      <c r="E16" s="108">
        <f>D16/'Parameters'!$B$5</f>
        <v>0.285714285714286</v>
      </c>
    </row>
    <row r="17">
      <c r="A17" s="63" t="inlineStr">
        <is>
          <t xml:space="preserve">Total</t>
        </is>
      </c>
      <c r="B17" s="77">
        <f>B15+B16</f>
        <v>3</v>
      </c>
      <c r="C17" s="77">
        <f>C15+C16</f>
        <v>4</v>
      </c>
      <c r="D17" s="77">
        <f>D15+D16</f>
        <v>7</v>
      </c>
      <c r="E17" s="108">
        <f>D17/'Parameters'!$B$5</f>
        <v>1</v>
      </c>
    </row>
    <row r="18"/>
    <row r="19">
      <c r="A19" s="82" t="inlineStr">
        <is>
          <t xml:space="preserve">D (training sample)</t>
        </is>
      </c>
      <c r="B19" s="85" t="str">
        <f>IF(D15=0,"∅","{"&amp;MID(IF(LEFT($D$5,1)="D",", "&amp;$A$5,"")&amp;IF(LEFT($D$6,1)="D",", "&amp;$A$6,"")&amp;IF(LEFT($D$7,1)="D",", "&amp;$A$7,"")&amp;IF(LEFT($D$8,1)="D",", "&amp;$A$8,"")&amp;IF(LEFT($D$9,1)="D",", "&amp;$A$9,"")&amp;IF(LEFT($D$10,1)="D",", "&amp;$A$10,"")&amp;IF(LEFT($D$11,1)="D",", "&amp;$A$11,""),3,200)&amp;"}")</f>
        <v>{S₁, S₂, S₅, S₆, S₇}</v>
      </c>
      <c r="C19" s="85"/>
      <c r="D19" s="85"/>
      <c r="E19" s="85"/>
      <c r="F19" s="85"/>
      <c r="G19" s="85"/>
      <c r="H19" s="85"/>
    </row>
    <row r="20">
      <c r="A20" s="82" t="inlineStr">
        <is>
          <t xml:space="preserve">F (validation sample)</t>
        </is>
      </c>
      <c r="B20" s="85" t="str">
        <f>IF(D16=0,"∅","{"&amp;MID(IF(LEFT($D$5,1)="F",", "&amp;$A$5,"")&amp;IF(LEFT($D$6,1)="F",", "&amp;$A$6,"")&amp;IF(LEFT($D$7,1)="F",", "&amp;$A$7,"")&amp;IF(LEFT($D$8,1)="F",", "&amp;$A$8,"")&amp;IF(LEFT($D$9,1)="F",", "&amp;$A$9,"")&amp;IF(LEFT($D$10,1)="F",", "&amp;$A$10,"")&amp;IF(LEFT($D$11,1)="F",", "&amp;$A$11,""),3,200)&amp;"}")</f>
        <v>{S₃, S₄}</v>
      </c>
      <c r="C20" s="85"/>
      <c r="D20" s="85"/>
      <c r="E20" s="85"/>
      <c r="F20" s="85"/>
      <c r="G20" s="85"/>
      <c r="H20" s="85"/>
    </row>
    <row r="21"/>
    <row r="22">
      <c r="A22" s="100" t="inlineStr">
        <is>
          <t xml:space="preserve">The article: «Выход: множество объектов обучающей выборки D и множество объектов валидационной выборки F = E₀ \ D».</t>
        </is>
      </c>
    </row>
    <row r="23">
      <c r="A23" s="100" t="inlineStr">
        <is>
          <t xml:space="preserve">With the literal reading most objects end in D: every Step 5 that lowers the counter of Sᵢ itself (reading A) can move Sᵢ to D. Readings A = 2 or B = 2 give smaller training samples (Readings (Switches)).</t>
        </is>
      </c>
    </row>
  </sheetData>
  <mergeCells count="5">
    <mergeCell ref="A1:H1"/>
    <mergeCell ref="A3:H3"/>
    <mergeCell ref="A13:E13"/>
    <mergeCell ref="B19:H19"/>
    <mergeCell ref="B20:H20"/>
  </mergeCells>
  <conditionalFormatting sqref="A5:H11">
    <cfRule type="expression" dxfId="4" priority="1">
      <formula>LEFT($D5,1)="D"</formula>
    </cfRule>
  </conditionalFormatting>
  <printOptions horizontalCentered="1"/>
  <pageMargins left="0.4" right="0.4" top="0.7" bottom="0.6" header="0.3" footer="0.3"/>
  <pageSetup paperSize="9" orientation="landscape" fitToWidth="1" fitToHeight="0"/>
  <headerFooter>
    <oddHeader>&amp;L&amp;"Calibri,Bold"&amp;9ERDR Algorithm — Heart-Disease (7, 13, 2) selected from Heart-Disease (270, 13, 2)&amp;R&amp;"Calibri,Regular"&amp;9&amp;A</oddHeader>
    <oddFooter>&amp;C&amp;"Calibri,Regular"&amp;9Page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548235"/>
    <pageSetUpPr fitToPage="1"/>
  </sheetPr>
  <dimension ref="A1:L63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10.77734375" customWidth="1"/>
    <col min="2" max="3" width="12.77734375" customWidth="1"/>
    <col min="4" max="4" width="9.77734375" customWidth="1"/>
    <col min="5" max="5" width="16.77734375" customWidth="1"/>
    <col min="6" max="9" width="12.77734375" customWidth="1"/>
    <col min="10" max="10" width="34.77734375" customWidth="1"/>
    <col min="11" max="12" width="12.77734375" customWidth="1"/>
  </cols>
  <sheetData>
    <row r="1" ht="22" customHeight="1">
      <c r="A1" s="57" t="inlineStr">
        <is>
          <t xml:space="preserve">Charts · the 7 objects on a 2-D map, r and z per object, the Step 2 order, and the sample sizes through the iterations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</row>
    <row r="2"/>
    <row r="3">
      <c r="A3" s="58" t="inlineStr">
        <is>
          <t xml:space="preserve">Chart data — live formulas, except the 2-D map coordinates (Python engine)</t>
        </is>
      </c>
      <c r="B3" s="58"/>
      <c r="C3" s="58"/>
      <c r="D3" s="58"/>
      <c r="E3" s="58"/>
      <c r="F3" s="58"/>
      <c r="G3" s="58"/>
      <c r="H3" s="58"/>
      <c r="I3" s="58"/>
      <c r="J3" s="58"/>
    </row>
    <row r="4" ht="34" customHeight="1">
      <c r="A4" s="60" t="inlineStr">
        <is>
          <t xml:space="preserve">№</t>
        </is>
      </c>
      <c r="B4" s="60" t="inlineStr">
        <is>
          <t xml:space="preserve">x (2-D map)</t>
        </is>
      </c>
      <c r="C4" s="60" t="inlineStr">
        <is>
          <t xml:space="preserve">y (2-D map)</t>
        </is>
      </c>
      <c r="D4" s="60" t="inlineStr">
        <is>
          <t xml:space="preserve">Class</t>
        </is>
      </c>
      <c r="E4" s="60" t="inlineStr">
        <is>
          <t xml:space="preserve">Sample (live)</t>
        </is>
      </c>
      <c r="F4" s="60" t="inlineStr">
        <is>
          <t xml:space="preserve">r(Sᵢ)</t>
        </is>
      </c>
      <c r="G4" s="60" t="inlineStr">
        <is>
          <t xml:space="preserve">z(Sᵢ, k)</t>
        </is>
      </c>
      <c r="H4" s="60" t="inlineStr">
        <is>
          <t xml:space="preserve">d(Sᵢ)</t>
        </is>
      </c>
      <c r="I4" s="60" t="inlineStr">
        <is>
          <t xml:space="preserve">Priority position</t>
        </is>
      </c>
      <c r="J4" s="60" t="inlineStr">
        <is>
          <t xml:space="preserve">Marker on the map</t>
        </is>
      </c>
    </row>
    <row r="5">
      <c r="A5" s="62" t="inlineStr">
        <is>
          <t xml:space="preserve">S₁</t>
        </is>
      </c>
      <c r="B5" s="110">
        <v>2.31016</v>
      </c>
      <c r="C5" s="110">
        <v>-0.479167</v>
      </c>
      <c r="D5" s="68">
        <f>'Dataset'!P5</f>
        <v>2</v>
      </c>
      <c r="E5" s="85" t="str">
        <f>'Training &amp; Validation'!D5</f>
        <v>D · training</v>
      </c>
      <c r="F5" s="73">
        <f>'ERDR Characteristics'!D5</f>
        <v>5.60708061</v>
      </c>
      <c r="G5" s="73">
        <f>'ERDR Characteristics'!H5</f>
        <v>5.60708061</v>
      </c>
      <c r="H5" s="73">
        <f>'ERDR Characteristics'!J5</f>
        <v>0</v>
      </c>
      <c r="I5" s="77">
        <f>'ERDR Characteristics'!K5</f>
        <v>1</v>
      </c>
      <c r="J5" s="101" t="inlineStr">
        <is>
          <t xml:space="preserve">▲ triangle, dark (training D)</t>
        </is>
      </c>
    </row>
    <row r="6">
      <c r="A6" s="62" t="inlineStr">
        <is>
          <t xml:space="preserve">S₂</t>
        </is>
      </c>
      <c r="B6" s="110">
        <v>3.761907</v>
      </c>
      <c r="C6" s="110">
        <v>2.727525</v>
      </c>
      <c r="D6" s="68">
        <f>'Dataset'!P6</f>
        <v>2</v>
      </c>
      <c r="E6" s="85" t="str">
        <f>'Training &amp; Validation'!D6</f>
        <v>D · training</v>
      </c>
      <c r="F6" s="73">
        <f>'ERDR Characteristics'!D6</f>
        <v>7.4699698919</v>
      </c>
      <c r="G6" s="73">
        <f>'ERDR Characteristics'!H6</f>
        <v>6.3691657565</v>
      </c>
      <c r="H6" s="73">
        <f>'ERDR Characteristics'!J6</f>
        <v>0.0795428388</v>
      </c>
      <c r="I6" s="77">
        <f>'ERDR Characteristics'!K6</f>
        <v>4</v>
      </c>
      <c r="J6" s="101" t="inlineStr">
        <is>
          <t xml:space="preserve">▲ triangle, dark (training D)</t>
        </is>
      </c>
    </row>
    <row r="7">
      <c r="A7" s="62" t="inlineStr">
        <is>
          <t xml:space="preserve">S₃</t>
        </is>
      </c>
      <c r="B7" s="110">
        <v>-1.711201</v>
      </c>
      <c r="C7" s="110">
        <v>-2.511892</v>
      </c>
      <c r="D7" s="68">
        <f>'Dataset'!P7</f>
        <v>1</v>
      </c>
      <c r="E7" s="85" t="str">
        <f>'Training &amp; Validation'!D7</f>
        <v>F · validation</v>
      </c>
      <c r="F7" s="73">
        <f>'ERDR Characteristics'!D7</f>
        <v>5.60708061</v>
      </c>
      <c r="G7" s="73">
        <f>'ERDR Characteristics'!H7</f>
        <v>5.60708061</v>
      </c>
      <c r="H7" s="73">
        <f>'ERDR Characteristics'!J7</f>
        <v>0</v>
      </c>
      <c r="I7" s="77">
        <f>'ERDR Characteristics'!K7</f>
        <v>2</v>
      </c>
      <c r="J7" s="101" t="inlineStr">
        <is>
          <t xml:space="preserve">● circle, light (validation F)</t>
        </is>
      </c>
    </row>
    <row r="8">
      <c r="A8" s="62" t="inlineStr">
        <is>
          <t xml:space="preserve">S₄</t>
        </is>
      </c>
      <c r="B8" s="110">
        <v>-2.166181</v>
      </c>
      <c r="C8" s="110">
        <v>2.690197</v>
      </c>
      <c r="D8" s="68">
        <f>'Dataset'!P8</f>
        <v>2</v>
      </c>
      <c r="E8" s="85" t="str">
        <f>'Training &amp; Validation'!D8</f>
        <v>F · validation</v>
      </c>
      <c r="F8" s="73">
        <f>'ERDR Characteristics'!D8</f>
        <v>3.7071187508</v>
      </c>
      <c r="G8" s="73">
        <f>'ERDR Characteristics'!H8</f>
        <v>6.2175670209</v>
      </c>
      <c r="H8" s="73">
        <f>'ERDR Characteristics'!J8</f>
        <v>0.2529498997</v>
      </c>
      <c r="I8" s="77">
        <f>'ERDR Characteristics'!K8</f>
        <v>7</v>
      </c>
      <c r="J8" s="101" t="inlineStr">
        <is>
          <t xml:space="preserve">▲ triangle, light (validation F)</t>
        </is>
      </c>
    </row>
    <row r="9">
      <c r="A9" s="62" t="inlineStr">
        <is>
          <t xml:space="preserve">S₅</t>
        </is>
      </c>
      <c r="B9" s="110">
        <v>4.126983</v>
      </c>
      <c r="C9" s="110">
        <v>-1.813838</v>
      </c>
      <c r="D9" s="68">
        <f>'Dataset'!P9</f>
        <v>2</v>
      </c>
      <c r="E9" s="85" t="str">
        <f>'Training &amp; Validation'!D9</f>
        <v>D · training</v>
      </c>
      <c r="F9" s="73">
        <f>'ERDR Characteristics'!D9</f>
        <v>7.1117040273</v>
      </c>
      <c r="G9" s="73">
        <f>'ERDR Characteristics'!H9</f>
        <v>7.1117040273</v>
      </c>
      <c r="H9" s="73">
        <f>'ERDR Characteristics'!J9</f>
        <v>0</v>
      </c>
      <c r="I9" s="77">
        <f>'ERDR Characteristics'!K9</f>
        <v>3</v>
      </c>
      <c r="J9" s="101" t="inlineStr">
        <is>
          <t xml:space="preserve">▲ triangle, dark (training D)</t>
        </is>
      </c>
    </row>
    <row r="10">
      <c r="A10" s="62" t="inlineStr">
        <is>
          <t xml:space="preserve">S₆</t>
        </is>
      </c>
      <c r="B10" s="110">
        <v>-4.027502</v>
      </c>
      <c r="C10" s="110">
        <v>0.891279</v>
      </c>
      <c r="D10" s="68">
        <f>'Dataset'!P10</f>
        <v>1</v>
      </c>
      <c r="E10" s="85" t="str">
        <f>'Training &amp; Validation'!D10</f>
        <v>D · training</v>
      </c>
      <c r="F10" s="73">
        <f>'ERDR Characteristics'!D10</f>
        <v>3.7071187508</v>
      </c>
      <c r="G10" s="73">
        <f>'ERDR Characteristics'!H10</f>
        <v>5.2172783643</v>
      </c>
      <c r="H10" s="73">
        <f>'ERDR Characteristics'!J10</f>
        <v>0.1692169896</v>
      </c>
      <c r="I10" s="77">
        <f>'ERDR Characteristics'!K10</f>
        <v>6</v>
      </c>
      <c r="J10" s="101" t="inlineStr">
        <is>
          <t xml:space="preserve">● circle, dark (training D)</t>
        </is>
      </c>
    </row>
    <row r="11">
      <c r="A11" s="62" t="inlineStr">
        <is>
          <t xml:space="preserve">S₇</t>
        </is>
      </c>
      <c r="B11" s="110">
        <v>-2.294165</v>
      </c>
      <c r="C11" s="110">
        <v>-1.504104</v>
      </c>
      <c r="D11" s="68">
        <f>'Dataset'!P11</f>
        <v>1</v>
      </c>
      <c r="E11" s="85" t="str">
        <f>'Training &amp; Validation'!D11</f>
        <v>D · training</v>
      </c>
      <c r="F11" s="73">
        <f>'ERDR Characteristics'!D11</f>
        <v>3.9109813746</v>
      </c>
      <c r="G11" s="73">
        <f>'ERDR Characteristics'!H11</f>
        <v>5.0314314939</v>
      </c>
      <c r="H11" s="73">
        <f>'ERDR Characteristics'!J11</f>
        <v>0.1252961741</v>
      </c>
      <c r="I11" s="77">
        <f>'ERDR Characteristics'!K11</f>
        <v>5</v>
      </c>
      <c r="J11" s="101" t="inlineStr">
        <is>
          <t xml:space="preserve">● circle, dark (training D)</t>
        </is>
      </c>
    </row>
    <row r="12">
      <c r="A12" s="100" t="inlineStr">
        <is>
          <t xml:space="preserve">2-D map: classical multidimensional scaling of the Zhuravlev distances (Python engine) — correlation with ρ = 0.950, stress-1 = 0.18; positions are approximate.</t>
        </is>
      </c>
    </row>
    <row r="13">
      <c r="A13" s="100" t="inlineStr">
        <is>
          <t xml:space="preserve">Map markers: K1 = blue circle, K2 = red triangle; dark fill = training sample D, light fill = validation sample F (literal reading, default settings).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>
      <c r="A63" s="100" t="inlineStr">
        <is>
          <t xml:space="preserve">All charts except the map follow the formulas: change a reading, k or a source row and they update.</t>
        </is>
      </c>
    </row>
  </sheetData>
  <mergeCells count="2">
    <mergeCell ref="A1:L1"/>
    <mergeCell ref="A3:J3"/>
  </mergeCell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&amp;L&amp;"Calibri,Bold"&amp;9ERDR Algorithm — Heart-Disease (7, 13, 2) selected from Heart-Disease (270, 13, 2)&amp;R&amp;"Calibri,Regular"&amp;9&amp;A</oddHeader>
    <oddFooter>&amp;C&amp;"Calibri,Regular"&amp;9Page &amp;P of &amp;N</oddFooter>
  </headerFooter>
  <drawing r:id="rIdDr1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BF8F00"/>
    <pageSetUpPr fitToPage="1"/>
  </sheetPr>
  <dimension ref="A1:M22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3" width="6.77734375" customWidth="1"/>
    <col min="4" max="4" width="40.77734375" customWidth="1"/>
    <col min="5" max="5" width="24.77734375" customWidth="1"/>
    <col min="6" max="6" width="28.77734375" customWidth="1"/>
    <col min="7" max="10" width="9.77734375" customWidth="1"/>
    <col min="11" max="11" width="18.77734375" customWidth="1"/>
    <col min="12" max="12" width="22.77734375" customWidth="1"/>
    <col min="13" max="13" width="7.77734375" customWidth="1"/>
  </cols>
  <sheetData>
    <row r="1" ht="22" customHeight="1">
      <c r="A1" s="57" t="inlineStr">
        <is>
          <t xml:space="preserve">Readings (switches) · three points of §1.1 that the text leaves open, and what each changes on these 7 objects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</row>
    <row r="2"/>
    <row r="3">
      <c r="A3" s="58" t="inlineStr">
        <is>
          <t xml:space="preserve">The switches live on the Parameters sheet (1 = literal article text, 2 = alternative)</t>
        </is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</row>
    <row r="4">
      <c r="A4" s="60" t="inlineStr">
        <is>
          <t xml:space="preserve">Switch</t>
        </is>
      </c>
      <c r="B4" s="60"/>
      <c r="C4" s="60"/>
      <c r="D4" s="60" t="inlineStr">
        <is>
          <t xml:space="preserve">Literal article reading (value 1, default)</t>
        </is>
      </c>
      <c r="E4" s="60"/>
      <c r="F4" s="60"/>
      <c r="G4" s="60" t="inlineStr">
        <is>
          <t xml:space="preserve">Alternative (value 2)</t>
        </is>
      </c>
      <c r="H4" s="60"/>
      <c r="I4" s="60"/>
      <c r="J4" s="60"/>
      <c r="K4" s="60" t="inlineStr">
        <is>
          <t xml:space="preserve">Current value</t>
        </is>
      </c>
      <c r="L4" s="60" t="inlineStr">
        <is>
          <t xml:space="preserve">Where it acts</t>
        </is>
      </c>
      <c r="M4" s="60"/>
    </row>
    <row r="5" ht="48" customHeight="1">
      <c r="A5" s="83" t="inlineStr">
        <is>
          <t xml:space="preserve">A · Sᵢ in its own L</t>
        </is>
      </c>
      <c r="B5" s="83"/>
      <c r="C5" s="83"/>
      <c r="D5" s="102" t="inlineStr">
        <is>
          <t xml:space="preserve">Sᵢ is a member of L whenever g(Sᵢ) &gt; 1, because ρ(Sᵢ, Sᵢ) = 0 &lt; r(Sᵢ) — so Step 5 may lower g(Sᵢ) and move Sᵢ itself to D</t>
        </is>
      </c>
      <c r="E5" s="102"/>
      <c r="F5" s="102"/>
      <c r="G5" s="102" t="inlineStr">
        <is>
          <t xml:space="preserve">L contains only objects Sⱼ ≠ Sᵢ</t>
        </is>
      </c>
      <c r="H5" s="102"/>
      <c r="I5" s="102"/>
      <c r="J5" s="102"/>
      <c r="K5" s="88">
        <f>'Parameters'!$B$24</f>
        <v>1</v>
      </c>
      <c r="L5" s="102" t="inlineStr">
        <is>
          <t xml:space="preserve">ERDR Iterations, row “Allowed by readings”</t>
        </is>
      </c>
      <c r="M5" s="102"/>
    </row>
    <row r="6" ht="48" customHeight="1">
      <c r="A6" s="83" t="inlineStr">
        <is>
          <t xml:space="preserve">B · processed objects keep covering</t>
        </is>
      </c>
      <c r="B6" s="83"/>
      <c r="C6" s="83"/>
      <c r="D6" s="102" t="inlineStr">
        <is>
          <t xml:space="preserve">F contains every object not yet moved to D, also the blocked (processed) ones — they can be in L later and be moved to D by Step 5</t>
        </is>
      </c>
      <c r="E6" s="102"/>
      <c r="F6" s="102"/>
      <c r="G6" s="102" t="inlineStr">
        <is>
          <t xml:space="preserve">only objects still in the queue (in F, d ≥ 0) can belong to L</t>
        </is>
      </c>
      <c r="H6" s="102"/>
      <c r="I6" s="102"/>
      <c r="J6" s="102"/>
      <c r="K6" s="88">
        <f>'Parameters'!$B$25</f>
        <v>1</v>
      </c>
      <c r="L6" s="102" t="inlineStr">
        <is>
          <t xml:space="preserve">ERDR Iterations, row “Allowed by readings”</t>
        </is>
      </c>
      <c r="M6" s="102"/>
    </row>
    <row r="7" ht="48" customHeight="1">
      <c r="A7" s="83" t="inlineStr">
        <is>
          <t xml:space="preserve">C · return to Step 2</t>
        </is>
      </c>
      <c r="B7" s="83"/>
      <c r="C7" s="83"/>
      <c r="D7" s="102" t="inlineStr">
        <is>
          <t xml:space="preserve">«Перейти к шагу 2» after the whole set L has been corrected</t>
        </is>
      </c>
      <c r="E7" s="102"/>
      <c r="F7" s="102"/>
      <c r="G7" s="102" t="inlineStr">
        <is>
          <t xml:space="preserve">go to Step 2 right after the first object whose g falls to 1 (L taken by ascending index)</t>
        </is>
      </c>
      <c r="H7" s="102"/>
      <c r="I7" s="102"/>
      <c r="J7" s="102"/>
      <c r="K7" s="88">
        <f>'Parameters'!$B$26</f>
        <v>1</v>
      </c>
      <c r="L7" s="102" t="inlineStr">
        <is>
          <t xml:space="preserve">ERDR Iterations, row “Step 5 · counter decreased”</t>
        </is>
      </c>
      <c r="M7" s="102"/>
    </row>
    <row r="8"/>
    <row r="9">
      <c r="A9" s="58" t="inlineStr">
        <is>
          <t xml:space="preserve">All eight combinations on these 7 objects (Python engine values; the row of the current setting is checked against the workbook)</t>
        </is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</row>
    <row r="10" ht="34" customHeight="1">
      <c r="A10" s="60" t="inlineStr">
        <is>
          <t xml:space="preserve">A</t>
        </is>
      </c>
      <c r="B10" s="60" t="inlineStr">
        <is>
          <t xml:space="preserve">B</t>
        </is>
      </c>
      <c r="C10" s="60" t="inlineStr">
        <is>
          <t xml:space="preserve">C</t>
        </is>
      </c>
      <c r="D10" s="60" t="inlineStr">
        <is>
          <t xml:space="preserve">Processing order (Step 3)</t>
        </is>
      </c>
      <c r="E10" s="60" t="inlineStr">
        <is>
          <t xml:space="preserve">D · training</t>
        </is>
      </c>
      <c r="F10" s="60" t="inlineStr">
        <is>
          <t xml:space="preserve">F · validation</t>
        </is>
      </c>
      <c r="G10" s="60" t="inlineStr">
        <is>
          <t xml:space="preserve">|D|</t>
        </is>
      </c>
      <c r="H10" s="60" t="inlineStr">
        <is>
          <t xml:space="preserve">|D ∩ K1|</t>
        </is>
      </c>
      <c r="I10" s="60" t="inlineStr">
        <is>
          <t xml:space="preserve">|D ∩ K2|</t>
        </is>
      </c>
      <c r="J10" s="60" t="inlineStr">
        <is>
          <t xml:space="preserve">Iterations</t>
        </is>
      </c>
      <c r="K10" s="60" t="inlineStr">
        <is>
          <t xml:space="preserve">Current setting</t>
        </is>
      </c>
      <c r="L10" s="60" t="inlineStr">
        <is>
          <t xml:space="preserve">Workbook = engine</t>
        </is>
      </c>
    </row>
    <row r="11">
      <c r="A11" s="104">
        <v>1</v>
      </c>
      <c r="B11" s="104">
        <v>1</v>
      </c>
      <c r="C11" s="104">
        <v>1</v>
      </c>
      <c r="D11" s="106" t="inlineStr">
        <is>
          <t xml:space="preserve">S₁ → S₃ → S₅ → S₂ → S₆ → S₄</t>
        </is>
      </c>
      <c r="E11" s="106" t="inlineStr">
        <is>
          <t xml:space="preserve">{S₁, S₂, S₅, S₆, S₇}</t>
        </is>
      </c>
      <c r="F11" s="106" t="inlineStr">
        <is>
          <t xml:space="preserve">{S₃, S₄}</t>
        </is>
      </c>
      <c r="G11" s="104">
        <v>5</v>
      </c>
      <c r="H11" s="104">
        <v>2</v>
      </c>
      <c r="I11" s="104">
        <v>3</v>
      </c>
      <c r="J11" s="104">
        <v>6</v>
      </c>
      <c r="K11" s="85" t="str">
        <f>IF(AND(A11='Parameters'!$B$24,B11='Parameters'!$B$25,C11='Parameters'!$B$26),"◀ current setting","")</f>
        <v>◀ current setting</v>
      </c>
      <c r="L11" s="85" t="str">
        <f>IF(K11="","",IF(AND(E11='Training &amp; Validation'!$B$19,F11='Training &amp; Validation'!$B$20),"✓ workbook = engine","✗ differs"))</f>
        <v>✓ workbook = engine</v>
      </c>
      <c r="M11" s="101" t="inlineStr">
        <is>
          <t xml:space="preserve">111</t>
        </is>
      </c>
    </row>
    <row r="12">
      <c r="A12" s="104">
        <v>1</v>
      </c>
      <c r="B12" s="104">
        <v>1</v>
      </c>
      <c r="C12" s="104">
        <v>2</v>
      </c>
      <c r="D12" s="106" t="inlineStr">
        <is>
          <t xml:space="preserve">S₁ → S₃ → S₅ → S₂ → S₆ → S₄</t>
        </is>
      </c>
      <c r="E12" s="106" t="inlineStr">
        <is>
          <t xml:space="preserve">{S₁, S₄, S₅, S₆, S₇}</t>
        </is>
      </c>
      <c r="F12" s="106" t="inlineStr">
        <is>
          <t xml:space="preserve">{S₂, S₃}</t>
        </is>
      </c>
      <c r="G12" s="104">
        <v>5</v>
      </c>
      <c r="H12" s="104">
        <v>2</v>
      </c>
      <c r="I12" s="104">
        <v>3</v>
      </c>
      <c r="J12" s="104">
        <v>6</v>
      </c>
      <c r="K12" s="85" t="str">
        <f>IF(AND(A12='Parameters'!$B$24,B12='Parameters'!$B$25,C12='Parameters'!$B$26),"◀ current setting","")</f>
        <v/>
      </c>
      <c r="L12" s="85" t="str">
        <f>IF(K12="","",IF(AND(E12='Training &amp; Validation'!$B$19,F12='Training &amp; Validation'!$B$20),"✓ workbook = engine","✗ differs"))</f>
        <v/>
      </c>
      <c r="M12" s="101" t="inlineStr">
        <is>
          <t xml:space="preserve">112</t>
        </is>
      </c>
    </row>
    <row r="13">
      <c r="A13" s="104">
        <v>1</v>
      </c>
      <c r="B13" s="104">
        <v>2</v>
      </c>
      <c r="C13" s="104">
        <v>1</v>
      </c>
      <c r="D13" s="106" t="inlineStr">
        <is>
          <t xml:space="preserve">S₁ → S₃ → S₅ → S₂ → S₆ → S₄</t>
        </is>
      </c>
      <c r="E13" s="106" t="inlineStr">
        <is>
          <t xml:space="preserve">{S₂, S₅, S₇}</t>
        </is>
      </c>
      <c r="F13" s="106" t="inlineStr">
        <is>
          <t xml:space="preserve">{S₁, S₃, S₄, S₆}</t>
        </is>
      </c>
      <c r="G13" s="104">
        <v>3</v>
      </c>
      <c r="H13" s="104">
        <v>1</v>
      </c>
      <c r="I13" s="104">
        <v>2</v>
      </c>
      <c r="J13" s="104">
        <v>6</v>
      </c>
      <c r="K13" s="85" t="str">
        <f>IF(AND(A13='Parameters'!$B$24,B13='Parameters'!$B$25,C13='Parameters'!$B$26),"◀ current setting","")</f>
        <v/>
      </c>
      <c r="L13" s="85" t="str">
        <f>IF(K13="","",IF(AND(E13='Training &amp; Validation'!$B$19,F13='Training &amp; Validation'!$B$20),"✓ workbook = engine","✗ differs"))</f>
        <v/>
      </c>
      <c r="M13" s="101" t="inlineStr">
        <is>
          <t xml:space="preserve">121</t>
        </is>
      </c>
    </row>
    <row r="14">
      <c r="A14" s="104">
        <v>1</v>
      </c>
      <c r="B14" s="104">
        <v>2</v>
      </c>
      <c r="C14" s="104">
        <v>2</v>
      </c>
      <c r="D14" s="106" t="inlineStr">
        <is>
          <t xml:space="preserve">S₁ → S₃ → S₅ → S₂ → S₆ → S₄</t>
        </is>
      </c>
      <c r="E14" s="106" t="inlineStr">
        <is>
          <t xml:space="preserve">{S₂, S₅, S₇}</t>
        </is>
      </c>
      <c r="F14" s="106" t="inlineStr">
        <is>
          <t xml:space="preserve">{S₁, S₃, S₄, S₆}</t>
        </is>
      </c>
      <c r="G14" s="104">
        <v>3</v>
      </c>
      <c r="H14" s="104">
        <v>1</v>
      </c>
      <c r="I14" s="104">
        <v>2</v>
      </c>
      <c r="J14" s="104">
        <v>6</v>
      </c>
      <c r="K14" s="85" t="str">
        <f>IF(AND(A14='Parameters'!$B$24,B14='Parameters'!$B$25,C14='Parameters'!$B$26),"◀ current setting","")</f>
        <v/>
      </c>
      <c r="L14" s="85" t="str">
        <f>IF(K14="","",IF(AND(E14='Training &amp; Validation'!$B$19,F14='Training &amp; Validation'!$B$20),"✓ workbook = engine","✗ differs"))</f>
        <v/>
      </c>
      <c r="M14" s="101" t="inlineStr">
        <is>
          <t xml:space="preserve">122</t>
        </is>
      </c>
    </row>
    <row r="15">
      <c r="A15" s="104">
        <v>2</v>
      </c>
      <c r="B15" s="104">
        <v>1</v>
      </c>
      <c r="C15" s="104">
        <v>1</v>
      </c>
      <c r="D15" s="106" t="inlineStr">
        <is>
          <t xml:space="preserve">S₁ → S₃ → S₅ → S₂ → S₇ → S₆ → S₄</t>
        </is>
      </c>
      <c r="E15" s="106" t="inlineStr">
        <is>
          <t xml:space="preserve">{S₁, S₃, S₄, S₅}</t>
        </is>
      </c>
      <c r="F15" s="106" t="inlineStr">
        <is>
          <t xml:space="preserve">{S₂, S₆, S₇}</t>
        </is>
      </c>
      <c r="G15" s="104">
        <v>4</v>
      </c>
      <c r="H15" s="104">
        <v>1</v>
      </c>
      <c r="I15" s="104">
        <v>3</v>
      </c>
      <c r="J15" s="104">
        <v>7</v>
      </c>
      <c r="K15" s="85" t="str">
        <f>IF(AND(A15='Parameters'!$B$24,B15='Parameters'!$B$25,C15='Parameters'!$B$26),"◀ current setting","")</f>
        <v/>
      </c>
      <c r="L15" s="85" t="str">
        <f>IF(K15="","",IF(AND(E15='Training &amp; Validation'!$B$19,F15='Training &amp; Validation'!$B$20),"✓ workbook = engine","✗ differs"))</f>
        <v/>
      </c>
      <c r="M15" s="101" t="inlineStr">
        <is>
          <t xml:space="preserve">211</t>
        </is>
      </c>
    </row>
    <row r="16">
      <c r="A16" s="104">
        <v>2</v>
      </c>
      <c r="B16" s="104">
        <v>1</v>
      </c>
      <c r="C16" s="104">
        <v>2</v>
      </c>
      <c r="D16" s="106" t="inlineStr">
        <is>
          <t xml:space="preserve">S₁ → S₃ → S₅ → S₂ → S₇ → S₆ → S₄</t>
        </is>
      </c>
      <c r="E16" s="106" t="inlineStr">
        <is>
          <t xml:space="preserve">{S₁, S₃, S₄}</t>
        </is>
      </c>
      <c r="F16" s="106" t="inlineStr">
        <is>
          <t xml:space="preserve">{S₂, S₅, S₆, S₇}</t>
        </is>
      </c>
      <c r="G16" s="104">
        <v>3</v>
      </c>
      <c r="H16" s="104">
        <v>1</v>
      </c>
      <c r="I16" s="104">
        <v>2</v>
      </c>
      <c r="J16" s="104">
        <v>7</v>
      </c>
      <c r="K16" s="85" t="str">
        <f>IF(AND(A16='Parameters'!$B$24,B16='Parameters'!$B$25,C16='Parameters'!$B$26),"◀ current setting","")</f>
        <v/>
      </c>
      <c r="L16" s="85" t="str">
        <f>IF(K16="","",IF(AND(E16='Training &amp; Validation'!$B$19,F16='Training &amp; Validation'!$B$20),"✓ workbook = engine","✗ differs"))</f>
        <v/>
      </c>
      <c r="M16" s="101" t="inlineStr">
        <is>
          <t xml:space="preserve">212</t>
        </is>
      </c>
    </row>
    <row r="17">
      <c r="A17" s="104">
        <v>2</v>
      </c>
      <c r="B17" s="104">
        <v>2</v>
      </c>
      <c r="C17" s="104">
        <v>1</v>
      </c>
      <c r="D17" s="106" t="inlineStr">
        <is>
          <t xml:space="preserve">S₁ → S₃ → S₅ → S₂ → S₇ → S₆ → S₄</t>
        </is>
      </c>
      <c r="E17" s="106" t="inlineStr">
        <is>
          <t xml:space="preserve">{S₃, S₅}</t>
        </is>
      </c>
      <c r="F17" s="106" t="inlineStr">
        <is>
          <t xml:space="preserve">{S₁, S₂, S₄, S₆, S₇}</t>
        </is>
      </c>
      <c r="G17" s="104">
        <v>2</v>
      </c>
      <c r="H17" s="104">
        <v>1</v>
      </c>
      <c r="I17" s="104">
        <v>1</v>
      </c>
      <c r="J17" s="104">
        <v>7</v>
      </c>
      <c r="K17" s="85" t="str">
        <f>IF(AND(A17='Parameters'!$B$24,B17='Parameters'!$B$25,C17='Parameters'!$B$26),"◀ current setting","")</f>
        <v/>
      </c>
      <c r="L17" s="85" t="str">
        <f>IF(K17="","",IF(AND(E17='Training &amp; Validation'!$B$19,F17='Training &amp; Validation'!$B$20),"✓ workbook = engine","✗ differs"))</f>
        <v/>
      </c>
      <c r="M17" s="101" t="inlineStr">
        <is>
          <t xml:space="preserve">221</t>
        </is>
      </c>
    </row>
    <row r="18">
      <c r="A18" s="104">
        <v>2</v>
      </c>
      <c r="B18" s="104">
        <v>2</v>
      </c>
      <c r="C18" s="104">
        <v>2</v>
      </c>
      <c r="D18" s="106" t="inlineStr">
        <is>
          <t xml:space="preserve">S₁ → S₃ → S₅ → S₂ → S₇ → S₆ → S₄</t>
        </is>
      </c>
      <c r="E18" s="106" t="inlineStr">
        <is>
          <t xml:space="preserve">{S₃, S₅}</t>
        </is>
      </c>
      <c r="F18" s="106" t="inlineStr">
        <is>
          <t xml:space="preserve">{S₁, S₂, S₄, S₆, S₇}</t>
        </is>
      </c>
      <c r="G18" s="104">
        <v>2</v>
      </c>
      <c r="H18" s="104">
        <v>1</v>
      </c>
      <c r="I18" s="104">
        <v>1</v>
      </c>
      <c r="J18" s="104">
        <v>7</v>
      </c>
      <c r="K18" s="85" t="str">
        <f>IF(AND(A18='Parameters'!$B$24,B18='Parameters'!$B$25,C18='Parameters'!$B$26),"◀ current setting","")</f>
        <v/>
      </c>
      <c r="L18" s="85" t="str">
        <f>IF(K18="","",IF(AND(E18='Training &amp; Validation'!$B$19,F18='Training &amp; Validation'!$B$20),"✓ workbook = engine","✗ differs"))</f>
        <v/>
      </c>
      <c r="M18" s="101" t="inlineStr">
        <is>
          <t xml:space="preserve">222</t>
        </is>
      </c>
    </row>
    <row r="19"/>
    <row r="20">
      <c r="A20" s="100" t="inlineStr">
        <is>
          <t xml:space="preserve">6 different training samples come out of the 8 readings: the literal reading gives D = {S₁, S₂, S₅, S₆, S₇}; switching B alone gives D = {S₂, S₅, S₇}; switching A and B gives D = {S₃, S₅}.</t>
        </is>
      </c>
    </row>
    <row r="21">
      <c r="A21" s="100" t="inlineStr">
        <is>
          <t xml:space="preserve">Reading B = 2 together with z(Sᵢ, k) taken from the own class is the reading closest to the article’s Table 1 on all 270 objects (see Article Table 1 Check).</t>
        </is>
      </c>
    </row>
    <row r="22">
      <c r="A22" s="100" t="inlineStr">
        <is>
          <t xml:space="preserve">The own-class z is not offered as a switch here: K1 has only 3 objects, so a 3rd own-class neighbour does not exist (k = 3 needs at least 4 objects per class).</t>
        </is>
      </c>
    </row>
  </sheetData>
  <mergeCells count="19">
    <mergeCell ref="A1:L1"/>
    <mergeCell ref="A3:L3"/>
    <mergeCell ref="A4:C4"/>
    <mergeCell ref="D4:F4"/>
    <mergeCell ref="G4:J4"/>
    <mergeCell ref="L4:M4"/>
    <mergeCell ref="A5:C5"/>
    <mergeCell ref="D5:F5"/>
    <mergeCell ref="G5:J5"/>
    <mergeCell ref="L5:M5"/>
    <mergeCell ref="A6:C6"/>
    <mergeCell ref="D6:F6"/>
    <mergeCell ref="G6:J6"/>
    <mergeCell ref="L6:M6"/>
    <mergeCell ref="A7:C7"/>
    <mergeCell ref="D7:F7"/>
    <mergeCell ref="G7:J7"/>
    <mergeCell ref="L7:M7"/>
    <mergeCell ref="A9:L9"/>
  </mergeCells>
  <conditionalFormatting sqref="A11:L18">
    <cfRule type="expression" dxfId="0" priority="1">
      <formula>$K11&lt;&gt;""</formula>
    </cfRule>
  </conditionalFormatting>
  <printOptions horizontalCentered="1"/>
  <pageMargins left="0.4" right="0.4" top="0.7" bottom="0.6" header="0.3" footer="0.3"/>
  <pageSetup paperSize="9" orientation="landscape" fitToWidth="1" fitToHeight="0"/>
  <headerFooter>
    <oddHeader>&amp;L&amp;"Calibri,Bold"&amp;9ERDR Algorithm — Heart-Disease (7, 13, 2) selected from Heart-Disease (270, 13, 2)&amp;R&amp;"Calibri,Regular"&amp;9&amp;A</oddHeader>
    <oddFooter>&amp;C&amp;"Calibri,Regular"&amp;9Page &amp;P of &amp;N</oddFooter>
  </headerFooter>
  <drawing r:id="rIdDr1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rgb="FFBF8F00"/>
    <pageSetUpPr fitToPage="1"/>
  </sheetPr>
  <dimension ref="A1:R49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8.77734375" customWidth="1"/>
    <col min="2" max="3" width="11.77734375" customWidth="1"/>
    <col min="4" max="18" width="10.77734375" customWidth="1"/>
  </cols>
  <sheetData>
    <row r="1" ht="22" customHeight="1">
      <c r="A1" s="57" t="inlineStr">
        <is>
          <t xml:space="preserve">Article Table 1 check · training-sample size |D| on all 270 objects — published values vs this implementation (Python engine)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</row>
    <row r="2"/>
    <row r="3">
      <c r="A3" s="58" t="inlineStr">
        <is>
          <t xml:space="preserve">Article §3, Table 1 «Размеры обучающих выборок (метрика Журавлёва)» against five readings of §1.1 (classes given as K1, K2 = class 1, class 2)</t>
        </is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</row>
    <row r="4" ht="34" customHeight="1">
      <c r="A4" s="60" t="inlineStr">
        <is>
          <t xml:space="preserve">k</t>
        </is>
      </c>
      <c r="B4" s="60" t="inlineStr">
        <is>
          <t xml:space="preserve">Article Table 1</t>
        </is>
      </c>
      <c r="C4" s="60" t="inlineStr">
        <is>
          <t xml:space="preserve"/>
        </is>
      </c>
      <c r="D4" s="60" t="inlineStr">
        <is>
          <t xml:space="preserve">literal reading (article text)</t>
        </is>
      </c>
      <c r="E4" s="60"/>
      <c r="F4" s="60"/>
      <c r="G4" s="60" t="inlineStr">
        <is>
          <t xml:space="preserve">B: processed objects stop covering</t>
        </is>
      </c>
      <c r="H4" s="60"/>
      <c r="I4" s="60"/>
      <c r="J4" s="60" t="inlineStr">
        <is>
          <t xml:space="preserve">z(Sᵢ,k) from the own class</t>
        </is>
      </c>
      <c r="K4" s="60"/>
      <c r="L4" s="60"/>
      <c r="M4" s="60" t="inlineStr">
        <is>
          <t xml:space="preserve">B + own-class z  (closest reading found)</t>
        </is>
      </c>
      <c r="N4" s="60"/>
      <c r="O4" s="60"/>
      <c r="P4" s="60" t="inlineStr">
        <is>
          <t xml:space="preserve">A: Sᵢ not in its own L</t>
        </is>
      </c>
      <c r="Q4" s="60"/>
      <c r="R4" s="60"/>
    </row>
    <row r="5">
      <c r="A5" s="60" t="inlineStr">
        <is>
          <t xml:space="preserve"/>
        </is>
      </c>
      <c r="B5" s="60" t="inlineStr">
        <is>
          <t xml:space="preserve">|D|</t>
        </is>
      </c>
      <c r="C5" s="60" t="inlineStr">
        <is>
          <t xml:space="preserve">classes</t>
        </is>
      </c>
      <c r="D5" s="60" t="inlineStr">
        <is>
          <t xml:space="preserve">|D|</t>
        </is>
      </c>
      <c r="E5" s="60" t="inlineStr">
        <is>
          <t xml:space="preserve">K1, K2</t>
        </is>
      </c>
      <c r="F5" s="60" t="inlineStr">
        <is>
          <t xml:space="preserve">Δ |D|</t>
        </is>
      </c>
      <c r="G5" s="60" t="inlineStr">
        <is>
          <t xml:space="preserve">|D|</t>
        </is>
      </c>
      <c r="H5" s="60" t="inlineStr">
        <is>
          <t xml:space="preserve">K1, K2</t>
        </is>
      </c>
      <c r="I5" s="60" t="inlineStr">
        <is>
          <t xml:space="preserve">Δ |D|</t>
        </is>
      </c>
      <c r="J5" s="60" t="inlineStr">
        <is>
          <t xml:space="preserve">|D|</t>
        </is>
      </c>
      <c r="K5" s="60" t="inlineStr">
        <is>
          <t xml:space="preserve">K1, K2</t>
        </is>
      </c>
      <c r="L5" s="60" t="inlineStr">
        <is>
          <t xml:space="preserve">Δ |D|</t>
        </is>
      </c>
      <c r="M5" s="60" t="inlineStr">
        <is>
          <t xml:space="preserve">|D|</t>
        </is>
      </c>
      <c r="N5" s="60" t="inlineStr">
        <is>
          <t xml:space="preserve">K1, K2</t>
        </is>
      </c>
      <c r="O5" s="60" t="inlineStr">
        <is>
          <t xml:space="preserve">Δ |D|</t>
        </is>
      </c>
      <c r="P5" s="60" t="inlineStr">
        <is>
          <t xml:space="preserve">|D|</t>
        </is>
      </c>
      <c r="Q5" s="60" t="inlineStr">
        <is>
          <t xml:space="preserve">K1, K2</t>
        </is>
      </c>
      <c r="R5" s="60" t="inlineStr">
        <is>
          <t xml:space="preserve">Δ |D|</t>
        </is>
      </c>
    </row>
    <row r="6">
      <c r="A6" s="77">
        <v>3</v>
      </c>
      <c r="B6" s="84">
        <v>75</v>
      </c>
      <c r="C6" s="84" t="inlineStr">
        <is>
          <t xml:space="preserve">41, 34</t>
        </is>
      </c>
      <c r="D6" s="104">
        <v>198</v>
      </c>
      <c r="E6" s="104" t="inlineStr">
        <is>
          <t xml:space="preserve">111, 87</t>
        </is>
      </c>
      <c r="F6" s="77">
        <f>D6-$B6</f>
        <v>123</v>
      </c>
      <c r="G6" s="104">
        <v>81</v>
      </c>
      <c r="H6" s="104" t="inlineStr">
        <is>
          <t xml:space="preserve">46, 35</t>
        </is>
      </c>
      <c r="I6" s="77">
        <f>G6-$B6</f>
        <v>6</v>
      </c>
      <c r="J6" s="104">
        <v>194</v>
      </c>
      <c r="K6" s="104" t="inlineStr">
        <is>
          <t xml:space="preserve">105, 89</t>
        </is>
      </c>
      <c r="L6" s="77">
        <f>J6-$B6</f>
        <v>119</v>
      </c>
      <c r="M6" s="104">
        <v>75</v>
      </c>
      <c r="N6" s="104" t="inlineStr">
        <is>
          <t xml:space="preserve">42, 33</t>
        </is>
      </c>
      <c r="O6" s="77">
        <f>M6-$B6</f>
        <v>0</v>
      </c>
      <c r="P6" s="104">
        <v>124</v>
      </c>
      <c r="Q6" s="104" t="inlineStr">
        <is>
          <t xml:space="preserve">62, 62</t>
        </is>
      </c>
      <c r="R6" s="77">
        <f>P6-$B6</f>
        <v>49</v>
      </c>
    </row>
    <row r="7">
      <c r="A7" s="77">
        <v>5</v>
      </c>
      <c r="B7" s="84">
        <v>77</v>
      </c>
      <c r="C7" s="84" t="inlineStr">
        <is>
          <t xml:space="preserve">35, 42</t>
        </is>
      </c>
      <c r="D7" s="104">
        <v>190</v>
      </c>
      <c r="E7" s="104" t="inlineStr">
        <is>
          <t xml:space="preserve">110, 80</t>
        </is>
      </c>
      <c r="F7" s="77">
        <f>D7-$B7</f>
        <v>113</v>
      </c>
      <c r="G7" s="104">
        <v>73</v>
      </c>
      <c r="H7" s="104" t="inlineStr">
        <is>
          <t xml:space="preserve">40, 33</t>
        </is>
      </c>
      <c r="I7" s="77">
        <f>G7-$B7</f>
        <v>-4</v>
      </c>
      <c r="J7" s="104">
        <v>192</v>
      </c>
      <c r="K7" s="104" t="inlineStr">
        <is>
          <t xml:space="preserve">106, 86</t>
        </is>
      </c>
      <c r="L7" s="77">
        <f>J7-$B7</f>
        <v>115</v>
      </c>
      <c r="M7" s="104">
        <v>76</v>
      </c>
      <c r="N7" s="104" t="inlineStr">
        <is>
          <t xml:space="preserve">44, 32</t>
        </is>
      </c>
      <c r="O7" s="77">
        <f>M7-$B7</f>
        <v>-1</v>
      </c>
      <c r="P7" s="104">
        <v>121</v>
      </c>
      <c r="Q7" s="104" t="inlineStr">
        <is>
          <t xml:space="preserve">66, 55</t>
        </is>
      </c>
      <c r="R7" s="77">
        <f>P7-$B7</f>
        <v>44</v>
      </c>
    </row>
    <row r="8">
      <c r="A8" s="77">
        <v>7</v>
      </c>
      <c r="B8" s="84">
        <v>77</v>
      </c>
      <c r="C8" s="84" t="inlineStr">
        <is>
          <t xml:space="preserve">34, 43</t>
        </is>
      </c>
      <c r="D8" s="104">
        <v>201</v>
      </c>
      <c r="E8" s="104" t="inlineStr">
        <is>
          <t xml:space="preserve">114, 87</t>
        </is>
      </c>
      <c r="F8" s="77">
        <f>D8-$B8</f>
        <v>124</v>
      </c>
      <c r="G8" s="104">
        <v>72</v>
      </c>
      <c r="H8" s="104" t="inlineStr">
        <is>
          <t xml:space="preserve">39, 33</t>
        </is>
      </c>
      <c r="I8" s="77">
        <f>G8-$B8</f>
        <v>-5</v>
      </c>
      <c r="J8" s="104">
        <v>202</v>
      </c>
      <c r="K8" s="104" t="inlineStr">
        <is>
          <t xml:space="preserve">115, 87</t>
        </is>
      </c>
      <c r="L8" s="77">
        <f>J8-$B8</f>
        <v>125</v>
      </c>
      <c r="M8" s="104">
        <v>71</v>
      </c>
      <c r="N8" s="104" t="inlineStr">
        <is>
          <t xml:space="preserve">38, 33</t>
        </is>
      </c>
      <c r="O8" s="77">
        <f>M8-$B8</f>
        <v>-6</v>
      </c>
      <c r="P8" s="104">
        <v>130</v>
      </c>
      <c r="Q8" s="104" t="inlineStr">
        <is>
          <t xml:space="preserve">78, 52</t>
        </is>
      </c>
      <c r="R8" s="77">
        <f>P8-$B8</f>
        <v>53</v>
      </c>
    </row>
    <row r="9">
      <c r="A9" s="77">
        <v>13</v>
      </c>
      <c r="B9" s="84">
        <v>104</v>
      </c>
      <c r="C9" s="84" t="inlineStr">
        <is>
          <t xml:space="preserve">59, 45</t>
        </is>
      </c>
      <c r="D9" s="104">
        <v>177</v>
      </c>
      <c r="E9" s="104" t="inlineStr">
        <is>
          <t xml:space="preserve">97, 80</t>
        </is>
      </c>
      <c r="F9" s="77">
        <f>D9-$B9</f>
        <v>73</v>
      </c>
      <c r="G9" s="104">
        <v>84</v>
      </c>
      <c r="H9" s="104" t="inlineStr">
        <is>
          <t xml:space="preserve">50, 34</t>
        </is>
      </c>
      <c r="I9" s="77">
        <f>G9-$B9</f>
        <v>-20</v>
      </c>
      <c r="J9" s="104">
        <v>179</v>
      </c>
      <c r="K9" s="104" t="inlineStr">
        <is>
          <t xml:space="preserve">98, 81</t>
        </is>
      </c>
      <c r="L9" s="77">
        <f>J9-$B9</f>
        <v>75</v>
      </c>
      <c r="M9" s="104">
        <v>88</v>
      </c>
      <c r="N9" s="104" t="inlineStr">
        <is>
          <t xml:space="preserve">50, 38</t>
        </is>
      </c>
      <c r="O9" s="77">
        <f>M9-$B9</f>
        <v>-16</v>
      </c>
      <c r="P9" s="104">
        <v>106</v>
      </c>
      <c r="Q9" s="104" t="inlineStr">
        <is>
          <t xml:space="preserve">59, 47</t>
        </is>
      </c>
      <c r="R9" s="77">
        <f>P9-$B9</f>
        <v>2</v>
      </c>
    </row>
    <row r="10">
      <c r="A10" s="77">
        <v>17</v>
      </c>
      <c r="B10" s="84">
        <v>102</v>
      </c>
      <c r="C10" s="84" t="inlineStr">
        <is>
          <t xml:space="preserve">58, 44</t>
        </is>
      </c>
      <c r="D10" s="104">
        <v>165</v>
      </c>
      <c r="E10" s="104" t="inlineStr">
        <is>
          <t xml:space="preserve">96, 69</t>
        </is>
      </c>
      <c r="F10" s="77">
        <f>D10-$B10</f>
        <v>63</v>
      </c>
      <c r="G10" s="104">
        <v>90</v>
      </c>
      <c r="H10" s="104" t="inlineStr">
        <is>
          <t xml:space="preserve">52, 38</t>
        </is>
      </c>
      <c r="I10" s="77">
        <f>G10-$B10</f>
        <v>-12</v>
      </c>
      <c r="J10" s="104">
        <v>173</v>
      </c>
      <c r="K10" s="104" t="inlineStr">
        <is>
          <t xml:space="preserve">96, 77</t>
        </is>
      </c>
      <c r="L10" s="77">
        <f>J10-$B10</f>
        <v>71</v>
      </c>
      <c r="M10" s="104">
        <v>94</v>
      </c>
      <c r="N10" s="104" t="inlineStr">
        <is>
          <t xml:space="preserve">52, 42</t>
        </is>
      </c>
      <c r="O10" s="77">
        <f>M10-$B10</f>
        <v>-8</v>
      </c>
      <c r="P10" s="104">
        <v>100</v>
      </c>
      <c r="Q10" s="104" t="inlineStr">
        <is>
          <t xml:space="preserve">59, 41</t>
        </is>
      </c>
      <c r="R10" s="77">
        <f>P10-$B10</f>
        <v>-2</v>
      </c>
    </row>
    <row r="11">
      <c r="A11" s="63" t="inlineStr">
        <is>
          <t xml:space="preserve">Σ |Δ|</t>
        </is>
      </c>
      <c r="B11" s="62" t="inlineStr">
        <is>
          <t xml:space="preserve"/>
        </is>
      </c>
      <c r="C11" s="62" t="inlineStr">
        <is>
          <t xml:space="preserve"/>
        </is>
      </c>
      <c r="D11" s="62" t="inlineStr">
        <is>
          <t xml:space="preserve"/>
        </is>
      </c>
      <c r="E11" s="62" t="inlineStr">
        <is>
          <t xml:space="preserve"/>
        </is>
      </c>
      <c r="F11" s="90">
        <f>SUMPRODUCT(ABS(F6:F10))</f>
        <v>496</v>
      </c>
      <c r="G11" s="62" t="inlineStr">
        <is>
          <t xml:space="preserve"/>
        </is>
      </c>
      <c r="H11" s="62" t="inlineStr">
        <is>
          <t xml:space="preserve"/>
        </is>
      </c>
      <c r="I11" s="90">
        <f>SUMPRODUCT(ABS(I6:I10))</f>
        <v>47</v>
      </c>
      <c r="J11" s="62" t="inlineStr">
        <is>
          <t xml:space="preserve"/>
        </is>
      </c>
      <c r="K11" s="62" t="inlineStr">
        <is>
          <t xml:space="preserve"/>
        </is>
      </c>
      <c r="L11" s="90">
        <f>SUMPRODUCT(ABS(L6:L10))</f>
        <v>505</v>
      </c>
      <c r="M11" s="62" t="inlineStr">
        <is>
          <t xml:space="preserve"/>
        </is>
      </c>
      <c r="N11" s="62" t="inlineStr">
        <is>
          <t xml:space="preserve"/>
        </is>
      </c>
      <c r="O11" s="90">
        <f>SUMPRODUCT(ABS(O6:O10))</f>
        <v>31</v>
      </c>
      <c r="P11" s="62" t="inlineStr">
        <is>
          <t xml:space="preserve"/>
        </is>
      </c>
      <c r="Q11" s="62" t="inlineStr">
        <is>
          <t xml:space="preserve"/>
        </is>
      </c>
      <c r="R11" s="90">
        <f>SUMPRODUCT(ABS(R6:R10))</f>
        <v>150</v>
      </c>
    </row>
    <row r="12"/>
    <row r="13" ht="30" customHeight="1">
      <c r="A13" s="102" t="inlineStr">
        <is>
          <t xml:space="preserve">No reading reproduces Table 1 exactly. 960 combinations of reading switches were tested (who is in L, whether processed objects cover, where Step 5 returns, the scope of z, |L| = 0 handling, queue order, feature typing 6/7 or 7/6, tie rules).</t>
        </is>
      </c>
      <c r="B13" s="102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</row>
    <row r="14" ht="30" customHeight="1">
      <c r="A14" s="102" t="inlineStr">
        <is>
          <t xml:space="preserve">The literal reading of §1.1 keeps 61–74 % of the objects in D (165–201), the article reports 28–39 % (75–104). The closest reading — processed objects stop covering (B = 2) and z(Sᵢ, k) from the own class — differs by 0 to 16 objects.</t>
        </is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</row>
    <row r="15" ht="30" customHeight="1">
      <c r="A15" s="102" t="inlineStr">
        <is>
          <t xml:space="preserve">So the program behind Table 1 differs from the printed description in at least one detail; the text of §1.1 should state who belongs to L and over which objects z(Sᵢ, k) is taken.</t>
        </is>
      </c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</row>
    <row r="16" ht="30" customHeight="1">
      <c r="A16" s="102" t="inlineStr">
        <is>
          <t xml:space="preserve">Engine values: Python reference engine on Heart-Disease (270, 13, 2) with the file’s type flags; Δ = this implementation − article; green = the closest reading.</t>
        </is>
      </c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</row>
    <row r="17"/>
    <row r="18"/>
    <row r="19">
      <c r="A19" s="58" t="inlineStr">
        <is>
          <t xml:space="preserve">Chart data</t>
        </is>
      </c>
      <c r="B19" s="58"/>
      <c r="C19" s="58"/>
      <c r="D19" s="58"/>
    </row>
    <row r="20">
      <c r="A20" s="60" t="inlineStr">
        <is>
          <t xml:space="preserve">k</t>
        </is>
      </c>
      <c r="B20" s="60" t="inlineStr">
        <is>
          <t xml:space="preserve">Article Table 1</t>
        </is>
      </c>
      <c r="C20" s="60" t="inlineStr">
        <is>
          <t xml:space="preserve">Literal reading</t>
        </is>
      </c>
      <c r="D20" s="60" t="inlineStr">
        <is>
          <t xml:space="preserve">Closest reading</t>
        </is>
      </c>
    </row>
    <row r="21">
      <c r="A21" s="77">
        <f>A6</f>
        <v>3</v>
      </c>
      <c r="B21" s="76">
        <f>B6</f>
        <v>75</v>
      </c>
      <c r="C21" s="76">
        <f>D6</f>
        <v>198</v>
      </c>
      <c r="D21" s="76">
        <f>M6</f>
        <v>75</v>
      </c>
    </row>
    <row r="22">
      <c r="A22" s="77">
        <f>A7</f>
        <v>5</v>
      </c>
      <c r="B22" s="76">
        <f>B7</f>
        <v>77</v>
      </c>
      <c r="C22" s="76">
        <f>D7</f>
        <v>190</v>
      </c>
      <c r="D22" s="76">
        <f>M7</f>
        <v>76</v>
      </c>
    </row>
    <row r="23">
      <c r="A23" s="77">
        <f>A8</f>
        <v>7</v>
      </c>
      <c r="B23" s="76">
        <f>B8</f>
        <v>77</v>
      </c>
      <c r="C23" s="76">
        <f>D8</f>
        <v>201</v>
      </c>
      <c r="D23" s="76">
        <f>M8</f>
        <v>71</v>
      </c>
    </row>
    <row r="24">
      <c r="A24" s="77">
        <f>A9</f>
        <v>13</v>
      </c>
      <c r="B24" s="76">
        <f>B9</f>
        <v>104</v>
      </c>
      <c r="C24" s="76">
        <f>D9</f>
        <v>177</v>
      </c>
      <c r="D24" s="76">
        <f>M9</f>
        <v>88</v>
      </c>
    </row>
    <row r="25">
      <c r="A25" s="77">
        <f>A10</f>
        <v>17</v>
      </c>
      <c r="B25" s="76">
        <f>B10</f>
        <v>102</v>
      </c>
      <c r="C25" s="76">
        <f>D10</f>
        <v>165</v>
      </c>
      <c r="D25" s="76">
        <f>M10</f>
        <v>94</v>
      </c>
    </row>
    <row r="26"/>
    <row r="27"/>
    <row r="28">
      <c r="A28" s="58" t="inlineStr">
        <is>
          <t xml:space="preserve">|D| for odd k = 3 … 41 (270 objects)</t>
        </is>
      </c>
      <c r="B28" s="58"/>
      <c r="C28" s="58"/>
      <c r="D28" s="58"/>
      <c r="E28" s="58"/>
    </row>
    <row r="29">
      <c r="A29" s="60" t="inlineStr">
        <is>
          <t xml:space="preserve">k</t>
        </is>
      </c>
      <c r="B29" s="60" t="inlineStr">
        <is>
          <t xml:space="preserve">|D| literal</t>
        </is>
      </c>
      <c r="C29" s="60" t="inlineStr">
        <is>
          <t xml:space="preserve">share of 270</t>
        </is>
      </c>
      <c r="D29" s="60" t="inlineStr">
        <is>
          <t xml:space="preserve">|D| closest</t>
        </is>
      </c>
      <c r="E29" s="60" t="inlineStr">
        <is>
          <t xml:space="preserve">share of 270</t>
        </is>
      </c>
    </row>
    <row r="30">
      <c r="A30" s="77">
        <v>3</v>
      </c>
      <c r="B30" s="104">
        <v>198</v>
      </c>
      <c r="C30" s="109">
        <f>B30/270</f>
        <v>0.733333333333333</v>
      </c>
      <c r="D30" s="104">
        <v>75</v>
      </c>
      <c r="E30" s="109">
        <f>D30/270</f>
        <v>0.277777777777778</v>
      </c>
    </row>
    <row r="31">
      <c r="A31" s="77">
        <v>5</v>
      </c>
      <c r="B31" s="104">
        <v>190</v>
      </c>
      <c r="C31" s="109">
        <f>B31/270</f>
        <v>0.703703703703704</v>
      </c>
      <c r="D31" s="104">
        <v>76</v>
      </c>
      <c r="E31" s="109">
        <f>D31/270</f>
        <v>0.281481481481482</v>
      </c>
    </row>
    <row r="32">
      <c r="A32" s="77">
        <v>7</v>
      </c>
      <c r="B32" s="104">
        <v>201</v>
      </c>
      <c r="C32" s="109">
        <f>B32/270</f>
        <v>0.744444444444445</v>
      </c>
      <c r="D32" s="104">
        <v>71</v>
      </c>
      <c r="E32" s="109">
        <f>D32/270</f>
        <v>0.262962962962963</v>
      </c>
    </row>
    <row r="33">
      <c r="A33" s="77">
        <v>9</v>
      </c>
      <c r="B33" s="104">
        <v>192</v>
      </c>
      <c r="C33" s="109">
        <f>B33/270</f>
        <v>0.711111111111111</v>
      </c>
      <c r="D33" s="104">
        <v>81</v>
      </c>
      <c r="E33" s="109">
        <f>D33/270</f>
        <v>0.3</v>
      </c>
    </row>
    <row r="34">
      <c r="A34" s="77">
        <v>11</v>
      </c>
      <c r="B34" s="104">
        <v>180</v>
      </c>
      <c r="C34" s="109">
        <f>B34/270</f>
        <v>0.666666666666667</v>
      </c>
      <c r="D34" s="104">
        <v>85</v>
      </c>
      <c r="E34" s="109">
        <f>D34/270</f>
        <v>0.314814814814815</v>
      </c>
    </row>
    <row r="35">
      <c r="A35" s="77">
        <v>13</v>
      </c>
      <c r="B35" s="104">
        <v>177</v>
      </c>
      <c r="C35" s="109">
        <f>B35/270</f>
        <v>0.655555555555556</v>
      </c>
      <c r="D35" s="104">
        <v>88</v>
      </c>
      <c r="E35" s="109">
        <f>D35/270</f>
        <v>0.325925925925926</v>
      </c>
    </row>
    <row r="36">
      <c r="A36" s="77">
        <v>15</v>
      </c>
      <c r="B36" s="104">
        <v>174</v>
      </c>
      <c r="C36" s="109">
        <f>B36/270</f>
        <v>0.644444444444445</v>
      </c>
      <c r="D36" s="104">
        <v>90</v>
      </c>
      <c r="E36" s="109">
        <f>D36/270</f>
        <v>0.333333333333333</v>
      </c>
    </row>
    <row r="37">
      <c r="A37" s="77">
        <v>17</v>
      </c>
      <c r="B37" s="104">
        <v>165</v>
      </c>
      <c r="C37" s="109">
        <f>B37/270</f>
        <v>0.611111111111111</v>
      </c>
      <c r="D37" s="104">
        <v>94</v>
      </c>
      <c r="E37" s="109">
        <f>D37/270</f>
        <v>0.348148148148148</v>
      </c>
    </row>
    <row r="38">
      <c r="A38" s="77">
        <v>19</v>
      </c>
      <c r="B38" s="104">
        <v>168</v>
      </c>
      <c r="C38" s="109">
        <f>B38/270</f>
        <v>0.622222222222222</v>
      </c>
      <c r="D38" s="104">
        <v>94</v>
      </c>
      <c r="E38" s="109">
        <f>D38/270</f>
        <v>0.348148148148148</v>
      </c>
    </row>
    <row r="39">
      <c r="A39" s="77">
        <v>21</v>
      </c>
      <c r="B39" s="104">
        <v>162</v>
      </c>
      <c r="C39" s="109">
        <f>B39/270</f>
        <v>0.6</v>
      </c>
      <c r="D39" s="104">
        <v>94</v>
      </c>
      <c r="E39" s="109">
        <f>D39/270</f>
        <v>0.348148148148148</v>
      </c>
    </row>
    <row r="40">
      <c r="A40" s="77">
        <v>23</v>
      </c>
      <c r="B40" s="104">
        <v>158</v>
      </c>
      <c r="C40" s="109">
        <f>B40/270</f>
        <v>0.585185185185185</v>
      </c>
      <c r="D40" s="104">
        <v>90</v>
      </c>
      <c r="E40" s="109">
        <f>D40/270</f>
        <v>0.333333333333333</v>
      </c>
    </row>
    <row r="41">
      <c r="A41" s="77">
        <v>25</v>
      </c>
      <c r="B41" s="104">
        <v>158</v>
      </c>
      <c r="C41" s="109">
        <f>B41/270</f>
        <v>0.585185185185185</v>
      </c>
      <c r="D41" s="104">
        <v>91</v>
      </c>
      <c r="E41" s="109">
        <f>D41/270</f>
        <v>0.337037037037037</v>
      </c>
    </row>
    <row r="42">
      <c r="A42" s="77">
        <v>27</v>
      </c>
      <c r="B42" s="104">
        <v>160</v>
      </c>
      <c r="C42" s="109">
        <f>B42/270</f>
        <v>0.592592592592593</v>
      </c>
      <c r="D42" s="104">
        <v>90</v>
      </c>
      <c r="E42" s="109">
        <f>D42/270</f>
        <v>0.333333333333333</v>
      </c>
    </row>
    <row r="43">
      <c r="A43" s="77">
        <v>29</v>
      </c>
      <c r="B43" s="104">
        <v>157</v>
      </c>
      <c r="C43" s="109">
        <f>B43/270</f>
        <v>0.581481481481482</v>
      </c>
      <c r="D43" s="104">
        <v>89</v>
      </c>
      <c r="E43" s="109">
        <f>D43/270</f>
        <v>0.32962962962963</v>
      </c>
    </row>
    <row r="44">
      <c r="A44" s="77">
        <v>31</v>
      </c>
      <c r="B44" s="104">
        <v>163</v>
      </c>
      <c r="C44" s="109">
        <f>B44/270</f>
        <v>0.603703703703704</v>
      </c>
      <c r="D44" s="104">
        <v>90</v>
      </c>
      <c r="E44" s="109">
        <f>D44/270</f>
        <v>0.333333333333333</v>
      </c>
    </row>
    <row r="45">
      <c r="A45" s="77">
        <v>33</v>
      </c>
      <c r="B45" s="104">
        <v>157</v>
      </c>
      <c r="C45" s="109">
        <f>B45/270</f>
        <v>0.581481481481482</v>
      </c>
      <c r="D45" s="104">
        <v>92</v>
      </c>
      <c r="E45" s="109">
        <f>D45/270</f>
        <v>0.340740740740741</v>
      </c>
    </row>
    <row r="46">
      <c r="A46" s="77">
        <v>35</v>
      </c>
      <c r="B46" s="104">
        <v>162</v>
      </c>
      <c r="C46" s="109">
        <f>B46/270</f>
        <v>0.6</v>
      </c>
      <c r="D46" s="104">
        <v>92</v>
      </c>
      <c r="E46" s="109">
        <f>D46/270</f>
        <v>0.340740740740741</v>
      </c>
    </row>
    <row r="47">
      <c r="A47" s="77">
        <v>37</v>
      </c>
      <c r="B47" s="104">
        <v>162</v>
      </c>
      <c r="C47" s="109">
        <f>B47/270</f>
        <v>0.6</v>
      </c>
      <c r="D47" s="104">
        <v>91</v>
      </c>
      <c r="E47" s="109">
        <f>D47/270</f>
        <v>0.337037037037037</v>
      </c>
    </row>
    <row r="48">
      <c r="A48" s="77">
        <v>39</v>
      </c>
      <c r="B48" s="104">
        <v>159</v>
      </c>
      <c r="C48" s="109">
        <f>B48/270</f>
        <v>0.588888888888889</v>
      </c>
      <c r="D48" s="104">
        <v>91</v>
      </c>
      <c r="E48" s="109">
        <f>D48/270</f>
        <v>0.337037037037037</v>
      </c>
    </row>
    <row r="49">
      <c r="A49" s="77">
        <v>41</v>
      </c>
      <c r="B49" s="104">
        <v>159</v>
      </c>
      <c r="C49" s="109">
        <f>B49/270</f>
        <v>0.588888888888889</v>
      </c>
      <c r="D49" s="104">
        <v>91</v>
      </c>
      <c r="E49" s="109">
        <f>D49/270</f>
        <v>0.337037037037037</v>
      </c>
    </row>
  </sheetData>
  <mergeCells count="14">
    <mergeCell ref="A1:R1"/>
    <mergeCell ref="A3:R3"/>
    <mergeCell ref="B4:C4"/>
    <mergeCell ref="D4:F4"/>
    <mergeCell ref="G4:I4"/>
    <mergeCell ref="J4:L4"/>
    <mergeCell ref="M4:O4"/>
    <mergeCell ref="P4:R4"/>
    <mergeCell ref="A13:R13"/>
    <mergeCell ref="A14:R14"/>
    <mergeCell ref="A15:R15"/>
    <mergeCell ref="A16:R16"/>
    <mergeCell ref="A19:D19"/>
    <mergeCell ref="A28:E28"/>
  </mergeCells>
  <conditionalFormatting sqref="M6:O10">
    <cfRule type="expression" dxfId="0" priority="1">
      <formula>TRUE</formula>
    </cfRule>
  </conditionalFormatting>
  <printOptions horizontalCentered="1"/>
  <pageMargins left="0.4" right="0.4" top="0.7" bottom="0.6" header="0.3" footer="0.3"/>
  <pageSetup paperSize="9" orientation="landscape" fitToWidth="1" fitToHeight="0"/>
  <headerFooter>
    <oddHeader>&amp;L&amp;"Calibri,Bold"&amp;9ERDR Algorithm — Heart-Disease (7, 13, 2) selected from Heart-Disease (270, 13, 2)&amp;R&amp;"Calibri,Regular"&amp;9&amp;A</oddHeader>
    <oddFooter>&amp;C&amp;"Calibri,Regular"&amp;9Page &amp;P of &amp;N</oddFooter>
  </headerFooter>
  <drawing r:id="rIdDr1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rgb="FFBF8F00"/>
    <pageSetUpPr fitToPage="1"/>
  </sheetPr>
  <dimension ref="A1:D18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5.77734375" customWidth="1"/>
    <col min="2" max="2" width="62.77734375" customWidth="1"/>
    <col min="3" max="3" width="48.77734375" customWidth="1"/>
    <col min="4" max="4" width="70.77734375" customWidth="1"/>
  </cols>
  <sheetData>
    <row r="1" ht="22" customHeight="1">
      <c r="A1" s="57" t="inlineStr">
        <is>
          <t xml:space="preserve">Article notes · §1.1 (ERDR) of N. A. Ignatev, “Ансамбли алгоритмов распознавания на основе синтетических признаков и контекстов k ближайших соседей”, line by line</t>
        </is>
      </c>
      <c r="B1" s="57"/>
      <c r="C1" s="57"/>
      <c r="D1" s="57"/>
    </row>
    <row r="2"/>
    <row r="3">
      <c r="A3" s="58" t="inlineStr">
        <is>
          <t xml:space="preserve">What the article says, how this workbook implements it, and what the text leaves open</t>
        </is>
      </c>
      <c r="B3" s="58"/>
      <c r="C3" s="58"/>
      <c r="D3" s="58"/>
    </row>
    <row r="4">
      <c r="A4" s="60" t="inlineStr">
        <is>
          <t xml:space="preserve">#</t>
        </is>
      </c>
      <c r="B4" s="60" t="inlineStr">
        <is>
          <t xml:space="preserve">Article (quotation)</t>
        </is>
      </c>
      <c r="C4" s="60" t="inlineStr">
        <is>
          <t xml:space="preserve">This workbook</t>
        </is>
      </c>
      <c r="D4" s="60" t="inlineStr">
        <is>
          <t xml:space="preserve">Comment / open point</t>
        </is>
      </c>
    </row>
    <row r="5" ht="62" customHeight="1">
      <c r="A5" s="77">
        <v>1</v>
      </c>
      <c r="B5" s="102" t="inlineStr">
        <is>
          <t xml:space="preserve">«r(Sᵢ) — расстояние от объекта Sᵢ до ближайшего к нему объекта противоположного класса»</t>
        </is>
      </c>
      <c r="C5" s="102" t="inlineStr">
        <is>
          <t xml:space="preserve">ERDR Characteristics, column r(Sᵢ): first enemy in the sorted neighbours</t>
        </is>
      </c>
      <c r="D5" s="102" t="inlineStr">
        <is>
          <t xml:space="preserve">Clear.</t>
        </is>
      </c>
    </row>
    <row r="6" ht="62" customHeight="1">
      <c r="A6" s="77">
        <v>2</v>
      </c>
      <c r="B6" s="102" t="inlineStr">
        <is>
          <t xml:space="preserve">«g(Sᵢ) — количество объектов своего класса, находящихся строго внутри гипершара … g(Sᵢ)={Sⱼ∈K_t∣ρ(Sᵢ,Sⱼ)&lt;r(Sᵢ)}»</t>
        </is>
      </c>
      <c r="C6" s="102" t="inlineStr">
        <is>
          <t xml:space="preserve">Count of that set; Sᵢ itself is counted (ρ(Sᵢ, Sᵢ) = 0 &lt; r(Sᵢ)), so g ≥ 1</t>
        </is>
      </c>
      <c r="D6" s="102" t="inlineStr">
        <is>
          <t xml:space="preserve">Written as a set but used as a number — should be |{…}|. Self-counting is confirmed by «g(Sⱼ)=1 (т.е. Sⱼ остался единственным объектом …)».</t>
        </is>
      </c>
    </row>
    <row r="7" ht="62" customHeight="1">
      <c r="A7" s="77">
        <v>3</v>
      </c>
      <c r="B7" s="102" t="inlineStr">
        <is>
          <t xml:space="preserve">«z(Sᵢ,k) — расстояние от объекта Sᵢ до его k-го ближайшего соседа»</t>
        </is>
      </c>
      <c r="C7" s="102" t="inlineStr">
        <is>
          <t xml:space="preserve">k-th smallest distance to the other objects (all classes, Sᵢ excluded)</t>
        </is>
      </c>
      <c r="D7" s="102" t="inlineStr">
        <is>
          <t xml:space="preserve">The class scope is not stated; taking it from the own class brings the 270-object results much closer to Table 1.</t>
        </is>
      </c>
    </row>
    <row r="8" ht="62" customHeight="1">
      <c r="A8" s="77">
        <v>4</v>
      </c>
      <c r="B8" s="102" t="inlineStr">
        <is>
          <t xml:space="preserve">«d(Sᵢ)= ∣z(Sᵢ,k)−r(Sᵢ)∣/( z(Sᵢ,k)+r(Sᵢ))»</t>
        </is>
      </c>
      <c r="C8" s="102" t="inlineStr">
        <is>
          <t xml:space="preserve">ERDR Characteristics, column d(Sᵢ), rounded to 10 decimals</t>
        </is>
      </c>
      <c r="D8" s="102" t="inlineStr">
        <is>
          <t xml:space="preserve">The meaning of d (why the smallest goes first) is not explained in the article.</t>
        </is>
      </c>
    </row>
    <row r="9" ht="62" customHeight="1">
      <c r="A9" s="77">
        <v>5</v>
      </c>
      <c r="B9" s="102" t="inlineStr">
        <is>
          <t xml:space="preserve">Step 2: order by d, then r, then index; «Если для всех объектов Sᵢ∈F выполняется d(Sᵢ)&lt;0, перейти к шагу 6»</t>
        </is>
      </c>
      <c r="C9" s="102" t="inlineStr">
        <is>
          <t xml:space="preserve">Priority Queue (static order) + queue key per iteration</t>
        </is>
      </c>
      <c r="D9" s="102" t="inlineStr">
        <is>
          <t xml:space="preserve">The order is static because d and r of waiting objects never change.</t>
        </is>
      </c>
    </row>
    <row r="10" ht="62" customHeight="1">
      <c r="A10" s="77">
        <v>6</v>
      </c>
      <c r="B10" s="102" t="inlineStr">
        <is>
          <t xml:space="preserve">Step 4: «L={Sⱼ∈(F∩K_t)∣ρ(Sⱼ,Sᵢ)&lt;r(Sⱼ) и g(Sⱼ)&gt;1}»</t>
        </is>
      </c>
      <c r="C10" s="102" t="inlineStr">
        <is>
          <t xml:space="preserve">ERDR Iterations rows “Sᵢ inside the sphere of Sⱼ”, “g(Sⱼ) &gt; 1”, “Sⱼ ∈ L”</t>
        </is>
      </c>
      <c r="D10" s="102" t="inlineStr">
        <is>
          <t xml:space="preserve">Sᵢ itself satisfies the condition when g(Sᵢ) &gt; 1 (reading A). F still contains processed objects (reading B).</t>
        </is>
      </c>
    </row>
    <row r="11" ht="62" customHeight="1">
      <c r="A11" s="77">
        <v>7</v>
      </c>
      <c r="B11" s="102" t="inlineStr">
        <is>
          <t xml:space="preserve">Step 4: «Заблокировать объект Sᵢ, присвоив d(Sᵢ)=−(d(Sᵢ)+ε)»</t>
        </is>
      </c>
      <c r="C11" s="102" t="inlineStr">
        <is>
          <t xml:space="preserve">Row “Processed”, and the article value −(d + ε) in “d after”</t>
        </is>
      </c>
      <c r="D11" s="102" t="inlineStr">
        <is>
          <t xml:space="preserve">ε only marks the object as processed; any ε &gt; 0 gives the same result.</t>
        </is>
      </c>
    </row>
    <row r="12" ht="62" customHeight="1">
      <c r="A12" s="77">
        <v>8</v>
      </c>
      <c r="B12" s="102" t="inlineStr">
        <is>
          <t xml:space="preserve">Step 4: «Если ∣L∣=1, то … D = D ∪{Sᵢ}»</t>
        </is>
      </c>
      <c r="C12" s="102" t="inlineStr">
        <is>
          <t xml:space="preserve">Row “Step 4 · |L| = 1 → Sᵢ moves to D”</t>
        </is>
      </c>
      <c r="D12" s="102" t="inlineStr">
        <is>
          <t xml:space="preserve">|L| = 0 is not mentioned: literally Sᵢ is only blocked and stays in F (case 8, iteration 6 here).</t>
        </is>
      </c>
    </row>
    <row r="13" ht="62" customHeight="1">
      <c r="A13" s="77">
        <v>9</v>
      </c>
      <c r="B13" s="102" t="inlineStr">
        <is>
          <t xml:space="preserve">Step 5: «уменьшить счётчик … если после уменьшения g(Sⱼ)=1 … D = D ∪{Sⱼ}. Перейти к шагу 2.»</t>
        </is>
      </c>
      <c r="C13" s="102" t="inlineStr">
        <is>
          <t xml:space="preserve">Rows “counter decreased”, “g after”, “g fell to 1”</t>
        </is>
      </c>
      <c r="D13" s="102" t="inlineStr">
        <is>
          <t xml:space="preserve">The place of «Перейти к шагу 2» (inside the loop or after it) is open (reading C); the loop order over L is not given (ascending index here).</t>
        </is>
      </c>
    </row>
    <row r="14" ht="62" customHeight="1">
      <c r="A14" s="77">
        <v>10</v>
      </c>
      <c r="B14" s="102" t="inlineStr">
        <is>
          <t xml:space="preserve">Implicit property of Step 4</t>
        </is>
      </c>
      <c r="C14" s="102" t="inlineStr">
        <is>
          <t xml:space="preserve">Case Checklist, note</t>
        </is>
      </c>
      <c r="D14" s="102" t="inlineStr">
        <is>
          <t xml:space="preserve">For Sⱼ ≠ Sᵢ the condition g(Sⱼ) &gt; 1 is always true when Sⱼ covers Sᵢ (an object whose g falls to 1 leaves F at once); it only acts on Sᵢ itself.</t>
        </is>
      </c>
    </row>
    <row r="15" ht="62" customHeight="1">
      <c r="A15" s="77">
        <v>11</v>
      </c>
      <c r="B15" s="102" t="inlineStr">
        <is>
          <t xml:space="preserve">Termination</t>
        </is>
      </c>
      <c r="C15" s="102" t="inlineStr">
        <is>
          <t xml:space="preserve">At most N iterations (7 blocks)</t>
        </is>
      </c>
      <c r="D15" s="102" t="inlineStr">
        <is>
          <t xml:space="preserve">Every iteration blocks one object of the queue, so the algorithm stops after at most |E₀| iterations.</t>
        </is>
      </c>
    </row>
    <row r="16" ht="62" customHeight="1">
      <c r="A16" s="77">
        <v>12</v>
      </c>
      <c r="B16" s="102" t="inlineStr">
        <is>
          <t xml:space="preserve">Step 6: «D … F = E₀ \ D»</t>
        </is>
      </c>
      <c r="C16" s="102" t="inlineStr">
        <is>
          <t xml:space="preserve">Training &amp; Validation</t>
        </is>
      </c>
      <c r="D16" s="102" t="inlineStr">
        <is>
          <t xml:space="preserve">With the literal reading most objects end in D (here 5 of 7; on 270 objects 165–201), unlike Table 1.</t>
        </is>
      </c>
    </row>
    <row r="17" ht="62" customHeight="1">
      <c r="A17" s="77">
        <v>13</v>
      </c>
      <c r="B17" s="102" t="inlineStr">
        <is>
          <t xml:space="preserve">§3: k = 3, 5, 7, 13, 17 for z(Sᵢ,k)</t>
        </is>
      </c>
      <c r="C17" s="102" t="inlineStr">
        <is>
          <t xml:space="preserve">k from the k rule: k_min = 3, k_max = 2·min|Kᵢ| − 3 → k = 3 for 3 + 4 objects</t>
        </is>
      </c>
      <c r="D17" s="102" t="inlineStr">
        <is>
          <t xml:space="preserve">The article does not say how the k values were chosen.</t>
        </is>
      </c>
    </row>
    <row r="18" ht="62" customHeight="1">
      <c r="A18" s="77">
        <v>14</v>
      </c>
      <c r="B18" s="102" t="inlineStr">
        <is>
          <t xml:space="preserve">§3, Table 1 sizes 75 … 104</t>
        </is>
      </c>
      <c r="C18" s="102" t="inlineStr">
        <is>
          <t xml:space="preserve">Article Table 1 Check</t>
        </is>
      </c>
      <c r="D18" s="102" t="inlineStr">
        <is>
          <t xml:space="preserve">Not reproduced by any of 960 tested readings; closest: B = 2 with own-class z.</t>
        </is>
      </c>
    </row>
  </sheetData>
  <mergeCells count="2">
    <mergeCell ref="A1:D1"/>
    <mergeCell ref="A3:D3"/>
  </mergeCell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&amp;L&amp;"Calibri,Bold"&amp;9ERDR Algorithm — Heart-Disease (7, 13, 2) selected from Heart-Disease (270, 13, 2)&amp;R&amp;"Calibri,Regular"&amp;9&amp;A</oddHeader>
    <oddFooter>&amp;C&amp;"Calibri,Regular"&amp;9Page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rgb="FF404040"/>
    <pageSetUpPr fitToPage="1"/>
  </sheetPr>
  <dimension ref="A1:E63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34.77734375" customWidth="1"/>
    <col min="2" max="3" width="36.77734375" customWidth="1"/>
    <col min="4" max="4" width="12.77734375" customWidth="1"/>
    <col min="5" max="5" width="9.77734375" customWidth="1"/>
  </cols>
  <sheetData>
    <row r="1" ht="22" customHeight="1">
      <c r="A1" s="57" t="inlineStr">
        <is>
          <t xml:space="preserve">Validation · workbook formulas against the independent Python reference engine (default settings)</t>
        </is>
      </c>
      <c r="B1" s="57"/>
      <c r="C1" s="57"/>
      <c r="D1" s="57"/>
      <c r="E1" s="57"/>
    </row>
    <row r="2"/>
    <row r="3">
      <c r="A3" s="97" t="str">
        <f>IF(AND('Dataset'!B5=1,'Dataset'!B6=10,'Dataset'!B7=73,'Dataset'!B8=143,'Dataset'!B9=224,'Dataset'!B10=226,'Dataset'!B11=239,'Parameters'!$B$24=1,'Parameters'!$B$25=1,'Parameters'!$B$26=1,'Parameters'!$B$12=3),"✓ default selection and settings — the engine reference below applies","⚠ selection or settings changed — the engine reference below is for the default (rows 1, 10, 73, 143, 224, 226, 239; k = 3; readings 1, 1, 1)")</f>
        <v>✓ default selection and settings — the engine reference below applies</v>
      </c>
      <c r="B3" s="97"/>
      <c r="C3" s="97"/>
      <c r="D3" s="97"/>
      <c r="E3" s="97"/>
    </row>
    <row r="4"/>
    <row r="5">
      <c r="A5" s="60" t="inlineStr">
        <is>
          <t xml:space="preserve">Check</t>
        </is>
      </c>
      <c r="B5" s="60" t="inlineStr">
        <is>
          <t xml:space="preserve">Engine (expected)</t>
        </is>
      </c>
      <c r="C5" s="60" t="inlineStr">
        <is>
          <t xml:space="preserve">Workbook</t>
        </is>
      </c>
      <c r="D5" s="60" t="inlineStr">
        <is>
          <t xml:space="preserve">Difference</t>
        </is>
      </c>
      <c r="E5" s="60" t="inlineStr">
        <is>
          <t xml:space="preserve">Pass</t>
        </is>
      </c>
    </row>
    <row r="6">
      <c r="A6" s="63" t="inlineStr">
        <is>
          <t xml:space="preserve">r(S₁)</t>
        </is>
      </c>
      <c r="B6" s="105">
        <v>5.60708061</v>
      </c>
      <c r="C6" s="73">
        <f>'ERDR Characteristics'!D5</f>
        <v>5.60708061</v>
      </c>
      <c r="D6" s="73">
        <f>ABS(C6-B6)</f>
        <v>0</v>
      </c>
      <c r="E6" s="95">
        <f>IF(D6&lt;0.000000001,1,0)</f>
        <v>1</v>
      </c>
    </row>
    <row r="7">
      <c r="A7" s="63" t="inlineStr">
        <is>
          <t xml:space="preserve">r(S₂)</t>
        </is>
      </c>
      <c r="B7" s="105">
        <v>7.4699698919</v>
      </c>
      <c r="C7" s="73">
        <f>'ERDR Characteristics'!D6</f>
        <v>7.4699698919</v>
      </c>
      <c r="D7" s="73">
        <f>ABS(C7-B7)</f>
        <v>0</v>
      </c>
      <c r="E7" s="95">
        <f>IF(D7&lt;0.000000001,1,0)</f>
        <v>1</v>
      </c>
    </row>
    <row r="8">
      <c r="A8" s="63" t="inlineStr">
        <is>
          <t xml:space="preserve">r(S₃)</t>
        </is>
      </c>
      <c r="B8" s="105">
        <v>5.60708061</v>
      </c>
      <c r="C8" s="73">
        <f>'ERDR Characteristics'!D7</f>
        <v>5.60708061</v>
      </c>
      <c r="D8" s="73">
        <f>ABS(C8-B8)</f>
        <v>0</v>
      </c>
      <c r="E8" s="95">
        <f>IF(D8&lt;0.000000001,1,0)</f>
        <v>1</v>
      </c>
    </row>
    <row r="9">
      <c r="A9" s="63" t="inlineStr">
        <is>
          <t xml:space="preserve">r(S₄)</t>
        </is>
      </c>
      <c r="B9" s="105">
        <v>3.7071187508</v>
      </c>
      <c r="C9" s="73">
        <f>'ERDR Characteristics'!D8</f>
        <v>3.7071187508</v>
      </c>
      <c r="D9" s="73">
        <f>ABS(C9-B9)</f>
        <v>0</v>
      </c>
      <c r="E9" s="95">
        <f>IF(D9&lt;0.000000001,1,0)</f>
        <v>1</v>
      </c>
    </row>
    <row r="10">
      <c r="A10" s="63" t="inlineStr">
        <is>
          <t xml:space="preserve">r(S₅)</t>
        </is>
      </c>
      <c r="B10" s="105">
        <v>7.1117040273</v>
      </c>
      <c r="C10" s="73">
        <f>'ERDR Characteristics'!D9</f>
        <v>7.1117040273</v>
      </c>
      <c r="D10" s="73">
        <f>ABS(C10-B10)</f>
        <v>0</v>
      </c>
      <c r="E10" s="95">
        <f>IF(D10&lt;0.000000001,1,0)</f>
        <v>1</v>
      </c>
    </row>
    <row r="11">
      <c r="A11" s="63" t="inlineStr">
        <is>
          <t xml:space="preserve">r(S₆)</t>
        </is>
      </c>
      <c r="B11" s="105">
        <v>3.7071187508</v>
      </c>
      <c r="C11" s="73">
        <f>'ERDR Characteristics'!D10</f>
        <v>3.7071187508</v>
      </c>
      <c r="D11" s="73">
        <f>ABS(C11-B11)</f>
        <v>0</v>
      </c>
      <c r="E11" s="95">
        <f>IF(D11&lt;0.000000001,1,0)</f>
        <v>1</v>
      </c>
    </row>
    <row r="12">
      <c r="A12" s="63" t="inlineStr">
        <is>
          <t xml:space="preserve">r(S₇)</t>
        </is>
      </c>
      <c r="B12" s="105">
        <v>3.9109813746</v>
      </c>
      <c r="C12" s="73">
        <f>'ERDR Characteristics'!D11</f>
        <v>3.9109813746</v>
      </c>
      <c r="D12" s="73">
        <f>ABS(C12-B12)</f>
        <v>0</v>
      </c>
      <c r="E12" s="95">
        <f>IF(D12&lt;0.000000001,1,0)</f>
        <v>1</v>
      </c>
    </row>
    <row r="13">
      <c r="A13" s="63" t="inlineStr">
        <is>
          <t xml:space="preserve">g(S₁)</t>
        </is>
      </c>
      <c r="B13" s="104">
        <v>3</v>
      </c>
      <c r="C13" s="76">
        <f>'ERDR Characteristics'!E5</f>
        <v>3</v>
      </c>
      <c r="D13" s="76">
        <f>ABS(C13-B13)</f>
        <v>0</v>
      </c>
      <c r="E13" s="95">
        <f>IF(D13&lt;0.000000001,1,0)</f>
        <v>1</v>
      </c>
    </row>
    <row r="14">
      <c r="A14" s="63" t="inlineStr">
        <is>
          <t xml:space="preserve">g(S₂)</t>
        </is>
      </c>
      <c r="B14" s="104">
        <v>4</v>
      </c>
      <c r="C14" s="76">
        <f>'ERDR Characteristics'!E6</f>
        <v>4</v>
      </c>
      <c r="D14" s="76">
        <f>ABS(C14-B14)</f>
        <v>0</v>
      </c>
      <c r="E14" s="95">
        <f>IF(D14&lt;0.000000001,1,0)</f>
        <v>1</v>
      </c>
    </row>
    <row r="15">
      <c r="A15" s="63" t="inlineStr">
        <is>
          <t xml:space="preserve">g(S₃)</t>
        </is>
      </c>
      <c r="B15" s="104">
        <v>3</v>
      </c>
      <c r="C15" s="76">
        <f>'ERDR Characteristics'!E7</f>
        <v>3</v>
      </c>
      <c r="D15" s="76">
        <f>ABS(C15-B15)</f>
        <v>0</v>
      </c>
      <c r="E15" s="95">
        <f>IF(D15&lt;0.000000001,1,0)</f>
        <v>1</v>
      </c>
    </row>
    <row r="16">
      <c r="A16" s="63" t="inlineStr">
        <is>
          <t xml:space="preserve">g(S₄)</t>
        </is>
      </c>
      <c r="B16" s="104">
        <v>1</v>
      </c>
      <c r="C16" s="76">
        <f>'ERDR Characteristics'!E8</f>
        <v>1</v>
      </c>
      <c r="D16" s="76">
        <f>ABS(C16-B16)</f>
        <v>0</v>
      </c>
      <c r="E16" s="95">
        <f>IF(D16&lt;0.000000001,1,0)</f>
        <v>1</v>
      </c>
    </row>
    <row r="17">
      <c r="A17" s="63" t="inlineStr">
        <is>
          <t xml:space="preserve">g(S₅)</t>
        </is>
      </c>
      <c r="B17" s="104">
        <v>3</v>
      </c>
      <c r="C17" s="76">
        <f>'ERDR Characteristics'!E9</f>
        <v>3</v>
      </c>
      <c r="D17" s="76">
        <f>ABS(C17-B17)</f>
        <v>0</v>
      </c>
      <c r="E17" s="95">
        <f>IF(D17&lt;0.000000001,1,0)</f>
        <v>1</v>
      </c>
    </row>
    <row r="18">
      <c r="A18" s="63" t="inlineStr">
        <is>
          <t xml:space="preserve">g(S₆)</t>
        </is>
      </c>
      <c r="B18" s="104">
        <v>1</v>
      </c>
      <c r="C18" s="76">
        <f>'ERDR Characteristics'!E10</f>
        <v>1</v>
      </c>
      <c r="D18" s="76">
        <f>ABS(C18-B18)</f>
        <v>0</v>
      </c>
      <c r="E18" s="95">
        <f>IF(D18&lt;0.000000001,1,0)</f>
        <v>1</v>
      </c>
    </row>
    <row r="19">
      <c r="A19" s="63" t="inlineStr">
        <is>
          <t xml:space="preserve">g(S₇)</t>
        </is>
      </c>
      <c r="B19" s="104">
        <v>2</v>
      </c>
      <c r="C19" s="76">
        <f>'ERDR Characteristics'!E11</f>
        <v>2</v>
      </c>
      <c r="D19" s="76">
        <f>ABS(C19-B19)</f>
        <v>0</v>
      </c>
      <c r="E19" s="95">
        <f>IF(D19&lt;0.000000001,1,0)</f>
        <v>1</v>
      </c>
    </row>
    <row r="20">
      <c r="A20" s="63" t="inlineStr">
        <is>
          <t xml:space="preserve">z(S₁, 3)</t>
        </is>
      </c>
      <c r="B20" s="105">
        <v>5.60708061</v>
      </c>
      <c r="C20" s="73">
        <f>'ERDR Characteristics'!H5</f>
        <v>5.60708061</v>
      </c>
      <c r="D20" s="73">
        <f>ABS(C20-B20)</f>
        <v>0</v>
      </c>
      <c r="E20" s="95">
        <f>IF(D20&lt;0.000000001,1,0)</f>
        <v>1</v>
      </c>
    </row>
    <row r="21">
      <c r="A21" s="63" t="inlineStr">
        <is>
          <t xml:space="preserve">z(S₂, 3)</t>
        </is>
      </c>
      <c r="B21" s="105">
        <v>6.3691657565</v>
      </c>
      <c r="C21" s="73">
        <f>'ERDR Characteristics'!H6</f>
        <v>6.3691657565</v>
      </c>
      <c r="D21" s="73">
        <f>ABS(C21-B21)</f>
        <v>0</v>
      </c>
      <c r="E21" s="95">
        <f>IF(D21&lt;0.000000001,1,0)</f>
        <v>1</v>
      </c>
    </row>
    <row r="22">
      <c r="A22" s="63" t="inlineStr">
        <is>
          <t xml:space="preserve">z(S₃, 3)</t>
        </is>
      </c>
      <c r="B22" s="105">
        <v>5.60708061</v>
      </c>
      <c r="C22" s="73">
        <f>'ERDR Characteristics'!H7</f>
        <v>5.60708061</v>
      </c>
      <c r="D22" s="73">
        <f>ABS(C22-B22)</f>
        <v>0</v>
      </c>
      <c r="E22" s="95">
        <f>IF(D22&lt;0.000000001,1,0)</f>
        <v>1</v>
      </c>
    </row>
    <row r="23">
      <c r="A23" s="63" t="inlineStr">
        <is>
          <t xml:space="preserve">z(S₄, 3)</t>
        </is>
      </c>
      <c r="B23" s="105">
        <v>6.2175670209</v>
      </c>
      <c r="C23" s="73">
        <f>'ERDR Characteristics'!H8</f>
        <v>6.2175670209</v>
      </c>
      <c r="D23" s="73">
        <f>ABS(C23-B23)</f>
        <v>0</v>
      </c>
      <c r="E23" s="95">
        <f>IF(D23&lt;0.000000001,1,0)</f>
        <v>1</v>
      </c>
    </row>
    <row r="24">
      <c r="A24" s="63" t="inlineStr">
        <is>
          <t xml:space="preserve">z(S₅, 3)</t>
        </is>
      </c>
      <c r="B24" s="105">
        <v>7.1117040273</v>
      </c>
      <c r="C24" s="73">
        <f>'ERDR Characteristics'!H9</f>
        <v>7.1117040273</v>
      </c>
      <c r="D24" s="73">
        <f>ABS(C24-B24)</f>
        <v>0</v>
      </c>
      <c r="E24" s="95">
        <f>IF(D24&lt;0.000000001,1,0)</f>
        <v>1</v>
      </c>
    </row>
    <row r="25">
      <c r="A25" s="63" t="inlineStr">
        <is>
          <t xml:space="preserve">z(S₆, 3)</t>
        </is>
      </c>
      <c r="B25" s="105">
        <v>5.2172783643</v>
      </c>
      <c r="C25" s="73">
        <f>'ERDR Characteristics'!H10</f>
        <v>5.2172783643</v>
      </c>
      <c r="D25" s="73">
        <f>ABS(C25-B25)</f>
        <v>0</v>
      </c>
      <c r="E25" s="95">
        <f>IF(D25&lt;0.000000001,1,0)</f>
        <v>1</v>
      </c>
    </row>
    <row r="26">
      <c r="A26" s="63" t="inlineStr">
        <is>
          <t xml:space="preserve">z(S₇, 3)</t>
        </is>
      </c>
      <c r="B26" s="105">
        <v>5.0314314939</v>
      </c>
      <c r="C26" s="73">
        <f>'ERDR Characteristics'!H11</f>
        <v>5.0314314939</v>
      </c>
      <c r="D26" s="73">
        <f>ABS(C26-B26)</f>
        <v>0</v>
      </c>
      <c r="E26" s="95">
        <f>IF(D26&lt;0.000000001,1,0)</f>
        <v>1</v>
      </c>
    </row>
    <row r="27">
      <c r="A27" s="63" t="inlineStr">
        <is>
          <t xml:space="preserve">d(S₁)</t>
        </is>
      </c>
      <c r="B27" s="105">
        <v>0.0</v>
      </c>
      <c r="C27" s="73">
        <f>'ERDR Characteristics'!J5</f>
        <v>0</v>
      </c>
      <c r="D27" s="73">
        <f>ABS(C27-B27)</f>
        <v>0</v>
      </c>
      <c r="E27" s="95">
        <f>IF(D27&lt;0.000000001,1,0)</f>
        <v>1</v>
      </c>
    </row>
    <row r="28">
      <c r="A28" s="63" t="inlineStr">
        <is>
          <t xml:space="preserve">d(S₂)</t>
        </is>
      </c>
      <c r="B28" s="105">
        <v>0.0795428388</v>
      </c>
      <c r="C28" s="73">
        <f>'ERDR Characteristics'!J6</f>
        <v>0.0795428388</v>
      </c>
      <c r="D28" s="73">
        <f>ABS(C28-B28)</f>
        <v>0</v>
      </c>
      <c r="E28" s="95">
        <f>IF(D28&lt;0.000000001,1,0)</f>
        <v>1</v>
      </c>
    </row>
    <row r="29">
      <c r="A29" s="63" t="inlineStr">
        <is>
          <t xml:space="preserve">d(S₃)</t>
        </is>
      </c>
      <c r="B29" s="105">
        <v>0.0</v>
      </c>
      <c r="C29" s="73">
        <f>'ERDR Characteristics'!J7</f>
        <v>0</v>
      </c>
      <c r="D29" s="73">
        <f>ABS(C29-B29)</f>
        <v>0</v>
      </c>
      <c r="E29" s="95">
        <f>IF(D29&lt;0.000000001,1,0)</f>
        <v>1</v>
      </c>
    </row>
    <row r="30">
      <c r="A30" s="63" t="inlineStr">
        <is>
          <t xml:space="preserve">d(S₄)</t>
        </is>
      </c>
      <c r="B30" s="105">
        <v>0.2529498997</v>
      </c>
      <c r="C30" s="73">
        <f>'ERDR Characteristics'!J8</f>
        <v>0.2529498997</v>
      </c>
      <c r="D30" s="73">
        <f>ABS(C30-B30)</f>
        <v>0</v>
      </c>
      <c r="E30" s="95">
        <f>IF(D30&lt;0.000000001,1,0)</f>
        <v>1</v>
      </c>
    </row>
    <row r="31">
      <c r="A31" s="63" t="inlineStr">
        <is>
          <t xml:space="preserve">d(S₅)</t>
        </is>
      </c>
      <c r="B31" s="105">
        <v>0.0</v>
      </c>
      <c r="C31" s="73">
        <f>'ERDR Characteristics'!J9</f>
        <v>0</v>
      </c>
      <c r="D31" s="73">
        <f>ABS(C31-B31)</f>
        <v>0</v>
      </c>
      <c r="E31" s="95">
        <f>IF(D31&lt;0.000000001,1,0)</f>
        <v>1</v>
      </c>
    </row>
    <row r="32">
      <c r="A32" s="63" t="inlineStr">
        <is>
          <t xml:space="preserve">d(S₆)</t>
        </is>
      </c>
      <c r="B32" s="105">
        <v>0.1692169896</v>
      </c>
      <c r="C32" s="73">
        <f>'ERDR Characteristics'!J10</f>
        <v>0.1692169896</v>
      </c>
      <c r="D32" s="73">
        <f>ABS(C32-B32)</f>
        <v>0</v>
      </c>
      <c r="E32" s="95">
        <f>IF(D32&lt;0.000000001,1,0)</f>
        <v>1</v>
      </c>
    </row>
    <row r="33">
      <c r="A33" s="63" t="inlineStr">
        <is>
          <t xml:space="preserve">d(S₇)</t>
        </is>
      </c>
      <c r="B33" s="105">
        <v>0.1252961741</v>
      </c>
      <c r="C33" s="73">
        <f>'ERDR Characteristics'!J11</f>
        <v>0.1252961741</v>
      </c>
      <c r="D33" s="73">
        <f>ABS(C33-B33)</f>
        <v>0</v>
      </c>
      <c r="E33" s="95">
        <f>IF(D33&lt;0.000000001,1,0)</f>
        <v>1</v>
      </c>
    </row>
    <row r="34">
      <c r="A34" s="63" t="inlineStr">
        <is>
          <t xml:space="preserve">Step 2 order</t>
        </is>
      </c>
      <c r="B34" s="106" t="inlineStr">
        <is>
          <t xml:space="preserve">S₁ → S₃ → S₅ → S₂ → S₇ → S₆ → S₄</t>
        </is>
      </c>
      <c r="C34" s="85" t="str">
        <f>'Priority Queue'!B5&amp;" → "&amp;'Priority Queue'!B6&amp;" → "&amp;'Priority Queue'!B7&amp;" → "&amp;'Priority Queue'!B8&amp;" → "&amp;'Priority Queue'!B9&amp;" → "&amp;'Priority Queue'!B10&amp;" → "&amp;'Priority Queue'!B11</f>
        <v>S₁ → S₃ → S₅ → S₂ → S₇ → S₆ → S₄</v>
      </c>
      <c r="D34" s="76" t="inlineStr">
        <is>
          <t xml:space="preserve">—</t>
        </is>
      </c>
      <c r="E34" s="95">
        <f>IF(C34=B34,1,0)</f>
        <v>1</v>
      </c>
    </row>
    <row r="35">
      <c r="A35" s="63" t="inlineStr">
        <is>
          <t xml:space="preserve">Iteration 1 · selected</t>
        </is>
      </c>
      <c r="B35" s="106" t="inlineStr">
        <is>
          <t xml:space="preserve">S₁</t>
        </is>
      </c>
      <c r="C35" s="85" t="str">
        <f>'ERDR Iterations'!K10</f>
        <v>S₁</v>
      </c>
      <c r="D35" s="76" t="inlineStr">
        <is>
          <t xml:space="preserve">—</t>
        </is>
      </c>
      <c r="E35" s="95">
        <f>IF(C35=B35,1,0)</f>
        <v>1</v>
      </c>
    </row>
    <row r="36">
      <c r="A36" s="63" t="inlineStr">
        <is>
          <t xml:space="preserve">Iteration 2 · selected</t>
        </is>
      </c>
      <c r="B36" s="106" t="inlineStr">
        <is>
          <t xml:space="preserve">S₃</t>
        </is>
      </c>
      <c r="C36" s="85" t="str">
        <f>'ERDR Iterations'!K36</f>
        <v>S₃</v>
      </c>
      <c r="D36" s="76" t="inlineStr">
        <is>
          <t xml:space="preserve">—</t>
        </is>
      </c>
      <c r="E36" s="95">
        <f>IF(C36=B36,1,0)</f>
        <v>1</v>
      </c>
    </row>
    <row r="37">
      <c r="A37" s="63" t="inlineStr">
        <is>
          <t xml:space="preserve">Iteration 3 · selected</t>
        </is>
      </c>
      <c r="B37" s="106" t="inlineStr">
        <is>
          <t xml:space="preserve">S₅</t>
        </is>
      </c>
      <c r="C37" s="85" t="str">
        <f>'ERDR Iterations'!K62</f>
        <v>S₅</v>
      </c>
      <c r="D37" s="76" t="inlineStr">
        <is>
          <t xml:space="preserve">—</t>
        </is>
      </c>
      <c r="E37" s="95">
        <f>IF(C37=B37,1,0)</f>
        <v>1</v>
      </c>
    </row>
    <row r="38">
      <c r="A38" s="63" t="inlineStr">
        <is>
          <t xml:space="preserve">Iteration 4 · selected</t>
        </is>
      </c>
      <c r="B38" s="106" t="inlineStr">
        <is>
          <t xml:space="preserve">S₂</t>
        </is>
      </c>
      <c r="C38" s="85" t="str">
        <f>'ERDR Iterations'!K88</f>
        <v>S₂</v>
      </c>
      <c r="D38" s="76" t="inlineStr">
        <is>
          <t xml:space="preserve">—</t>
        </is>
      </c>
      <c r="E38" s="95">
        <f>IF(C38=B38,1,0)</f>
        <v>1</v>
      </c>
    </row>
    <row r="39">
      <c r="A39" s="63" t="inlineStr">
        <is>
          <t xml:space="preserve">Iteration 5 · selected</t>
        </is>
      </c>
      <c r="B39" s="106" t="inlineStr">
        <is>
          <t xml:space="preserve">S₆</t>
        </is>
      </c>
      <c r="C39" s="85" t="str">
        <f>'ERDR Iterations'!K114</f>
        <v>S₆</v>
      </c>
      <c r="D39" s="76" t="inlineStr">
        <is>
          <t xml:space="preserve">—</t>
        </is>
      </c>
      <c r="E39" s="95">
        <f>IF(C39=B39,1,0)</f>
        <v>1</v>
      </c>
    </row>
    <row r="40">
      <c r="A40" s="63" t="inlineStr">
        <is>
          <t xml:space="preserve">Iteration 6 · selected</t>
        </is>
      </c>
      <c r="B40" s="106" t="inlineStr">
        <is>
          <t xml:space="preserve">S₄</t>
        </is>
      </c>
      <c r="C40" s="85" t="str">
        <f>'ERDR Iterations'!K140</f>
        <v>S₄</v>
      </c>
      <c r="D40" s="76" t="inlineStr">
        <is>
          <t xml:space="preserve">—</t>
        </is>
      </c>
      <c r="E40" s="95">
        <f>IF(C40=B40,1,0)</f>
        <v>1</v>
      </c>
    </row>
    <row r="41">
      <c r="A41" s="63" t="inlineStr">
        <is>
          <t xml:space="preserve">Iteration 7 · selected</t>
        </is>
      </c>
      <c r="B41" s="106" t="inlineStr">
        <is>
          <t xml:space="preserve">— (queue empty → Step 6)</t>
        </is>
      </c>
      <c r="C41" s="85" t="str">
        <f>'ERDR Iterations'!K166</f>
        <v>— (queue empty → Step 6)</v>
      </c>
      <c r="D41" s="76" t="inlineStr">
        <is>
          <t xml:space="preserve">—</t>
        </is>
      </c>
      <c r="E41" s="95">
        <f>IF(C41=B41,1,0)</f>
        <v>1</v>
      </c>
    </row>
    <row r="42">
      <c r="A42" s="63" t="inlineStr">
        <is>
          <t xml:space="preserve">Iteration 1 · |L|</t>
        </is>
      </c>
      <c r="B42" s="104">
        <v>3</v>
      </c>
      <c r="C42" s="76">
        <f>'ERDR Iterations'!K14</f>
        <v>3</v>
      </c>
      <c r="D42" s="76">
        <f>ABS(C42-B42)</f>
        <v>0</v>
      </c>
      <c r="E42" s="95">
        <f>IF(D42&lt;0.000000001,1,0)</f>
        <v>1</v>
      </c>
    </row>
    <row r="43">
      <c r="A43" s="63" t="inlineStr">
        <is>
          <t xml:space="preserve">Iteration 2 · |L|</t>
        </is>
      </c>
      <c r="B43" s="104">
        <v>2</v>
      </c>
      <c r="C43" s="76">
        <f>'ERDR Iterations'!K40</f>
        <v>2</v>
      </c>
      <c r="D43" s="76">
        <f>ABS(C43-B43)</f>
        <v>0</v>
      </c>
      <c r="E43" s="95">
        <f>IF(D43&lt;0.000000001,1,0)</f>
        <v>1</v>
      </c>
    </row>
    <row r="44">
      <c r="A44" s="63" t="inlineStr">
        <is>
          <t xml:space="preserve">Iteration 3 · |L|</t>
        </is>
      </c>
      <c r="B44" s="104">
        <v>3</v>
      </c>
      <c r="C44" s="76">
        <f>'ERDR Iterations'!K66</f>
        <v>3</v>
      </c>
      <c r="D44" s="76">
        <f>ABS(C44-B44)</f>
        <v>0</v>
      </c>
      <c r="E44" s="95">
        <f>IF(D44&lt;0.000000001,1,0)</f>
        <v>1</v>
      </c>
    </row>
    <row r="45">
      <c r="A45" s="63" t="inlineStr">
        <is>
          <t xml:space="preserve">Iteration 4 · |L|</t>
        </is>
      </c>
      <c r="B45" s="104">
        <v>1</v>
      </c>
      <c r="C45" s="76">
        <f>'ERDR Iterations'!K92</f>
        <v>1</v>
      </c>
      <c r="D45" s="76">
        <f>ABS(C45-B45)</f>
        <v>0</v>
      </c>
      <c r="E45" s="95">
        <f>IF(D45&lt;0.000000001,1,0)</f>
        <v>1</v>
      </c>
    </row>
    <row r="46">
      <c r="A46" s="63" t="inlineStr">
        <is>
          <t xml:space="preserve">Iteration 5 · |L|</t>
        </is>
      </c>
      <c r="B46" s="104">
        <v>1</v>
      </c>
      <c r="C46" s="76">
        <f>'ERDR Iterations'!K118</f>
        <v>1</v>
      </c>
      <c r="D46" s="76">
        <f>ABS(C46-B46)</f>
        <v>0</v>
      </c>
      <c r="E46" s="95">
        <f>IF(D46&lt;0.000000001,1,0)</f>
        <v>1</v>
      </c>
    </row>
    <row r="47">
      <c r="A47" s="63" t="inlineStr">
        <is>
          <t xml:space="preserve">Iteration 6 · |L|</t>
        </is>
      </c>
      <c r="B47" s="104">
        <v>0</v>
      </c>
      <c r="C47" s="76">
        <f>'ERDR Iterations'!K144</f>
        <v>0</v>
      </c>
      <c r="D47" s="76">
        <f>ABS(C47-B47)</f>
        <v>0</v>
      </c>
      <c r="E47" s="95">
        <f>IF(D47&lt;0.000000001,1,0)</f>
        <v>1</v>
      </c>
    </row>
    <row r="48">
      <c r="A48" s="63" t="inlineStr">
        <is>
          <t xml:space="preserve">Iteration 7 · |L|</t>
        </is>
      </c>
      <c r="B48" s="104">
        <v>0</v>
      </c>
      <c r="C48" s="76">
        <f>'ERDR Iterations'!K170</f>
        <v>0</v>
      </c>
      <c r="D48" s="76">
        <f>ABS(C48-B48)</f>
        <v>0</v>
      </c>
      <c r="E48" s="95">
        <f>IF(D48&lt;0.000000001,1,0)</f>
        <v>1</v>
      </c>
    </row>
    <row r="49">
      <c r="A49" s="63" t="inlineStr">
        <is>
          <t xml:space="preserve">Iteration 1 · moved to D</t>
        </is>
      </c>
      <c r="B49" s="106" t="inlineStr">
        <is>
          <t xml:space="preserve">—</t>
        </is>
      </c>
      <c r="C49" s="85" t="str">
        <f>'ERDR Iterations'!K17</f>
        <v>—</v>
      </c>
      <c r="D49" s="76" t="inlineStr">
        <is>
          <t xml:space="preserve">—</t>
        </is>
      </c>
      <c r="E49" s="95">
        <f>IF(C49=B49,1,0)</f>
        <v>1</v>
      </c>
    </row>
    <row r="50">
      <c r="A50" s="63" t="inlineStr">
        <is>
          <t xml:space="preserve">Iteration 2 · moved to D</t>
        </is>
      </c>
      <c r="B50" s="106" t="inlineStr">
        <is>
          <t xml:space="preserve">S₇ (Step 5)</t>
        </is>
      </c>
      <c r="C50" s="85" t="str">
        <f>'ERDR Iterations'!K43</f>
        <v>S₇ (Step 5)</v>
      </c>
      <c r="D50" s="76" t="inlineStr">
        <is>
          <t xml:space="preserve">—</t>
        </is>
      </c>
      <c r="E50" s="95">
        <f>IF(C50=B50,1,0)</f>
        <v>1</v>
      </c>
    </row>
    <row r="51">
      <c r="A51" s="63" t="inlineStr">
        <is>
          <t xml:space="preserve">Iteration 3 · moved to D</t>
        </is>
      </c>
      <c r="B51" s="106" t="inlineStr">
        <is>
          <t xml:space="preserve">S₁ (Step 5), S₅ (Step 5)</t>
        </is>
      </c>
      <c r="C51" s="85" t="str">
        <f>'ERDR Iterations'!K69</f>
        <v>S₁ (Step 5), S₅ (Step 5)</v>
      </c>
      <c r="D51" s="76" t="inlineStr">
        <is>
          <t xml:space="preserve">—</t>
        </is>
      </c>
      <c r="E51" s="95">
        <f>IF(C51=B51,1,0)</f>
        <v>1</v>
      </c>
    </row>
    <row r="52">
      <c r="A52" s="63" t="inlineStr">
        <is>
          <t xml:space="preserve">Iteration 4 · moved to D</t>
        </is>
      </c>
      <c r="B52" s="106" t="inlineStr">
        <is>
          <t xml:space="preserve">S₂ (Step 4)</t>
        </is>
      </c>
      <c r="C52" s="85" t="str">
        <f>'ERDR Iterations'!K95</f>
        <v>S₂ (Step 4)</v>
      </c>
      <c r="D52" s="76" t="inlineStr">
        <is>
          <t xml:space="preserve">—</t>
        </is>
      </c>
      <c r="E52" s="95">
        <f>IF(C52=B52,1,0)</f>
        <v>1</v>
      </c>
    </row>
    <row r="53">
      <c r="A53" s="63" t="inlineStr">
        <is>
          <t xml:space="preserve">Iteration 5 · moved to D</t>
        </is>
      </c>
      <c r="B53" s="106" t="inlineStr">
        <is>
          <t xml:space="preserve">S₆ (Step 4)</t>
        </is>
      </c>
      <c r="C53" s="85" t="str">
        <f>'ERDR Iterations'!K121</f>
        <v>S₆ (Step 4)</v>
      </c>
      <c r="D53" s="76" t="inlineStr">
        <is>
          <t xml:space="preserve">—</t>
        </is>
      </c>
      <c r="E53" s="95">
        <f>IF(C53=B53,1,0)</f>
        <v>1</v>
      </c>
    </row>
    <row r="54">
      <c r="A54" s="63" t="inlineStr">
        <is>
          <t xml:space="preserve">Iteration 6 · moved to D</t>
        </is>
      </c>
      <c r="B54" s="106" t="inlineStr">
        <is>
          <t xml:space="preserve">—</t>
        </is>
      </c>
      <c r="C54" s="85" t="str">
        <f>'ERDR Iterations'!K147</f>
        <v>—</v>
      </c>
      <c r="D54" s="76" t="inlineStr">
        <is>
          <t xml:space="preserve">—</t>
        </is>
      </c>
      <c r="E54" s="95">
        <f>IF(C54=B54,1,0)</f>
        <v>1</v>
      </c>
    </row>
    <row r="55">
      <c r="A55" s="63" t="inlineStr">
        <is>
          <t xml:space="preserve">Iteration 7 · moved to D</t>
        </is>
      </c>
      <c r="B55" s="106" t="inlineStr">
        <is>
          <t xml:space="preserve">—</t>
        </is>
      </c>
      <c r="C55" s="85" t="str">
        <f>'ERDR Iterations'!K173</f>
        <v>—</v>
      </c>
      <c r="D55" s="76" t="inlineStr">
        <is>
          <t xml:space="preserve">—</t>
        </is>
      </c>
      <c r="E55" s="95">
        <f>IF(C55=B55,1,0)</f>
        <v>1</v>
      </c>
    </row>
    <row r="56">
      <c r="A56" s="63" t="inlineStr">
        <is>
          <t xml:space="preserve">D · training sample</t>
        </is>
      </c>
      <c r="B56" s="106" t="inlineStr">
        <is>
          <t xml:space="preserve">{S₁, S₂, S₅, S₆, S₇}</t>
        </is>
      </c>
      <c r="C56" s="85" t="str">
        <f>'Training &amp; Validation'!B19</f>
        <v>{S₁, S₂, S₅, S₆, S₇}</v>
      </c>
      <c r="D56" s="76" t="inlineStr">
        <is>
          <t xml:space="preserve">—</t>
        </is>
      </c>
      <c r="E56" s="95">
        <f>IF(C56=B56,1,0)</f>
        <v>1</v>
      </c>
    </row>
    <row r="57">
      <c r="A57" s="63" t="inlineStr">
        <is>
          <t xml:space="preserve">F · validation sample</t>
        </is>
      </c>
      <c r="B57" s="106" t="inlineStr">
        <is>
          <t xml:space="preserve">{S₃, S₄}</t>
        </is>
      </c>
      <c r="C57" s="85" t="str">
        <f>'Training &amp; Validation'!B20</f>
        <v>{S₃, S₄}</v>
      </c>
      <c r="D57" s="76" t="inlineStr">
        <is>
          <t xml:space="preserve">—</t>
        </is>
      </c>
      <c r="E57" s="95">
        <f>IF(C57=B57,1,0)</f>
        <v>1</v>
      </c>
    </row>
    <row r="58">
      <c r="A58" s="63" t="inlineStr">
        <is>
          <t xml:space="preserve">Cases that occur (of 17)</t>
        </is>
      </c>
      <c r="B58" s="104">
        <v>17</v>
      </c>
      <c r="C58" s="76">
        <f>SUM('Case Checklist'!D5:D21)</f>
        <v>17</v>
      </c>
      <c r="D58" s="76">
        <f>ABS(C58-B58)</f>
        <v>0</v>
      </c>
      <c r="E58" s="95">
        <f>IF(D58&lt;0.000000001,1,0)</f>
        <v>1</v>
      </c>
    </row>
    <row r="59">
      <c r="A59" s="90" t="inlineStr">
        <is>
          <t xml:space="preserve">All checks</t>
        </is>
      </c>
      <c r="B59" s="92" t="str">
        <f>SUM(E6:E58)&amp;" of 53 checks pass"&amp;IF(SUM(E6:E58)=53,"  ✓","  ⚠")</f>
        <v>53 of 53 checks pass  ✓</v>
      </c>
      <c r="C59" s="92"/>
      <c r="D59" s="92"/>
      <c r="E59" s="92"/>
    </row>
    <row r="60"/>
    <row r="61">
      <c r="A61" s="100" t="inlineStr">
        <is>
          <t xml:space="preserve">LibreOffice full recalculation of this file: all 14,561 formulas evaluate without errors, and every check above agrees with the engine (tolerance 1e-9).</t>
        </is>
      </c>
    </row>
    <row r="62">
      <c r="A62" s="100" t="inlineStr">
        <is>
          <t xml:space="preserve">Engine: erdrlab (Python) — data.load_csv, metric.distance_matrix (Zhuravlev, min–max over the selected objects, 10-decimal rounding), erdr.characteristics, erdr.run(D, y, k, ε, self_in_L, blocked_cover, step5), cases.detect.</t>
        </is>
      </c>
    </row>
    <row r="63">
      <c r="A63" s="100" t="inlineStr">
        <is>
          <t xml:space="preserve">The engine values on Object Selection, Readings (Switches), Article Table 1 Check and the 2-D map come from the same engine; they are the golden values for tests of the Python project.</t>
        </is>
      </c>
    </row>
  </sheetData>
  <mergeCells count="3">
    <mergeCell ref="A1:E1"/>
    <mergeCell ref="A3:E3"/>
    <mergeCell ref="B59:E59"/>
  </mergeCells>
  <conditionalFormatting sqref="E6:E58">
    <cfRule type="cellIs" dxfId="0" priority="1" operator="equal">
      <formula>1</formula>
    </cfRule>
  </conditionalFormatting>
  <conditionalFormatting sqref="E6:E58">
    <cfRule type="cellIs" dxfId="2" priority="2" operator="equal">
      <formula>0</formula>
    </cfRule>
  </conditionalFormatting>
  <printOptions horizontalCentered="1"/>
  <pageMargins left="0.4" right="0.4" top="0.7" bottom="0.6" header="0.3" footer="0.3"/>
  <pageSetup paperSize="9" orientation="landscape" fitToWidth="1" fitToHeight="0"/>
  <headerFooter>
    <oddHeader>&amp;L&amp;"Calibri,Bold"&amp;9ERDR Algorithm — Heart-Disease (7, 13, 2) selected from Heart-Disease (270, 13, 2)&amp;R&amp;"Calibri,Regular"&amp;9&amp;A</oddHeader>
    <oddFooter>&amp;C&amp;"Calibri,Regular"&amp;9Page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rgb="FF404040"/>
    <pageSetUpPr fitToPage="1"/>
  </sheetPr>
  <dimension ref="A1:BP511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24.77734375" customWidth="1"/>
    <col min="2" max="68" width="10.77734375" customWidth="1"/>
  </cols>
  <sheetData>
    <row r="1" ht="22" customHeight="1">
      <c r="A1" s="57" t="inlineStr">
        <is>
          <t xml:space="preserve">Hypersphere data · coordinates of every hypersphere diagram (live formulas — the charts on the two Hyperspheres sheets read these cells)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</row>
    <row r="2"/>
    <row r="3">
      <c r="A3" s="58" t="inlineStr">
        <is>
          <t xml:space="preserve">Scalars, the class row and the unit circle (24 segments)</t>
        </is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</row>
    <row r="4">
      <c r="A4" s="60" t="inlineStr">
        <is>
          <t xml:space="preserve">Quantity</t>
        </is>
      </c>
      <c r="B4" s="60" t="inlineStr">
        <is>
          <t xml:space="preserve">Value</t>
        </is>
      </c>
      <c r="J4" s="60" t="inlineStr">
        <is>
          <t xml:space="preserve">k</t>
        </is>
      </c>
      <c r="K4" s="60" t="inlineStr">
        <is>
          <t xml:space="preserve">φ = 2πk / 24</t>
        </is>
      </c>
      <c r="L4" s="60" t="inlineStr">
        <is>
          <t xml:space="preserve">cos φ</t>
        </is>
      </c>
      <c r="M4" s="60" t="inlineStr">
        <is>
          <t xml:space="preserve">sin φ</t>
        </is>
      </c>
    </row>
    <row r="5" ht="30" customHeight="1">
      <c r="A5" s="64" t="inlineStr">
        <is>
          <t xml:space="preserve">ρ_max — largest distance between two objects (radius 1 of the object diagrams)</t>
        </is>
      </c>
      <c r="B5" s="144">
        <f>MAX('Zhuravlev Distances'!$B$5:$H$11)</f>
        <v>9.0234774016</v>
      </c>
      <c r="J5" s="146">
        <v>0</v>
      </c>
      <c r="K5" s="144">
        <f>2*PI()*J5/24</f>
        <v>0</v>
      </c>
      <c r="L5" s="144">
        <f>COS(K5)</f>
        <v>1</v>
      </c>
      <c r="M5" s="144">
        <f>SIN(K5)</f>
        <v>0</v>
      </c>
    </row>
    <row r="6" ht="30" customHeight="1">
      <c r="A6" s="64" t="inlineStr">
        <is>
          <t xml:space="preserve">Angle step 2π / (N − 1) between neighbours of the same centre</t>
        </is>
      </c>
      <c r="B6" s="144">
        <f>2*PI()/('Parameters'!$B$5-1)</f>
        <v>1.0471975511966</v>
      </c>
      <c r="J6" s="146">
        <v>1</v>
      </c>
      <c r="K6" s="144">
        <f>2*PI()*J6/24</f>
        <v>0.261799387799149</v>
      </c>
      <c r="L6" s="144">
        <f>COS(K6)</f>
        <v>0.965925826289068</v>
      </c>
      <c r="M6" s="144">
        <f>SIN(K6)</f>
        <v>0.258819045102521</v>
      </c>
    </row>
    <row r="7" ht="30" customHeight="1">
      <c r="A7" s="64" t="inlineStr">
        <is>
          <t xml:space="preserve">Label offset, object diagrams</t>
        </is>
      </c>
      <c r="B7" s="89">
        <v>0.085</v>
      </c>
      <c r="J7" s="146">
        <v>2</v>
      </c>
      <c r="K7" s="144">
        <f>2*PI()*J7/24</f>
        <v>0.523598775598299</v>
      </c>
      <c r="L7" s="144">
        <f>COS(K7)</f>
        <v>0.866025403784439</v>
      </c>
      <c r="M7" s="144">
        <f>SIN(K7)</f>
        <v>0.5</v>
      </c>
    </row>
    <row r="8" ht="30" customHeight="1">
      <c r="A8" s="64" t="inlineStr">
        <is>
          <t xml:space="preserve">Margin of the iteration diagrams (box half side × this factor)</t>
        </is>
      </c>
      <c r="B8" s="89">
        <v>1.15</v>
      </c>
      <c r="J8" s="146">
        <v>3</v>
      </c>
      <c r="K8" s="144">
        <f>2*PI()*J8/24</f>
        <v>0.785398163397448</v>
      </c>
      <c r="L8" s="144">
        <f>COS(K8)</f>
        <v>0.707106781186548</v>
      </c>
      <c r="M8" s="144">
        <f>SIN(K8)</f>
        <v>0.707106781186548</v>
      </c>
    </row>
    <row r="9" ht="30" customHeight="1">
      <c r="A9" s="64" t="inlineStr">
        <is>
          <t xml:space="preserve">k (Parameters)</t>
        </is>
      </c>
      <c r="B9" s="146">
        <f>'Parameters'!$B$12</f>
        <v>3</v>
      </c>
      <c r="J9" s="146">
        <v>4</v>
      </c>
      <c r="K9" s="144">
        <f>2*PI()*J9/24</f>
        <v>1.0471975511966</v>
      </c>
      <c r="L9" s="144">
        <f>COS(K9)</f>
        <v>0.5</v>
      </c>
      <c r="M9" s="144">
        <f>SIN(K9)</f>
        <v>0.866025403784439</v>
      </c>
    </row>
    <row r="10" ht="30" customHeight="1">
      <c r="A10" s="64" t="inlineStr">
        <is>
          <t xml:space="preserve">Vertical offset of the r and z lines from a strip</t>
        </is>
      </c>
      <c r="B10" s="89">
        <v>0.22</v>
      </c>
      <c r="J10" s="146">
        <v>5</v>
      </c>
      <c r="K10" s="144">
        <f>2*PI()*J10/24</f>
        <v>1.30899693899575</v>
      </c>
      <c r="L10" s="144">
        <f>COS(K10)</f>
        <v>0.258819045102521</v>
      </c>
      <c r="M10" s="144">
        <f>SIN(K10)</f>
        <v>0.965925826289068</v>
      </c>
    </row>
    <row r="11" ht="30" customHeight="1">
      <c r="A11" s="64" t="inlineStr">
        <is>
          <t xml:space="preserve">Ray length in the radius plane = 1.12 · max(r, z)</t>
        </is>
      </c>
      <c r="B11" s="144">
        <f>1.12*MAX('ERDR Characteristics'!$D$5:$D$11,'ERDR Characteristics'!$H$5:$H$11)</f>
        <v>8.366366278928</v>
      </c>
      <c r="J11" s="146">
        <v>6</v>
      </c>
      <c r="K11" s="144">
        <f>2*PI()*J11/24</f>
        <v>1.5707963267949</v>
      </c>
      <c r="L11" s="144">
        <f>COS(K11)</f>
        <v>6.12323399573677e-17</v>
      </c>
      <c r="M11" s="144">
        <f>SIN(K11)</f>
        <v>1</v>
      </c>
    </row>
    <row r="12" ht="30" customHeight="1">
      <c r="J12" s="146">
        <v>7</v>
      </c>
      <c r="K12" s="144">
        <f>2*PI()*J12/24</f>
        <v>1.83259571459405</v>
      </c>
      <c r="L12" s="144">
        <f>COS(K12)</f>
        <v>-0.258819045102521</v>
      </c>
      <c r="M12" s="144">
        <f>SIN(K12)</f>
        <v>0.965925826289068</v>
      </c>
    </row>
    <row r="13" ht="30" customHeight="1">
      <c r="A13" s="64" t="inlineStr">
        <is>
          <t xml:space="preserve">Class of Sⱼ, row view (S₁ … S₇)</t>
        </is>
      </c>
      <c r="B13" s="68">
        <f>'Dataset'!$P$5</f>
        <v>2</v>
      </c>
      <c r="C13" s="68">
        <f>'Dataset'!$P$6</f>
        <v>2</v>
      </c>
      <c r="D13" s="68">
        <f>'Dataset'!$P$7</f>
        <v>1</v>
      </c>
      <c r="E13" s="68">
        <f>'Dataset'!$P$8</f>
        <v>2</v>
      </c>
      <c r="F13" s="68">
        <f>'Dataset'!$P$9</f>
        <v>2</v>
      </c>
      <c r="G13" s="68">
        <f>'Dataset'!$P$10</f>
        <v>1</v>
      </c>
      <c r="H13" s="68">
        <f>'Dataset'!$P$11</f>
        <v>1</v>
      </c>
      <c r="J13" s="146">
        <v>8</v>
      </c>
      <c r="K13" s="144">
        <f>2*PI()*J13/24</f>
        <v>2.0943951023932</v>
      </c>
      <c r="L13" s="144">
        <f>COS(K13)</f>
        <v>-0.5</v>
      </c>
      <c r="M13" s="144">
        <f>SIN(K13)</f>
        <v>0.866025403784439</v>
      </c>
    </row>
    <row r="14">
      <c r="J14" s="146">
        <v>9</v>
      </c>
      <c r="K14" s="144">
        <f>2*PI()*J14/24</f>
        <v>2.35619449019235</v>
      </c>
      <c r="L14" s="144">
        <f>COS(K14)</f>
        <v>-0.707106781186548</v>
      </c>
      <c r="M14" s="144">
        <f>SIN(K14)</f>
        <v>0.707106781186548</v>
      </c>
    </row>
    <row r="15">
      <c r="J15" s="146">
        <v>10</v>
      </c>
      <c r="K15" s="144">
        <f>2*PI()*J15/24</f>
        <v>2.61799387799149</v>
      </c>
      <c r="L15" s="144">
        <f>COS(K15)</f>
        <v>-0.866025403784439</v>
      </c>
      <c r="M15" s="144">
        <f>SIN(K15)</f>
        <v>0.5</v>
      </c>
    </row>
    <row r="16">
      <c r="J16" s="146">
        <v>11</v>
      </c>
      <c r="K16" s="144">
        <f>2*PI()*J16/24</f>
        <v>2.87979326579064</v>
      </c>
      <c r="L16" s="144">
        <f>COS(K16)</f>
        <v>-0.965925826289068</v>
      </c>
      <c r="M16" s="144">
        <f>SIN(K16)</f>
        <v>0.258819045102521</v>
      </c>
    </row>
    <row r="17">
      <c r="J17" s="146">
        <v>12</v>
      </c>
      <c r="K17" s="144">
        <f>2*PI()*J17/24</f>
        <v>3.14159265358979</v>
      </c>
      <c r="L17" s="144">
        <f>COS(K17)</f>
        <v>-1</v>
      </c>
      <c r="M17" s="144">
        <f>SIN(K17)</f>
        <v>1.22464679914735e-16</v>
      </c>
    </row>
    <row r="18">
      <c r="J18" s="146">
        <v>13</v>
      </c>
      <c r="K18" s="144">
        <f>2*PI()*J18/24</f>
        <v>3.40339204138894</v>
      </c>
      <c r="L18" s="144">
        <f>COS(K18)</f>
        <v>-0.965925826289068</v>
      </c>
      <c r="M18" s="144">
        <f>SIN(K18)</f>
        <v>-0.258819045102521</v>
      </c>
    </row>
    <row r="19">
      <c r="J19" s="146">
        <v>14</v>
      </c>
      <c r="K19" s="144">
        <f>2*PI()*J19/24</f>
        <v>3.66519142918809</v>
      </c>
      <c r="L19" s="144">
        <f>COS(K19)</f>
        <v>-0.866025403784439</v>
      </c>
      <c r="M19" s="144">
        <f>SIN(K19)</f>
        <v>-0.5</v>
      </c>
    </row>
    <row r="20">
      <c r="J20" s="146">
        <v>15</v>
      </c>
      <c r="K20" s="144">
        <f>2*PI()*J20/24</f>
        <v>3.92699081698724</v>
      </c>
      <c r="L20" s="144">
        <f>COS(K20)</f>
        <v>-0.707106781186548</v>
      </c>
      <c r="M20" s="144">
        <f>SIN(K20)</f>
        <v>-0.707106781186547</v>
      </c>
    </row>
    <row r="21">
      <c r="J21" s="146">
        <v>16</v>
      </c>
      <c r="K21" s="144">
        <f>2*PI()*J21/24</f>
        <v>4.18879020478639</v>
      </c>
      <c r="L21" s="144">
        <f>COS(K21)</f>
        <v>-0.5</v>
      </c>
      <c r="M21" s="144">
        <f>SIN(K21)</f>
        <v>-0.866025403784438</v>
      </c>
    </row>
    <row r="22">
      <c r="J22" s="146">
        <v>17</v>
      </c>
      <c r="K22" s="144">
        <f>2*PI()*J22/24</f>
        <v>4.45058959258554</v>
      </c>
      <c r="L22" s="144">
        <f>COS(K22)</f>
        <v>-0.258819045102521</v>
      </c>
      <c r="M22" s="144">
        <f>SIN(K22)</f>
        <v>-0.965925826289068</v>
      </c>
    </row>
    <row r="23">
      <c r="J23" s="146">
        <v>18</v>
      </c>
      <c r="K23" s="144">
        <f>2*PI()*J23/24</f>
        <v>4.71238898038469</v>
      </c>
      <c r="L23" s="144">
        <f>COS(K23)</f>
        <v>-1.83697019872103e-16</v>
      </c>
      <c r="M23" s="144">
        <f>SIN(K23)</f>
        <v>-1</v>
      </c>
    </row>
    <row r="24">
      <c r="J24" s="146">
        <v>19</v>
      </c>
      <c r="K24" s="144">
        <f>2*PI()*J24/24</f>
        <v>4.97418836818384</v>
      </c>
      <c r="L24" s="144">
        <f>COS(K24)</f>
        <v>0.25881904510252</v>
      </c>
      <c r="M24" s="144">
        <f>SIN(K24)</f>
        <v>-0.965925826289068</v>
      </c>
    </row>
    <row r="25">
      <c r="J25" s="146">
        <v>20</v>
      </c>
      <c r="K25" s="144">
        <f>2*PI()*J25/24</f>
        <v>5.23598775598299</v>
      </c>
      <c r="L25" s="144">
        <f>COS(K25)</f>
        <v>0.5</v>
      </c>
      <c r="M25" s="144">
        <f>SIN(K25)</f>
        <v>-0.866025403784439</v>
      </c>
    </row>
    <row r="26">
      <c r="J26" s="146">
        <v>21</v>
      </c>
      <c r="K26" s="144">
        <f>2*PI()*J26/24</f>
        <v>5.49778714378214</v>
      </c>
      <c r="L26" s="144">
        <f>COS(K26)</f>
        <v>0.707106781186547</v>
      </c>
      <c r="M26" s="144">
        <f>SIN(K26)</f>
        <v>-0.707106781186548</v>
      </c>
    </row>
    <row r="27">
      <c r="J27" s="146">
        <v>22</v>
      </c>
      <c r="K27" s="144">
        <f>2*PI()*J27/24</f>
        <v>5.75958653158129</v>
      </c>
      <c r="L27" s="144">
        <f>COS(K27)</f>
        <v>0.866025403784438</v>
      </c>
      <c r="M27" s="144">
        <f>SIN(K27)</f>
        <v>-0.5</v>
      </c>
    </row>
    <row r="28">
      <c r="J28" s="146">
        <v>23</v>
      </c>
      <c r="K28" s="144">
        <f>2*PI()*J28/24</f>
        <v>6.02138591938044</v>
      </c>
      <c r="L28" s="144">
        <f>COS(K28)</f>
        <v>0.965925826289068</v>
      </c>
      <c r="M28" s="144">
        <f>SIN(K28)</f>
        <v>-0.258819045102522</v>
      </c>
    </row>
    <row r="29">
      <c r="J29" s="146">
        <v>24</v>
      </c>
      <c r="K29" s="144">
        <f>2*PI()*J29/24</f>
        <v>6.28318530717959</v>
      </c>
      <c r="L29" s="144">
        <f>COS(K29)</f>
        <v>1</v>
      </c>
      <c r="M29" s="144">
        <f>SIN(K29)</f>
        <v>-2.44929359829471e-16</v>
      </c>
    </row>
    <row r="30"/>
    <row r="31"/>
    <row r="32">
      <c r="A32" s="59" t="inlineStr">
        <is>
          <t xml:space="preserve">Object S₁ · radial diagram on “Hyperspheres (Step 1)” — centre S₁, neighbours at their true distance ρ, in neighbour order clockwise from the top</t>
        </is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</row>
    <row r="33">
      <c r="A33" s="63" t="inlineStr">
        <is>
          <t xml:space="preserve">Chart title</t>
        </is>
      </c>
      <c r="B33" s="145" t="str">
        <f>"S₁ (class "&amp;'Dataset'!$P$5&amp;")  ·  g = "&amp;'ERDR Characteristics'!$E$5&amp;"  ·  d = "&amp;TEXT('ERDR Characteristics'!$J$5,"0.000")&amp;"  ·  queue "&amp;'ERDR Characteristics'!$K$5</f>
        <v>S₁ (class 2)  ·  g = 3  ·  d = 0.000  ·  queue 1</v>
      </c>
    </row>
    <row r="34" ht="30" customHeight="1">
      <c r="A34" s="147" t="inlineStr">
        <is>
          <t xml:space="preserve">Sⱼ</t>
        </is>
      </c>
      <c r="B34" s="147" t="inlineStr">
        <is>
          <t xml:space="preserve">Class</t>
        </is>
      </c>
      <c r="C34" s="147" t="inlineStr">
        <is>
          <t xml:space="preserve">Rank around Sᵢ (0 = centre)</t>
        </is>
      </c>
      <c r="D34" s="147" t="inlineStr">
        <is>
          <t xml:space="preserve">ρ(Sᵢ, Sⱼ)</t>
        </is>
      </c>
      <c r="E34" s="147" t="inlineStr">
        <is>
          <t xml:space="preserve">Angle θ</t>
        </is>
      </c>
      <c r="F34" s="147" t="inlineStr">
        <is>
          <t xml:space="preserve">x</t>
        </is>
      </c>
      <c r="G34" s="147" t="inlineStr">
        <is>
          <t xml:space="preserve">y</t>
        </is>
      </c>
      <c r="H34" s="147" t="inlineStr">
        <is>
          <t xml:space="preserve">Counted in g(Sᵢ)</t>
        </is>
      </c>
      <c r="I34" s="147" t="inlineStr">
        <is>
          <t xml:space="preserve">K1 counted · x</t>
        </is>
      </c>
      <c r="J34" s="147" t="inlineStr">
        <is>
          <t xml:space="preserve">y</t>
        </is>
      </c>
      <c r="K34" s="147" t="inlineStr">
        <is>
          <t xml:space="preserve">K1 not counted · x</t>
        </is>
      </c>
      <c r="L34" s="147" t="inlineStr">
        <is>
          <t xml:space="preserve">y</t>
        </is>
      </c>
      <c r="M34" s="147" t="inlineStr">
        <is>
          <t xml:space="preserve">K2 counted · x</t>
        </is>
      </c>
      <c r="N34" s="147" t="inlineStr">
        <is>
          <t xml:space="preserve">y</t>
        </is>
      </c>
      <c r="O34" s="147" t="inlineStr">
        <is>
          <t xml:space="preserve">K2 not counted · x</t>
        </is>
      </c>
      <c r="P34" s="147" t="inlineStr">
        <is>
          <t xml:space="preserve">y</t>
        </is>
      </c>
      <c r="Q34" s="147" t="inlineStr">
        <is>
          <t xml:space="preserve">Centre K1 · x</t>
        </is>
      </c>
      <c r="R34" s="147" t="inlineStr">
        <is>
          <t xml:space="preserve">y</t>
        </is>
      </c>
      <c r="S34" s="147" t="inlineStr">
        <is>
          <t xml:space="preserve">Centre K2 · x</t>
        </is>
      </c>
      <c r="T34" s="147" t="inlineStr">
        <is>
          <t xml:space="preserve">y</t>
        </is>
      </c>
      <c r="U34" s="147" t="inlineStr">
        <is>
          <t xml:space="preserve">Label text</t>
        </is>
      </c>
      <c r="Z34" s="147" t="inlineStr">
        <is>
          <t xml:space="preserve">k</t>
        </is>
      </c>
      <c r="AA34" s="147" t="inlineStr">
        <is>
          <t xml:space="preserve">r-sphere · x</t>
        </is>
      </c>
      <c r="AB34" s="147" t="inlineStr">
        <is>
          <t xml:space="preserve">y</t>
        </is>
      </c>
      <c r="AC34" s="147" t="inlineStr">
        <is>
          <t xml:space="preserve">k-sphere · x</t>
        </is>
      </c>
      <c r="AD34" s="147" t="inlineStr">
        <is>
          <t xml:space="preserve">y</t>
        </is>
      </c>
    </row>
    <row r="35">
      <c r="A35" s="62" t="inlineStr">
        <is>
          <t xml:space="preserve">S₁</t>
        </is>
      </c>
      <c r="B35" s="68">
        <f>'Dataset'!$P$5</f>
        <v>2</v>
      </c>
      <c r="C35" s="146">
        <v>0</v>
      </c>
      <c r="D35" s="144">
        <f>'Zhuravlev Distances'!B$5</f>
        <v>0</v>
      </c>
      <c r="E35" s="144">
        <f>IF(C35=0,0,PI()/2-(C35-1)*$B$6)</f>
        <v>0</v>
      </c>
      <c r="F35" s="144">
        <f>D35/$B$5*COS(E35)</f>
        <v>0</v>
      </c>
      <c r="G35" s="144">
        <f>D35/$B$5*SIN(E35)</f>
        <v>0</v>
      </c>
      <c r="H35" s="146">
        <f>IF(AND(C35&gt;0,B35='Dataset'!$P$5,D35&lt;'ERDR Characteristics'!$D$5),1,0)</f>
        <v>0</v>
      </c>
      <c r="I35" s="144" t="e">
        <f>IF(AND(C35&gt;0,B35=1,H35=1),F35,NA())</f>
        <v>#N/A</v>
      </c>
      <c r="J35" s="144" t="e">
        <f>IF(AND(C35&gt;0,B35=1,H35=1),G35,NA())</f>
        <v>#N/A</v>
      </c>
      <c r="K35" s="144" t="e">
        <f>IF(AND(C35&gt;0,B35=1,H35=0),F35,NA())</f>
        <v>#N/A</v>
      </c>
      <c r="L35" s="144" t="e">
        <f>IF(AND(C35&gt;0,B35=1,H35=0),G35,NA())</f>
        <v>#N/A</v>
      </c>
      <c r="M35" s="144" t="e">
        <f>IF(AND(C35&gt;0,B35=2,H35=1),F35,NA())</f>
        <v>#N/A</v>
      </c>
      <c r="N35" s="144" t="e">
        <f>IF(AND(C35&gt;0,B35=2,H35=1),G35,NA())</f>
        <v>#N/A</v>
      </c>
      <c r="O35" s="144" t="e">
        <f>IF(AND(C35&gt;0,B35=2,H35=0),F35,NA())</f>
        <v>#N/A</v>
      </c>
      <c r="P35" s="144" t="e">
        <f>IF(AND(C35&gt;0,B35=2,H35=0),G35,NA())</f>
        <v>#N/A</v>
      </c>
      <c r="Q35" s="144" t="e">
        <f>IF(AND(C35=0,B35=1),0,NA())</f>
        <v>#N/A</v>
      </c>
      <c r="R35" s="144" t="e">
        <f>IF(AND(C35=0,B35=1),0,NA())</f>
        <v>#N/A</v>
      </c>
      <c r="S35" s="144">
        <f>IF(AND(C35=0,B35=2),0,NA())</f>
        <v>0</v>
      </c>
      <c r="T35" s="144">
        <f>IF(AND(C35=0,B35=2),0,NA())</f>
        <v>0</v>
      </c>
      <c r="U35" s="145" t="str">
        <f>IF(C35=0,A35,A35&amp;"  "&amp;TEXT(D35,"0.00")&amp;IF(C35='ERDR Characteristics'!$F$5,IF(C35=$B$9," (r, z)"," (r)"),IF(C35=$B$9," (z)","")))</f>
        <v>S₁</v>
      </c>
      <c r="Z35" s="146">
        <v>0</v>
      </c>
      <c r="AA35" s="144">
        <f>'ERDR Characteristics'!$D$5/$B$5*$L$5</f>
        <v>0.62138800380946</v>
      </c>
      <c r="AB35" s="144">
        <f>'ERDR Characteristics'!$D$5/$B$5*$M$5</f>
        <v>0</v>
      </c>
      <c r="AC35" s="144">
        <f>'ERDR Characteristics'!$H$5/$B$5*$L$5</f>
        <v>0.62138800380946</v>
      </c>
      <c r="AD35" s="144">
        <f>'ERDR Characteristics'!$H$5/$B$5*$M$5</f>
        <v>0</v>
      </c>
    </row>
    <row r="36">
      <c r="A36" s="62" t="inlineStr">
        <is>
          <t xml:space="preserve">S₂</t>
        </is>
      </c>
      <c r="B36" s="68">
        <f>'Dataset'!$P$6</f>
        <v>2</v>
      </c>
      <c r="C36" s="146">
        <f>'Sorted Neighbors'!C$5</f>
        <v>1</v>
      </c>
      <c r="D36" s="144">
        <f>'Zhuravlev Distances'!C$5</f>
        <v>4.6606100796</v>
      </c>
      <c r="E36" s="144">
        <f>IF(C36=0,0,PI()/2-(C36-1)*$B$6)</f>
        <v>1.5707963267949</v>
      </c>
      <c r="F36" s="144">
        <f>D36/$B$5*COS(E36)</f>
        <v>3.16263950250709e-17</v>
      </c>
      <c r="G36" s="144">
        <f>D36/$B$5*SIN(E36)</f>
        <v>0.516498227033139</v>
      </c>
      <c r="H36" s="146">
        <f>IF(AND(C36&gt;0,B36='Dataset'!$P$5,D36&lt;'ERDR Characteristics'!$D$5),1,0)</f>
        <v>1</v>
      </c>
      <c r="I36" s="144" t="e">
        <f>IF(AND(C36&gt;0,B36=1,H36=1),F36,NA())</f>
        <v>#N/A</v>
      </c>
      <c r="J36" s="144" t="e">
        <f>IF(AND(C36&gt;0,B36=1,H36=1),G36,NA())</f>
        <v>#N/A</v>
      </c>
      <c r="K36" s="144" t="e">
        <f>IF(AND(C36&gt;0,B36=1,H36=0),F36,NA())</f>
        <v>#N/A</v>
      </c>
      <c r="L36" s="144" t="e">
        <f>IF(AND(C36&gt;0,B36=1,H36=0),G36,NA())</f>
        <v>#N/A</v>
      </c>
      <c r="M36" s="144">
        <f>IF(AND(C36&gt;0,B36=2,H36=1),F36,NA())</f>
        <v>3.16263950250709e-17</v>
      </c>
      <c r="N36" s="144">
        <f>IF(AND(C36&gt;0,B36=2,H36=1),G36,NA())</f>
        <v>0.516498227033139</v>
      </c>
      <c r="O36" s="144" t="e">
        <f>IF(AND(C36&gt;0,B36=2,H36=0),F36,NA())</f>
        <v>#N/A</v>
      </c>
      <c r="P36" s="144" t="e">
        <f>IF(AND(C36&gt;0,B36=2,H36=0),G36,NA())</f>
        <v>#N/A</v>
      </c>
      <c r="Q36" s="144" t="e">
        <f>IF(AND(C36=0,B36=1),0,NA())</f>
        <v>#N/A</v>
      </c>
      <c r="R36" s="144" t="e">
        <f>IF(AND(C36=0,B36=1),0,NA())</f>
        <v>#N/A</v>
      </c>
      <c r="S36" s="144" t="e">
        <f>IF(AND(C36=0,B36=2),0,NA())</f>
        <v>#N/A</v>
      </c>
      <c r="T36" s="144" t="e">
        <f>IF(AND(C36=0,B36=2),0,NA())</f>
        <v>#N/A</v>
      </c>
      <c r="U36" s="145" t="str">
        <f>IF(C36=0,A36,A36&amp;"  "&amp;TEXT(D36,"0.00")&amp;IF(C36='ERDR Characteristics'!$F$5,IF(C36=$B$9," (r, z)"," (r)"),IF(C36=$B$9," (z)","")))</f>
        <v>S₂  4.66</v>
      </c>
      <c r="Z36" s="146">
        <v>1</v>
      </c>
      <c r="AA36" s="144">
        <f>'ERDR Characteristics'!$D$5/$B$5*$L$6</f>
        <v>0.600214721025768</v>
      </c>
      <c r="AB36" s="144">
        <f>'ERDR Characteristics'!$D$5/$B$5*$M$6</f>
        <v>0.160827049784126</v>
      </c>
      <c r="AC36" s="144">
        <f>'ERDR Characteristics'!$H$5/$B$5*$L$6</f>
        <v>0.600214721025768</v>
      </c>
      <c r="AD36" s="144">
        <f>'ERDR Characteristics'!$H$5/$B$5*$M$6</f>
        <v>0.160827049784126</v>
      </c>
    </row>
    <row r="37">
      <c r="A37" s="62" t="inlineStr">
        <is>
          <t xml:space="preserve">S₃</t>
        </is>
      </c>
      <c r="B37" s="68">
        <f>'Dataset'!$P$7</f>
        <v>1</v>
      </c>
      <c r="C37" s="146">
        <f>'Sorted Neighbors'!D$5</f>
        <v>3</v>
      </c>
      <c r="D37" s="144">
        <f>'Zhuravlev Distances'!D$5</f>
        <v>5.60708061</v>
      </c>
      <c r="E37" s="144">
        <f>IF(C37=0,0,PI()/2-(C37-1)*$B$6)</f>
        <v>-0.523598775598299</v>
      </c>
      <c r="F37" s="144">
        <f>D37/$B$5*COS(E37)</f>
        <v>0.538137796905894</v>
      </c>
      <c r="G37" s="144">
        <f>D37/$B$5*SIN(E37)</f>
        <v>-0.31069400190473</v>
      </c>
      <c r="H37" s="146">
        <f>IF(AND(C37&gt;0,B37='Dataset'!$P$5,D37&lt;'ERDR Characteristics'!$D$5),1,0)</f>
        <v>0</v>
      </c>
      <c r="I37" s="144" t="e">
        <f>IF(AND(C37&gt;0,B37=1,H37=1),F37,NA())</f>
        <v>#N/A</v>
      </c>
      <c r="J37" s="144" t="e">
        <f>IF(AND(C37&gt;0,B37=1,H37=1),G37,NA())</f>
        <v>#N/A</v>
      </c>
      <c r="K37" s="144">
        <f>IF(AND(C37&gt;0,B37=1,H37=0),F37,NA())</f>
        <v>0.538137796905894</v>
      </c>
      <c r="L37" s="144">
        <f>IF(AND(C37&gt;0,B37=1,H37=0),G37,NA())</f>
        <v>-0.31069400190473</v>
      </c>
      <c r="M37" s="144" t="e">
        <f>IF(AND(C37&gt;0,B37=2,H37=1),F37,NA())</f>
        <v>#N/A</v>
      </c>
      <c r="N37" s="144" t="e">
        <f>IF(AND(C37&gt;0,B37=2,H37=1),G37,NA())</f>
        <v>#N/A</v>
      </c>
      <c r="O37" s="144" t="e">
        <f>IF(AND(C37&gt;0,B37=2,H37=0),F37,NA())</f>
        <v>#N/A</v>
      </c>
      <c r="P37" s="144" t="e">
        <f>IF(AND(C37&gt;0,B37=2,H37=0),G37,NA())</f>
        <v>#N/A</v>
      </c>
      <c r="Q37" s="144" t="e">
        <f>IF(AND(C37=0,B37=1),0,NA())</f>
        <v>#N/A</v>
      </c>
      <c r="R37" s="144" t="e">
        <f>IF(AND(C37=0,B37=1),0,NA())</f>
        <v>#N/A</v>
      </c>
      <c r="S37" s="144" t="e">
        <f>IF(AND(C37=0,B37=2),0,NA())</f>
        <v>#N/A</v>
      </c>
      <c r="T37" s="144" t="e">
        <f>IF(AND(C37=0,B37=2),0,NA())</f>
        <v>#N/A</v>
      </c>
      <c r="U37" s="145" t="str">
        <f>IF(C37=0,A37,A37&amp;"  "&amp;TEXT(D37,"0.00")&amp;IF(C37='ERDR Characteristics'!$F$5,IF(C37=$B$9," (r, z)"," (r)"),IF(C37=$B$9," (z)","")))</f>
        <v>S₃  5.61 (r, z)</v>
      </c>
      <c r="Z37" s="146">
        <v>2</v>
      </c>
      <c r="AA37" s="144">
        <f>'ERDR Characteristics'!$D$5/$B$5*$L$7</f>
        <v>0.538137796905894</v>
      </c>
      <c r="AB37" s="144">
        <f>'ERDR Characteristics'!$D$5/$B$5*$M$7</f>
        <v>0.31069400190473</v>
      </c>
      <c r="AC37" s="144">
        <f>'ERDR Characteristics'!$H$5/$B$5*$L$7</f>
        <v>0.538137796905894</v>
      </c>
      <c r="AD37" s="144">
        <f>'ERDR Characteristics'!$H$5/$B$5*$M$7</f>
        <v>0.31069400190473</v>
      </c>
    </row>
    <row r="38">
      <c r="A38" s="62" t="inlineStr">
        <is>
          <t xml:space="preserve">S₄</t>
        </is>
      </c>
      <c r="B38" s="68">
        <f>'Dataset'!$P$8</f>
        <v>2</v>
      </c>
      <c r="C38" s="146">
        <f>'Sorted Neighbors'!E$5</f>
        <v>5</v>
      </c>
      <c r="D38" s="144">
        <f>'Zhuravlev Distances'!E$5</f>
        <v>6.6272117335</v>
      </c>
      <c r="E38" s="144">
        <f>IF(C38=0,0,PI()/2-(C38-1)*$B$6)</f>
        <v>-2.61799387799149</v>
      </c>
      <c r="F38" s="144">
        <f>D38/$B$5*COS(E38)</f>
        <v>-0.636044560432061</v>
      </c>
      <c r="G38" s="144">
        <f>D38/$B$5*SIN(E38)</f>
        <v>-0.367220498182048</v>
      </c>
      <c r="H38" s="146">
        <f>IF(AND(C38&gt;0,B38='Dataset'!$P$5,D38&lt;'ERDR Characteristics'!$D$5),1,0)</f>
        <v>0</v>
      </c>
      <c r="I38" s="144" t="e">
        <f>IF(AND(C38&gt;0,B38=1,H38=1),F38,NA())</f>
        <v>#N/A</v>
      </c>
      <c r="J38" s="144" t="e">
        <f>IF(AND(C38&gt;0,B38=1,H38=1),G38,NA())</f>
        <v>#N/A</v>
      </c>
      <c r="K38" s="144" t="e">
        <f>IF(AND(C38&gt;0,B38=1,H38=0),F38,NA())</f>
        <v>#N/A</v>
      </c>
      <c r="L38" s="144" t="e">
        <f>IF(AND(C38&gt;0,B38=1,H38=0),G38,NA())</f>
        <v>#N/A</v>
      </c>
      <c r="M38" s="144" t="e">
        <f>IF(AND(C38&gt;0,B38=2,H38=1),F38,NA())</f>
        <v>#N/A</v>
      </c>
      <c r="N38" s="144" t="e">
        <f>IF(AND(C38&gt;0,B38=2,H38=1),G38,NA())</f>
        <v>#N/A</v>
      </c>
      <c r="O38" s="144">
        <f>IF(AND(C38&gt;0,B38=2,H38=0),F38,NA())</f>
        <v>-0.636044560432061</v>
      </c>
      <c r="P38" s="144">
        <f>IF(AND(C38&gt;0,B38=2,H38=0),G38,NA())</f>
        <v>-0.367220498182048</v>
      </c>
      <c r="Q38" s="144" t="e">
        <f>IF(AND(C38=0,B38=1),0,NA())</f>
        <v>#N/A</v>
      </c>
      <c r="R38" s="144" t="e">
        <f>IF(AND(C38=0,B38=1),0,NA())</f>
        <v>#N/A</v>
      </c>
      <c r="S38" s="144" t="e">
        <f>IF(AND(C38=0,B38=2),0,NA())</f>
        <v>#N/A</v>
      </c>
      <c r="T38" s="144" t="e">
        <f>IF(AND(C38=0,B38=2),0,NA())</f>
        <v>#N/A</v>
      </c>
      <c r="U38" s="145" t="str">
        <f>IF(C38=0,A38,A38&amp;"  "&amp;TEXT(D38,"0.00")&amp;IF(C38='ERDR Characteristics'!$F$5,IF(C38=$B$9," (r, z)"," (r)"),IF(C38=$B$9," (z)","")))</f>
        <v>S₄  6.63</v>
      </c>
      <c r="Z38" s="146">
        <v>3</v>
      </c>
      <c r="AA38" s="144">
        <f>'ERDR Characteristics'!$D$5/$B$5*$L$8</f>
        <v>0.439387671241642</v>
      </c>
      <c r="AB38" s="144">
        <f>'ERDR Characteristics'!$D$5/$B$5*$M$8</f>
        <v>0.439387671241642</v>
      </c>
      <c r="AC38" s="144">
        <f>'ERDR Characteristics'!$H$5/$B$5*$L$8</f>
        <v>0.439387671241642</v>
      </c>
      <c r="AD38" s="144">
        <f>'ERDR Characteristics'!$H$5/$B$5*$M$8</f>
        <v>0.439387671241642</v>
      </c>
    </row>
    <row r="39">
      <c r="A39" s="62" t="inlineStr">
        <is>
          <t xml:space="preserve">S₅</t>
        </is>
      </c>
      <c r="B39" s="68">
        <f>'Dataset'!$P$9</f>
        <v>2</v>
      </c>
      <c r="C39" s="146">
        <f>'Sorted Neighbors'!F$5</f>
        <v>2</v>
      </c>
      <c r="D39" s="144">
        <f>'Zhuravlev Distances'!F$5</f>
        <v>4.8565209225</v>
      </c>
      <c r="E39" s="144">
        <f>IF(C39=0,0,PI()/2-(C39-1)*$B$6)</f>
        <v>0.523598775598299</v>
      </c>
      <c r="F39" s="144">
        <f>D39/$B$5*COS(E39)</f>
        <v>0.466103067111341</v>
      </c>
      <c r="G39" s="144">
        <f>D39/$B$5*SIN(E39)</f>
        <v>0.269104731266843</v>
      </c>
      <c r="H39" s="146">
        <f>IF(AND(C39&gt;0,B39='Dataset'!$P$5,D39&lt;'ERDR Characteristics'!$D$5),1,0)</f>
        <v>1</v>
      </c>
      <c r="I39" s="144" t="e">
        <f>IF(AND(C39&gt;0,B39=1,H39=1),F39,NA())</f>
        <v>#N/A</v>
      </c>
      <c r="J39" s="144" t="e">
        <f>IF(AND(C39&gt;0,B39=1,H39=1),G39,NA())</f>
        <v>#N/A</v>
      </c>
      <c r="K39" s="144" t="e">
        <f>IF(AND(C39&gt;0,B39=1,H39=0),F39,NA())</f>
        <v>#N/A</v>
      </c>
      <c r="L39" s="144" t="e">
        <f>IF(AND(C39&gt;0,B39=1,H39=0),G39,NA())</f>
        <v>#N/A</v>
      </c>
      <c r="M39" s="144">
        <f>IF(AND(C39&gt;0,B39=2,H39=1),F39,NA())</f>
        <v>0.466103067111341</v>
      </c>
      <c r="N39" s="144">
        <f>IF(AND(C39&gt;0,B39=2,H39=1),G39,NA())</f>
        <v>0.269104731266843</v>
      </c>
      <c r="O39" s="144" t="e">
        <f>IF(AND(C39&gt;0,B39=2,H39=0),F39,NA())</f>
        <v>#N/A</v>
      </c>
      <c r="P39" s="144" t="e">
        <f>IF(AND(C39&gt;0,B39=2,H39=0),G39,NA())</f>
        <v>#N/A</v>
      </c>
      <c r="Q39" s="144" t="e">
        <f>IF(AND(C39=0,B39=1),0,NA())</f>
        <v>#N/A</v>
      </c>
      <c r="R39" s="144" t="e">
        <f>IF(AND(C39=0,B39=1),0,NA())</f>
        <v>#N/A</v>
      </c>
      <c r="S39" s="144" t="e">
        <f>IF(AND(C39=0,B39=2),0,NA())</f>
        <v>#N/A</v>
      </c>
      <c r="T39" s="144" t="e">
        <f>IF(AND(C39=0,B39=2),0,NA())</f>
        <v>#N/A</v>
      </c>
      <c r="U39" s="145" t="str">
        <f>IF(C39=0,A39,A39&amp;"  "&amp;TEXT(D39,"0.00")&amp;IF(C39='ERDR Characteristics'!$F$5,IF(C39=$B$9," (r, z)"," (r)"),IF(C39=$B$9," (z)","")))</f>
        <v>S₅  4.86</v>
      </c>
      <c r="Z39" s="146">
        <v>4</v>
      </c>
      <c r="AA39" s="144">
        <f>'ERDR Characteristics'!$D$5/$B$5*$L$9</f>
        <v>0.31069400190473</v>
      </c>
      <c r="AB39" s="144">
        <f>'ERDR Characteristics'!$D$5/$B$5*$M$9</f>
        <v>0.538137796905894</v>
      </c>
      <c r="AC39" s="144">
        <f>'ERDR Characteristics'!$H$5/$B$5*$L$9</f>
        <v>0.31069400190473</v>
      </c>
      <c r="AD39" s="144">
        <f>'ERDR Characteristics'!$H$5/$B$5*$M$9</f>
        <v>0.538137796905894</v>
      </c>
    </row>
    <row r="40">
      <c r="A40" s="62" t="inlineStr">
        <is>
          <t xml:space="preserve">S₆</t>
        </is>
      </c>
      <c r="B40" s="68">
        <f>'Dataset'!$P$10</f>
        <v>1</v>
      </c>
      <c r="C40" s="146">
        <f>'Sorted Neighbors'!G$5</f>
        <v>6</v>
      </c>
      <c r="D40" s="144">
        <f>'Zhuravlev Distances'!G$5</f>
        <v>6.8015669516</v>
      </c>
      <c r="E40" s="144">
        <f>IF(C40=0,0,PI()/2-(C40-1)*$B$6)</f>
        <v>-3.66519142918809</v>
      </c>
      <c r="F40" s="144">
        <f>D40/$B$5*COS(E40)</f>
        <v>-0.652778247616805</v>
      </c>
      <c r="G40" s="144">
        <f>D40/$B$5*SIN(E40)</f>
        <v>0.376881696982694</v>
      </c>
      <c r="H40" s="146">
        <f>IF(AND(C40&gt;0,B40='Dataset'!$P$5,D40&lt;'ERDR Characteristics'!$D$5),1,0)</f>
        <v>0</v>
      </c>
      <c r="I40" s="144" t="e">
        <f>IF(AND(C40&gt;0,B40=1,H40=1),F40,NA())</f>
        <v>#N/A</v>
      </c>
      <c r="J40" s="144" t="e">
        <f>IF(AND(C40&gt;0,B40=1,H40=1),G40,NA())</f>
        <v>#N/A</v>
      </c>
      <c r="K40" s="144">
        <f>IF(AND(C40&gt;0,B40=1,H40=0),F40,NA())</f>
        <v>-0.652778247616805</v>
      </c>
      <c r="L40" s="144">
        <f>IF(AND(C40&gt;0,B40=1,H40=0),G40,NA())</f>
        <v>0.376881696982694</v>
      </c>
      <c r="M40" s="144" t="e">
        <f>IF(AND(C40&gt;0,B40=2,H40=1),F40,NA())</f>
        <v>#N/A</v>
      </c>
      <c r="N40" s="144" t="e">
        <f>IF(AND(C40&gt;0,B40=2,H40=1),G40,NA())</f>
        <v>#N/A</v>
      </c>
      <c r="O40" s="144" t="e">
        <f>IF(AND(C40&gt;0,B40=2,H40=0),F40,NA())</f>
        <v>#N/A</v>
      </c>
      <c r="P40" s="144" t="e">
        <f>IF(AND(C40&gt;0,B40=2,H40=0),G40,NA())</f>
        <v>#N/A</v>
      </c>
      <c r="Q40" s="144" t="e">
        <f>IF(AND(C40=0,B40=1),0,NA())</f>
        <v>#N/A</v>
      </c>
      <c r="R40" s="144" t="e">
        <f>IF(AND(C40=0,B40=1),0,NA())</f>
        <v>#N/A</v>
      </c>
      <c r="S40" s="144" t="e">
        <f>IF(AND(C40=0,B40=2),0,NA())</f>
        <v>#N/A</v>
      </c>
      <c r="T40" s="144" t="e">
        <f>IF(AND(C40=0,B40=2),0,NA())</f>
        <v>#N/A</v>
      </c>
      <c r="U40" s="145" t="str">
        <f>IF(C40=0,A40,A40&amp;"  "&amp;TEXT(D40,"0.00")&amp;IF(C40='ERDR Characteristics'!$F$5,IF(C40=$B$9," (r, z)"," (r)"),IF(C40=$B$9," (z)","")))</f>
        <v>S₆  6.80</v>
      </c>
      <c r="Z40" s="146">
        <v>5</v>
      </c>
      <c r="AA40" s="144">
        <f>'ERDR Characteristics'!$D$5/$B$5*$L$10</f>
        <v>0.160827049784126</v>
      </c>
      <c r="AB40" s="144">
        <f>'ERDR Characteristics'!$D$5/$B$5*$M$10</f>
        <v>0.600214721025768</v>
      </c>
      <c r="AC40" s="144">
        <f>'ERDR Characteristics'!$H$5/$B$5*$L$10</f>
        <v>0.160827049784126</v>
      </c>
      <c r="AD40" s="144">
        <f>'ERDR Characteristics'!$H$5/$B$5*$M$10</f>
        <v>0.600214721025768</v>
      </c>
    </row>
    <row r="41">
      <c r="A41" s="62" t="inlineStr">
        <is>
          <t xml:space="preserve">S₇</t>
        </is>
      </c>
      <c r="B41" s="68">
        <f>'Dataset'!$P$11</f>
        <v>1</v>
      </c>
      <c r="C41" s="146">
        <f>'Sorted Neighbors'!H$5</f>
        <v>4</v>
      </c>
      <c r="D41" s="144">
        <f>'Zhuravlev Distances'!H$5</f>
        <v>5.8897935773</v>
      </c>
      <c r="E41" s="144">
        <f>IF(C41=0,0,PI()/2-(C41-1)*$B$6)</f>
        <v>-1.5707963267949</v>
      </c>
      <c r="F41" s="144">
        <f>D41/$B$5*COS(E41)</f>
        <v>3.99675010589605e-17</v>
      </c>
      <c r="G41" s="144">
        <f>D41/$B$5*SIN(E41)</f>
        <v>-0.652718826142974</v>
      </c>
      <c r="H41" s="146">
        <f>IF(AND(C41&gt;0,B41='Dataset'!$P$5,D41&lt;'ERDR Characteristics'!$D$5),1,0)</f>
        <v>0</v>
      </c>
      <c r="I41" s="144" t="e">
        <f>IF(AND(C41&gt;0,B41=1,H41=1),F41,NA())</f>
        <v>#N/A</v>
      </c>
      <c r="J41" s="144" t="e">
        <f>IF(AND(C41&gt;0,B41=1,H41=1),G41,NA())</f>
        <v>#N/A</v>
      </c>
      <c r="K41" s="144">
        <f>IF(AND(C41&gt;0,B41=1,H41=0),F41,NA())</f>
        <v>3.99675010589605e-17</v>
      </c>
      <c r="L41" s="144">
        <f>IF(AND(C41&gt;0,B41=1,H41=0),G41,NA())</f>
        <v>-0.652718826142974</v>
      </c>
      <c r="M41" s="144" t="e">
        <f>IF(AND(C41&gt;0,B41=2,H41=1),F41,NA())</f>
        <v>#N/A</v>
      </c>
      <c r="N41" s="144" t="e">
        <f>IF(AND(C41&gt;0,B41=2,H41=1),G41,NA())</f>
        <v>#N/A</v>
      </c>
      <c r="O41" s="144" t="e">
        <f>IF(AND(C41&gt;0,B41=2,H41=0),F41,NA())</f>
        <v>#N/A</v>
      </c>
      <c r="P41" s="144" t="e">
        <f>IF(AND(C41&gt;0,B41=2,H41=0),G41,NA())</f>
        <v>#N/A</v>
      </c>
      <c r="Q41" s="144" t="e">
        <f>IF(AND(C41=0,B41=1),0,NA())</f>
        <v>#N/A</v>
      </c>
      <c r="R41" s="144" t="e">
        <f>IF(AND(C41=0,B41=1),0,NA())</f>
        <v>#N/A</v>
      </c>
      <c r="S41" s="144" t="e">
        <f>IF(AND(C41=0,B41=2),0,NA())</f>
        <v>#N/A</v>
      </c>
      <c r="T41" s="144" t="e">
        <f>IF(AND(C41=0,B41=2),0,NA())</f>
        <v>#N/A</v>
      </c>
      <c r="U41" s="145" t="str">
        <f>IF(C41=0,A41,A41&amp;"  "&amp;TEXT(D41,"0.00")&amp;IF(C41='ERDR Characteristics'!$F$5,IF(C41=$B$9," (r, z)"," (r)"),IF(C41=$B$9," (z)","")))</f>
        <v>S₇  5.89</v>
      </c>
      <c r="Z41" s="146">
        <v>6</v>
      </c>
      <c r="AA41" s="144">
        <f>'ERDR Characteristics'!$D$5/$B$5*$L$11</f>
        <v>3.8049041494691e-17</v>
      </c>
      <c r="AB41" s="144">
        <f>'ERDR Characteristics'!$D$5/$B$5*$M$11</f>
        <v>0.62138800380946</v>
      </c>
      <c r="AC41" s="144">
        <f>'ERDR Characteristics'!$H$5/$B$5*$L$11</f>
        <v>3.8049041494691e-17</v>
      </c>
      <c r="AD41" s="144">
        <f>'ERDR Characteristics'!$H$5/$B$5*$M$11</f>
        <v>0.62138800380946</v>
      </c>
    </row>
    <row r="42">
      <c r="A42" s="63" t="inlineStr">
        <is>
          <t xml:space="preserve">r label</t>
        </is>
      </c>
      <c r="U42" s="145" t="str">
        <f>"r = "&amp;TEXT('ERDR Characteristics'!$D$5,"0.00")</f>
        <v>r = 5.61</v>
      </c>
      <c r="V42" s="144">
        <f>'ERDR Characteristics'!$D$5/$B$5</f>
        <v>0.62138800380946</v>
      </c>
      <c r="W42" s="144">
        <v>0</v>
      </c>
      <c r="Z42" s="146">
        <v>7</v>
      </c>
      <c r="AA42" s="144">
        <f>'ERDR Characteristics'!$D$5/$B$5*$L$12</f>
        <v>-0.160827049784126</v>
      </c>
      <c r="AB42" s="144">
        <f>'ERDR Characteristics'!$D$5/$B$5*$M$12</f>
        <v>0.600214721025768</v>
      </c>
      <c r="AC42" s="144">
        <f>'ERDR Characteristics'!$H$5/$B$5*$L$12</f>
        <v>-0.160827049784126</v>
      </c>
      <c r="AD42" s="144">
        <f>'ERDR Characteristics'!$H$5/$B$5*$M$12</f>
        <v>0.600214721025768</v>
      </c>
    </row>
    <row r="43">
      <c r="A43" s="63" t="inlineStr">
        <is>
          <t xml:space="preserve">z label</t>
        </is>
      </c>
      <c r="U43" s="145" t="str">
        <f>"z = "&amp;TEXT('ERDR Characteristics'!$H$5,"0.00")</f>
        <v>z = 5.61</v>
      </c>
      <c r="V43" s="144">
        <f>-'ERDR Characteristics'!$H$5/$B$5</f>
        <v>-0.62138800380946</v>
      </c>
      <c r="W43" s="144">
        <v>0</v>
      </c>
      <c r="Z43" s="146">
        <v>8</v>
      </c>
      <c r="AA43" s="144">
        <f>'ERDR Characteristics'!$D$5/$B$5*$L$13</f>
        <v>-0.31069400190473</v>
      </c>
      <c r="AB43" s="144">
        <f>'ERDR Characteristics'!$D$5/$B$5*$M$13</f>
        <v>0.538137796905894</v>
      </c>
      <c r="AC43" s="144">
        <f>'ERDR Characteristics'!$H$5/$B$5*$L$13</f>
        <v>-0.31069400190473</v>
      </c>
      <c r="AD43" s="144">
        <f>'ERDR Characteristics'!$H$5/$B$5*$M$13</f>
        <v>0.538137796905894</v>
      </c>
    </row>
    <row r="44">
      <c r="A44" s="147" t="inlineStr">
        <is>
          <t xml:space="preserve">Label slot</t>
        </is>
      </c>
      <c r="B44" s="147" t="inlineStr">
        <is>
          <t xml:space="preserve">Rank t</t>
        </is>
      </c>
      <c r="C44" s="147" t="inlineStr">
        <is>
          <t xml:space="preserve">Object</t>
        </is>
      </c>
      <c r="D44" s="147" t="inlineStr">
        <is>
          <t xml:space="preserve">Label</t>
        </is>
      </c>
      <c r="E44" s="147" t="inlineStr">
        <is>
          <t xml:space="preserve">x</t>
        </is>
      </c>
      <c r="F44" s="147" t="inlineStr">
        <is>
          <t xml:space="preserve">y</t>
        </is>
      </c>
      <c r="Z44" s="146">
        <v>9</v>
      </c>
      <c r="AA44" s="144">
        <f>'ERDR Characteristics'!$D$5/$B$5*$L$14</f>
        <v>-0.439387671241642</v>
      </c>
      <c r="AB44" s="144">
        <f>'ERDR Characteristics'!$D$5/$B$5*$M$14</f>
        <v>0.439387671241642</v>
      </c>
      <c r="AC44" s="144">
        <f>'ERDR Characteristics'!$H$5/$B$5*$L$14</f>
        <v>-0.439387671241642</v>
      </c>
      <c r="AD44" s="144">
        <f>'ERDR Characteristics'!$H$5/$B$5*$M$14</f>
        <v>0.439387671241642</v>
      </c>
    </row>
    <row r="45">
      <c r="A45" s="63" t="inlineStr">
        <is>
          <t xml:space="preserve">slot 1 (t)</t>
        </is>
      </c>
      <c r="B45" s="146">
        <v>1</v>
      </c>
      <c r="C45" s="146">
        <f>IFERROR(MATCH(B45,$C$35:$C$41,0),NA())</f>
        <v>2</v>
      </c>
      <c r="D45" s="145" t="str">
        <f>IFERROR(INDEX($U$35:$U$41,C45),"")</f>
        <v>S₂  4.66</v>
      </c>
      <c r="E45" s="144">
        <f>IFERROR(INDEX($F$35:$F$41,C45),NA())</f>
        <v>3.16263950250709e-17</v>
      </c>
      <c r="F45" s="144">
        <f>IFERROR(INDEX($G$35:$G$41,C45),NA())</f>
        <v>0.516498227033139</v>
      </c>
      <c r="Z45" s="146">
        <v>10</v>
      </c>
      <c r="AA45" s="144">
        <f>'ERDR Characteristics'!$D$5/$B$5*$L$15</f>
        <v>-0.538137796905894</v>
      </c>
      <c r="AB45" s="144">
        <f>'ERDR Characteristics'!$D$5/$B$5*$M$15</f>
        <v>0.31069400190473</v>
      </c>
      <c r="AC45" s="144">
        <f>'ERDR Characteristics'!$H$5/$B$5*$L$15</f>
        <v>-0.538137796905894</v>
      </c>
      <c r="AD45" s="144">
        <f>'ERDR Characteristics'!$H$5/$B$5*$M$15</f>
        <v>0.31069400190473</v>
      </c>
    </row>
    <row r="46">
      <c r="A46" s="63" t="inlineStr">
        <is>
          <t xml:space="preserve">slot 2 (r)</t>
        </is>
      </c>
      <c r="B46" s="146">
        <v>2</v>
      </c>
      <c r="C46" s="146">
        <f>IFERROR(MATCH(B46,$C$35:$C$41,0),NA())</f>
        <v>5</v>
      </c>
      <c r="D46" s="145" t="str">
        <f>IFERROR(INDEX($U$35:$U$41,C46),"")</f>
        <v>S₅  4.86</v>
      </c>
      <c r="E46" s="144">
        <f>IFERROR(INDEX($F$35:$F$41,C46),NA())</f>
        <v>0.466103067111341</v>
      </c>
      <c r="F46" s="144">
        <f>IFERROR(INDEX($G$35:$G$41,C46),NA())</f>
        <v>0.269104731266843</v>
      </c>
      <c r="Z46" s="146">
        <v>11</v>
      </c>
      <c r="AA46" s="144">
        <f>'ERDR Characteristics'!$D$5/$B$5*$L$16</f>
        <v>-0.600214721025768</v>
      </c>
      <c r="AB46" s="144">
        <f>'ERDR Characteristics'!$D$5/$B$5*$M$16</f>
        <v>0.160827049784126</v>
      </c>
      <c r="AC46" s="144">
        <f>'ERDR Characteristics'!$H$5/$B$5*$L$16</f>
        <v>-0.600214721025768</v>
      </c>
      <c r="AD46" s="144">
        <f>'ERDR Characteristics'!$H$5/$B$5*$M$16</f>
        <v>0.160827049784126</v>
      </c>
    </row>
    <row r="47">
      <c r="A47" s="63" t="inlineStr">
        <is>
          <t xml:space="preserve">slot 3 (r)</t>
        </is>
      </c>
      <c r="B47" s="146">
        <v>3</v>
      </c>
      <c r="C47" s="146">
        <f>IFERROR(MATCH(B47,$C$35:$C$41,0),NA())</f>
        <v>3</v>
      </c>
      <c r="D47" s="145" t="str">
        <f>IFERROR(INDEX($U$35:$U$41,C47),"")</f>
        <v>S₃  5.61 (r, z)</v>
      </c>
      <c r="E47" s="144">
        <f>IFERROR(INDEX($F$35:$F$41,C47),NA())</f>
        <v>0.538137796905894</v>
      </c>
      <c r="F47" s="144">
        <f>IFERROR(INDEX($G$35:$G$41,C47),NA())</f>
        <v>-0.31069400190473</v>
      </c>
      <c r="Z47" s="146">
        <v>12</v>
      </c>
      <c r="AA47" s="144">
        <f>'ERDR Characteristics'!$D$5/$B$5*$L$17</f>
        <v>-0.62138800380946</v>
      </c>
      <c r="AB47" s="144">
        <f>'ERDR Characteristics'!$D$5/$B$5*$M$17</f>
        <v>7.60980829893819e-17</v>
      </c>
      <c r="AC47" s="144">
        <f>'ERDR Characteristics'!$H$5/$B$5*$L$17</f>
        <v>-0.62138800380946</v>
      </c>
      <c r="AD47" s="144">
        <f>'ERDR Characteristics'!$H$5/$B$5*$M$17</f>
        <v>7.60980829893819e-17</v>
      </c>
    </row>
    <row r="48">
      <c r="A48" s="63" t="inlineStr">
        <is>
          <t xml:space="preserve">slot 4 (b)</t>
        </is>
      </c>
      <c r="B48" s="146">
        <v>4</v>
      </c>
      <c r="C48" s="146">
        <f>IFERROR(MATCH(B48,$C$35:$C$41,0),NA())</f>
        <v>7</v>
      </c>
      <c r="D48" s="145" t="str">
        <f>IFERROR(INDEX($U$35:$U$41,C48),"")</f>
        <v>S₇  5.89</v>
      </c>
      <c r="E48" s="144">
        <f>IFERROR(INDEX($F$35:$F$41,C48),NA())</f>
        <v>3.99675010589605e-17</v>
      </c>
      <c r="F48" s="144">
        <f>IFERROR(INDEX($G$35:$G$41,C48),NA())</f>
        <v>-0.652718826142974</v>
      </c>
      <c r="Z48" s="146">
        <v>13</v>
      </c>
      <c r="AA48" s="144">
        <f>'ERDR Characteristics'!$D$5/$B$5*$L$18</f>
        <v>-0.600214721025768</v>
      </c>
      <c r="AB48" s="144">
        <f>'ERDR Characteristics'!$D$5/$B$5*$M$18</f>
        <v>-0.160827049784126</v>
      </c>
      <c r="AC48" s="144">
        <f>'ERDR Characteristics'!$H$5/$B$5*$L$18</f>
        <v>-0.600214721025768</v>
      </c>
      <c r="AD48" s="144">
        <f>'ERDR Characteristics'!$H$5/$B$5*$M$18</f>
        <v>-0.160827049784126</v>
      </c>
    </row>
    <row r="49">
      <c r="A49" s="63" t="inlineStr">
        <is>
          <t xml:space="preserve">slot 5 (l)</t>
        </is>
      </c>
      <c r="B49" s="146">
        <v>5</v>
      </c>
      <c r="C49" s="146">
        <f>IFERROR(MATCH(B49,$C$35:$C$41,0),NA())</f>
        <v>4</v>
      </c>
      <c r="D49" s="145" t="str">
        <f>IFERROR(INDEX($U$35:$U$41,C49),"")</f>
        <v>S₄  6.63</v>
      </c>
      <c r="E49" s="144">
        <f>IFERROR(INDEX($F$35:$F$41,C49),NA())</f>
        <v>-0.636044560432061</v>
      </c>
      <c r="F49" s="144">
        <f>IFERROR(INDEX($G$35:$G$41,C49),NA())</f>
        <v>-0.367220498182048</v>
      </c>
      <c r="Z49" s="146">
        <v>14</v>
      </c>
      <c r="AA49" s="144">
        <f>'ERDR Characteristics'!$D$5/$B$5*$L$19</f>
        <v>-0.538137796905894</v>
      </c>
      <c r="AB49" s="144">
        <f>'ERDR Characteristics'!$D$5/$B$5*$M$19</f>
        <v>-0.31069400190473</v>
      </c>
      <c r="AC49" s="144">
        <f>'ERDR Characteristics'!$H$5/$B$5*$L$19</f>
        <v>-0.538137796905894</v>
      </c>
      <c r="AD49" s="144">
        <f>'ERDR Characteristics'!$H$5/$B$5*$M$19</f>
        <v>-0.31069400190473</v>
      </c>
    </row>
    <row r="50">
      <c r="A50" s="63" t="inlineStr">
        <is>
          <t xml:space="preserve">slot 6 (l)</t>
        </is>
      </c>
      <c r="B50" s="146">
        <v>6</v>
      </c>
      <c r="C50" s="146">
        <f>IFERROR(MATCH(B50,$C$35:$C$41,0),NA())</f>
        <v>6</v>
      </c>
      <c r="D50" s="145" t="str">
        <f>IFERROR(INDEX($U$35:$U$41,C50),"")</f>
        <v>S₆  6.80</v>
      </c>
      <c r="E50" s="144">
        <f>IFERROR(INDEX($F$35:$F$41,C50),NA())</f>
        <v>-0.652778247616805</v>
      </c>
      <c r="F50" s="144">
        <f>IFERROR(INDEX($G$35:$G$41,C50),NA())</f>
        <v>0.376881696982694</v>
      </c>
      <c r="Z50" s="146">
        <v>15</v>
      </c>
      <c r="AA50" s="144">
        <f>'ERDR Characteristics'!$D$5/$B$5*$L$20</f>
        <v>-0.439387671241642</v>
      </c>
      <c r="AB50" s="144">
        <f>'ERDR Characteristics'!$D$5/$B$5*$M$20</f>
        <v>-0.439387671241641</v>
      </c>
      <c r="AC50" s="144">
        <f>'ERDR Characteristics'!$H$5/$B$5*$L$20</f>
        <v>-0.439387671241642</v>
      </c>
      <c r="AD50" s="144">
        <f>'ERDR Characteristics'!$H$5/$B$5*$M$20</f>
        <v>-0.439387671241641</v>
      </c>
    </row>
    <row r="51">
      <c r="A51" s="63" t="inlineStr">
        <is>
          <t xml:space="preserve">centre (b)</t>
        </is>
      </c>
      <c r="C51" s="146">
        <v>1</v>
      </c>
      <c r="D51" s="145" t="str">
        <f>$A$35</f>
        <v>S₁</v>
      </c>
      <c r="E51" s="144">
        <v>0</v>
      </c>
      <c r="F51" s="144">
        <v>0</v>
      </c>
      <c r="Z51" s="146">
        <v>16</v>
      </c>
      <c r="AA51" s="144">
        <f>'ERDR Characteristics'!$D$5/$B$5*$L$21</f>
        <v>-0.31069400190473</v>
      </c>
      <c r="AB51" s="144">
        <f>'ERDR Characteristics'!$D$5/$B$5*$M$21</f>
        <v>-0.538137796905894</v>
      </c>
      <c r="AC51" s="144">
        <f>'ERDR Characteristics'!$H$5/$B$5*$L$21</f>
        <v>-0.31069400190473</v>
      </c>
      <c r="AD51" s="144">
        <f>'ERDR Characteristics'!$H$5/$B$5*$M$21</f>
        <v>-0.538137796905894</v>
      </c>
    </row>
    <row r="52">
      <c r="A52" s="63" t="inlineStr">
        <is>
          <t xml:space="preserve">caption, top left (r)</t>
        </is>
      </c>
      <c r="D52" s="145" t="str">
        <f>"g = "&amp;'ERDR Characteristics'!$E$5&amp;"  ·  d = "&amp;TEXT('ERDR Characteristics'!$J$5,"0.000")</f>
        <v>g = 3  ·  d = 0.000</v>
      </c>
      <c r="E52" s="144">
        <v>-1.2</v>
      </c>
      <c r="F52" s="144">
        <v>1.18</v>
      </c>
      <c r="Z52" s="146">
        <v>17</v>
      </c>
      <c r="AA52" s="144">
        <f>'ERDR Characteristics'!$D$5/$B$5*$L$22</f>
        <v>-0.160827049784126</v>
      </c>
      <c r="AB52" s="144">
        <f>'ERDR Characteristics'!$D$5/$B$5*$M$22</f>
        <v>-0.600214721025768</v>
      </c>
      <c r="AC52" s="144">
        <f>'ERDR Characteristics'!$H$5/$B$5*$L$22</f>
        <v>-0.160827049784126</v>
      </c>
      <c r="AD52" s="144">
        <f>'ERDR Characteristics'!$H$5/$B$5*$M$22</f>
        <v>-0.600214721025768</v>
      </c>
    </row>
    <row r="53">
      <c r="A53" s="63" t="inlineStr">
        <is>
          <t xml:space="preserve">caption, top right (l)</t>
        </is>
      </c>
      <c r="D53" s="145" t="str">
        <f>"class "&amp;'Dataset'!$P$5&amp;"  ·  queue "&amp;'ERDR Characteristics'!$K$5</f>
        <v>class 2  ·  queue 1</v>
      </c>
      <c r="E53" s="144">
        <v>1.2</v>
      </c>
      <c r="F53" s="144">
        <v>1.18</v>
      </c>
      <c r="Z53" s="146">
        <v>18</v>
      </c>
      <c r="AA53" s="144">
        <f>'ERDR Characteristics'!$D$5/$B$5*$L$23</f>
        <v>-1.14147124484073e-16</v>
      </c>
      <c r="AB53" s="144">
        <f>'ERDR Characteristics'!$D$5/$B$5*$M$23</f>
        <v>-0.62138800380946</v>
      </c>
      <c r="AC53" s="144">
        <f>'ERDR Characteristics'!$H$5/$B$5*$L$23</f>
        <v>-1.14147124484073e-16</v>
      </c>
      <c r="AD53" s="144">
        <f>'ERDR Characteristics'!$H$5/$B$5*$M$23</f>
        <v>-0.62138800380946</v>
      </c>
    </row>
    <row r="54">
      <c r="Z54" s="146">
        <v>19</v>
      </c>
      <c r="AA54" s="144">
        <f>'ERDR Characteristics'!$D$5/$B$5*$L$24</f>
        <v>0.160827049784126</v>
      </c>
      <c r="AB54" s="144">
        <f>'ERDR Characteristics'!$D$5/$B$5*$M$24</f>
        <v>-0.600214721025768</v>
      </c>
      <c r="AC54" s="144">
        <f>'ERDR Characteristics'!$H$5/$B$5*$L$24</f>
        <v>0.160827049784126</v>
      </c>
      <c r="AD54" s="144">
        <f>'ERDR Characteristics'!$H$5/$B$5*$M$24</f>
        <v>-0.600214721025768</v>
      </c>
    </row>
    <row r="55">
      <c r="Z55" s="146">
        <v>20</v>
      </c>
      <c r="AA55" s="144">
        <f>'ERDR Characteristics'!$D$5/$B$5*$L$25</f>
        <v>0.31069400190473</v>
      </c>
      <c r="AB55" s="144">
        <f>'ERDR Characteristics'!$D$5/$B$5*$M$25</f>
        <v>-0.538137796905894</v>
      </c>
      <c r="AC55" s="144">
        <f>'ERDR Characteristics'!$H$5/$B$5*$L$25</f>
        <v>0.31069400190473</v>
      </c>
      <c r="AD55" s="144">
        <f>'ERDR Characteristics'!$H$5/$B$5*$M$25</f>
        <v>-0.538137796905894</v>
      </c>
    </row>
    <row r="56">
      <c r="Z56" s="146">
        <v>21</v>
      </c>
      <c r="AA56" s="144">
        <f>'ERDR Characteristics'!$D$5/$B$5*$L$26</f>
        <v>0.439387671241642</v>
      </c>
      <c r="AB56" s="144">
        <f>'ERDR Characteristics'!$D$5/$B$5*$M$26</f>
        <v>-0.439387671241642</v>
      </c>
      <c r="AC56" s="144">
        <f>'ERDR Characteristics'!$H$5/$B$5*$L$26</f>
        <v>0.439387671241642</v>
      </c>
      <c r="AD56" s="144">
        <f>'ERDR Characteristics'!$H$5/$B$5*$M$26</f>
        <v>-0.439387671241642</v>
      </c>
    </row>
    <row r="57">
      <c r="Z57" s="146">
        <v>22</v>
      </c>
      <c r="AA57" s="144">
        <f>'ERDR Characteristics'!$D$5/$B$5*$L$27</f>
        <v>0.538137796905894</v>
      </c>
      <c r="AB57" s="144">
        <f>'ERDR Characteristics'!$D$5/$B$5*$M$27</f>
        <v>-0.31069400190473</v>
      </c>
      <c r="AC57" s="144">
        <f>'ERDR Characteristics'!$H$5/$B$5*$L$27</f>
        <v>0.538137796905894</v>
      </c>
      <c r="AD57" s="144">
        <f>'ERDR Characteristics'!$H$5/$B$5*$M$27</f>
        <v>-0.31069400190473</v>
      </c>
    </row>
    <row r="58">
      <c r="Z58" s="146">
        <v>23</v>
      </c>
      <c r="AA58" s="144">
        <f>'ERDR Characteristics'!$D$5/$B$5*$L$28</f>
        <v>0.600214721025768</v>
      </c>
      <c r="AB58" s="144">
        <f>'ERDR Characteristics'!$D$5/$B$5*$M$28</f>
        <v>-0.160827049784127</v>
      </c>
      <c r="AC58" s="144">
        <f>'ERDR Characteristics'!$H$5/$B$5*$L$28</f>
        <v>0.600214721025768</v>
      </c>
      <c r="AD58" s="144">
        <f>'ERDR Characteristics'!$H$5/$B$5*$M$28</f>
        <v>-0.160827049784127</v>
      </c>
    </row>
    <row r="59">
      <c r="Z59" s="146">
        <v>24</v>
      </c>
      <c r="AA59" s="144">
        <f>'ERDR Characteristics'!$D$5/$B$5*$L$29</f>
        <v>0.62138800380946</v>
      </c>
      <c r="AB59" s="144">
        <f>'ERDR Characteristics'!$D$5/$B$5*$M$29</f>
        <v>-1.52196165978764e-16</v>
      </c>
      <c r="AC59" s="144">
        <f>'ERDR Characteristics'!$H$5/$B$5*$L$29</f>
        <v>0.62138800380946</v>
      </c>
      <c r="AD59" s="144">
        <f>'ERDR Characteristics'!$H$5/$B$5*$M$29</f>
        <v>-1.52196165978764e-16</v>
      </c>
    </row>
    <row r="60"/>
    <row r="61">
      <c r="A61" s="59" t="inlineStr">
        <is>
          <t xml:space="preserve">Object S₂ · radial diagram on “Hyperspheres (Step 1)” — centre S₂, neighbours at their true distance ρ, in neighbour order clockwise from the top</t>
        </is>
      </c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</row>
    <row r="62">
      <c r="A62" s="63" t="inlineStr">
        <is>
          <t xml:space="preserve">Chart title</t>
        </is>
      </c>
      <c r="B62" s="145" t="str">
        <f>"S₂ (class "&amp;'Dataset'!$P$6&amp;")  ·  g = "&amp;'ERDR Characteristics'!$E$6&amp;"  ·  d = "&amp;TEXT('ERDR Characteristics'!$J$6,"0.000")&amp;"  ·  queue "&amp;'ERDR Characteristics'!$K$6</f>
        <v>S₂ (class 2)  ·  g = 4  ·  d = 0.080  ·  queue 4</v>
      </c>
    </row>
    <row r="63" ht="30" customHeight="1">
      <c r="A63" s="147" t="inlineStr">
        <is>
          <t xml:space="preserve">Sⱼ</t>
        </is>
      </c>
      <c r="B63" s="147" t="inlineStr">
        <is>
          <t xml:space="preserve">Class</t>
        </is>
      </c>
      <c r="C63" s="147" t="inlineStr">
        <is>
          <t xml:space="preserve">Rank around Sᵢ (0 = centre)</t>
        </is>
      </c>
      <c r="D63" s="147" t="inlineStr">
        <is>
          <t xml:space="preserve">ρ(Sᵢ, Sⱼ)</t>
        </is>
      </c>
      <c r="E63" s="147" t="inlineStr">
        <is>
          <t xml:space="preserve">Angle θ</t>
        </is>
      </c>
      <c r="F63" s="147" t="inlineStr">
        <is>
          <t xml:space="preserve">x</t>
        </is>
      </c>
      <c r="G63" s="147" t="inlineStr">
        <is>
          <t xml:space="preserve">y</t>
        </is>
      </c>
      <c r="H63" s="147" t="inlineStr">
        <is>
          <t xml:space="preserve">Counted in g(Sᵢ)</t>
        </is>
      </c>
      <c r="I63" s="147" t="inlineStr">
        <is>
          <t xml:space="preserve">K1 counted · x</t>
        </is>
      </c>
      <c r="J63" s="147" t="inlineStr">
        <is>
          <t xml:space="preserve">y</t>
        </is>
      </c>
      <c r="K63" s="147" t="inlineStr">
        <is>
          <t xml:space="preserve">K1 not counted · x</t>
        </is>
      </c>
      <c r="L63" s="147" t="inlineStr">
        <is>
          <t xml:space="preserve">y</t>
        </is>
      </c>
      <c r="M63" s="147" t="inlineStr">
        <is>
          <t xml:space="preserve">K2 counted · x</t>
        </is>
      </c>
      <c r="N63" s="147" t="inlineStr">
        <is>
          <t xml:space="preserve">y</t>
        </is>
      </c>
      <c r="O63" s="147" t="inlineStr">
        <is>
          <t xml:space="preserve">K2 not counted · x</t>
        </is>
      </c>
      <c r="P63" s="147" t="inlineStr">
        <is>
          <t xml:space="preserve">y</t>
        </is>
      </c>
      <c r="Q63" s="147" t="inlineStr">
        <is>
          <t xml:space="preserve">Centre K1 · x</t>
        </is>
      </c>
      <c r="R63" s="147" t="inlineStr">
        <is>
          <t xml:space="preserve">y</t>
        </is>
      </c>
      <c r="S63" s="147" t="inlineStr">
        <is>
          <t xml:space="preserve">Centre K2 · x</t>
        </is>
      </c>
      <c r="T63" s="147" t="inlineStr">
        <is>
          <t xml:space="preserve">y</t>
        </is>
      </c>
      <c r="U63" s="147" t="inlineStr">
        <is>
          <t xml:space="preserve">Label text</t>
        </is>
      </c>
      <c r="Z63" s="147" t="inlineStr">
        <is>
          <t xml:space="preserve">k</t>
        </is>
      </c>
      <c r="AA63" s="147" t="inlineStr">
        <is>
          <t xml:space="preserve">r-sphere · x</t>
        </is>
      </c>
      <c r="AB63" s="147" t="inlineStr">
        <is>
          <t xml:space="preserve">y</t>
        </is>
      </c>
      <c r="AC63" s="147" t="inlineStr">
        <is>
          <t xml:space="preserve">k-sphere · x</t>
        </is>
      </c>
      <c r="AD63" s="147" t="inlineStr">
        <is>
          <t xml:space="preserve">y</t>
        </is>
      </c>
    </row>
    <row r="64">
      <c r="A64" s="62" t="inlineStr">
        <is>
          <t xml:space="preserve">S₁</t>
        </is>
      </c>
      <c r="B64" s="68">
        <f>'Dataset'!$P$5</f>
        <v>2</v>
      </c>
      <c r="C64" s="146">
        <f>'Sorted Neighbors'!B$6</f>
        <v>1</v>
      </c>
      <c r="D64" s="144">
        <f>'Zhuravlev Distances'!B$6</f>
        <v>4.6606100796</v>
      </c>
      <c r="E64" s="144">
        <f>IF(C64=0,0,PI()/2-(C64-1)*$B$6)</f>
        <v>1.5707963267949</v>
      </c>
      <c r="F64" s="144">
        <f>D64/$B$5*COS(E64)</f>
        <v>3.16263950250709e-17</v>
      </c>
      <c r="G64" s="144">
        <f>D64/$B$5*SIN(E64)</f>
        <v>0.516498227033139</v>
      </c>
      <c r="H64" s="146">
        <f>IF(AND(C64&gt;0,B64='Dataset'!$P$6,D64&lt;'ERDR Characteristics'!$D$6),1,0)</f>
        <v>1</v>
      </c>
      <c r="I64" s="144" t="e">
        <f>IF(AND(C64&gt;0,B64=1,H64=1),F64,NA())</f>
        <v>#N/A</v>
      </c>
      <c r="J64" s="144" t="e">
        <f>IF(AND(C64&gt;0,B64=1,H64=1),G64,NA())</f>
        <v>#N/A</v>
      </c>
      <c r="K64" s="144" t="e">
        <f>IF(AND(C64&gt;0,B64=1,H64=0),F64,NA())</f>
        <v>#N/A</v>
      </c>
      <c r="L64" s="144" t="e">
        <f>IF(AND(C64&gt;0,B64=1,H64=0),G64,NA())</f>
        <v>#N/A</v>
      </c>
      <c r="M64" s="144">
        <f>IF(AND(C64&gt;0,B64=2,H64=1),F64,NA())</f>
        <v>3.16263950250709e-17</v>
      </c>
      <c r="N64" s="144">
        <f>IF(AND(C64&gt;0,B64=2,H64=1),G64,NA())</f>
        <v>0.516498227033139</v>
      </c>
      <c r="O64" s="144" t="e">
        <f>IF(AND(C64&gt;0,B64=2,H64=0),F64,NA())</f>
        <v>#N/A</v>
      </c>
      <c r="P64" s="144" t="e">
        <f>IF(AND(C64&gt;0,B64=2,H64=0),G64,NA())</f>
        <v>#N/A</v>
      </c>
      <c r="Q64" s="144" t="e">
        <f>IF(AND(C64=0,B64=1),0,NA())</f>
        <v>#N/A</v>
      </c>
      <c r="R64" s="144" t="e">
        <f>IF(AND(C64=0,B64=1),0,NA())</f>
        <v>#N/A</v>
      </c>
      <c r="S64" s="144" t="e">
        <f>IF(AND(C64=0,B64=2),0,NA())</f>
        <v>#N/A</v>
      </c>
      <c r="T64" s="144" t="e">
        <f>IF(AND(C64=0,B64=2),0,NA())</f>
        <v>#N/A</v>
      </c>
      <c r="U64" s="145" t="str">
        <f>IF(C64=0,A64,A64&amp;"  "&amp;TEXT(D64,"0.00")&amp;IF(C64='ERDR Characteristics'!$F$6,IF(C64=$B$9," (r, z)"," (r)"),IF(C64=$B$9," (z)","")))</f>
        <v>S₁  4.66</v>
      </c>
      <c r="Z64" s="146">
        <v>0</v>
      </c>
      <c r="AA64" s="144">
        <f>'ERDR Characteristics'!$D$6/$B$5*$L$5</f>
        <v>0.82783715849673</v>
      </c>
      <c r="AB64" s="144">
        <f>'ERDR Characteristics'!$D$6/$B$5*$M$5</f>
        <v>0</v>
      </c>
      <c r="AC64" s="144">
        <f>'ERDR Characteristics'!$H$6/$B$5*$L$5</f>
        <v>0.705843819741894</v>
      </c>
      <c r="AD64" s="144">
        <f>'ERDR Characteristics'!$H$6/$B$5*$M$5</f>
        <v>0</v>
      </c>
    </row>
    <row r="65">
      <c r="A65" s="62" t="inlineStr">
        <is>
          <t xml:space="preserve">S₂</t>
        </is>
      </c>
      <c r="B65" s="68">
        <f>'Dataset'!$P$6</f>
        <v>2</v>
      </c>
      <c r="C65" s="146">
        <v>0</v>
      </c>
      <c r="D65" s="144">
        <f>'Zhuravlev Distances'!C$6</f>
        <v>0</v>
      </c>
      <c r="E65" s="144">
        <f>IF(C65=0,0,PI()/2-(C65-1)*$B$6)</f>
        <v>0</v>
      </c>
      <c r="F65" s="144">
        <f>D65/$B$5*COS(E65)</f>
        <v>0</v>
      </c>
      <c r="G65" s="144">
        <f>D65/$B$5*SIN(E65)</f>
        <v>0</v>
      </c>
      <c r="H65" s="146">
        <f>IF(AND(C65&gt;0,B65='Dataset'!$P$6,D65&lt;'ERDR Characteristics'!$D$6),1,0)</f>
        <v>0</v>
      </c>
      <c r="I65" s="144" t="e">
        <f>IF(AND(C65&gt;0,B65=1,H65=1),F65,NA())</f>
        <v>#N/A</v>
      </c>
      <c r="J65" s="144" t="e">
        <f>IF(AND(C65&gt;0,B65=1,H65=1),G65,NA())</f>
        <v>#N/A</v>
      </c>
      <c r="K65" s="144" t="e">
        <f>IF(AND(C65&gt;0,B65=1,H65=0),F65,NA())</f>
        <v>#N/A</v>
      </c>
      <c r="L65" s="144" t="e">
        <f>IF(AND(C65&gt;0,B65=1,H65=0),G65,NA())</f>
        <v>#N/A</v>
      </c>
      <c r="M65" s="144" t="e">
        <f>IF(AND(C65&gt;0,B65=2,H65=1),F65,NA())</f>
        <v>#N/A</v>
      </c>
      <c r="N65" s="144" t="e">
        <f>IF(AND(C65&gt;0,B65=2,H65=1),G65,NA())</f>
        <v>#N/A</v>
      </c>
      <c r="O65" s="144" t="e">
        <f>IF(AND(C65&gt;0,B65=2,H65=0),F65,NA())</f>
        <v>#N/A</v>
      </c>
      <c r="P65" s="144" t="e">
        <f>IF(AND(C65&gt;0,B65=2,H65=0),G65,NA())</f>
        <v>#N/A</v>
      </c>
      <c r="Q65" s="144" t="e">
        <f>IF(AND(C65=0,B65=1),0,NA())</f>
        <v>#N/A</v>
      </c>
      <c r="R65" s="144" t="e">
        <f>IF(AND(C65=0,B65=1),0,NA())</f>
        <v>#N/A</v>
      </c>
      <c r="S65" s="144">
        <f>IF(AND(C65=0,B65=2),0,NA())</f>
        <v>0</v>
      </c>
      <c r="T65" s="144">
        <f>IF(AND(C65=0,B65=2),0,NA())</f>
        <v>0</v>
      </c>
      <c r="U65" s="145" t="str">
        <f>IF(C65=0,A65,A65&amp;"  "&amp;TEXT(D65,"0.00")&amp;IF(C65='ERDR Characteristics'!$F$6,IF(C65=$B$9," (r, z)"," (r)"),IF(C65=$B$9," (z)","")))</f>
        <v>S₂</v>
      </c>
      <c r="Z65" s="146">
        <v>1</v>
      </c>
      <c r="AA65" s="144">
        <f>'ERDR Characteristics'!$D$6/$B$5*$L$6</f>
        <v>0.799629291353748</v>
      </c>
      <c r="AB65" s="144">
        <f>'ERDR Characteristics'!$D$6/$B$5*$M$6</f>
        <v>0.214260022862508</v>
      </c>
      <c r="AC65" s="144">
        <f>'ERDR Characteristics'!$H$6/$B$5*$L$6</f>
        <v>0.681792774815221</v>
      </c>
      <c r="AD65" s="144">
        <f>'ERDR Characteristics'!$H$6/$B$5*$M$6</f>
        <v>0.182685823417113</v>
      </c>
    </row>
    <row r="66">
      <c r="A66" s="62" t="inlineStr">
        <is>
          <t xml:space="preserve">S₃</t>
        </is>
      </c>
      <c r="B66" s="68">
        <f>'Dataset'!$P$7</f>
        <v>1</v>
      </c>
      <c r="C66" s="146">
        <f>'Sorted Neighbors'!D$6</f>
        <v>4</v>
      </c>
      <c r="D66" s="144">
        <f>'Zhuravlev Distances'!D$6</f>
        <v>7.4699698919</v>
      </c>
      <c r="E66" s="144">
        <f>IF(C66=0,0,PI()/2-(C66-1)*$B$6)</f>
        <v>-1.5707963267949</v>
      </c>
      <c r="F66" s="144">
        <f>D66/$B$5*COS(E66)</f>
        <v>5.0690406318413e-17</v>
      </c>
      <c r="G66" s="144">
        <f>D66/$B$5*SIN(E66)</f>
        <v>-0.82783715849673</v>
      </c>
      <c r="H66" s="146">
        <f>IF(AND(C66&gt;0,B66='Dataset'!$P$6,D66&lt;'ERDR Characteristics'!$D$6),1,0)</f>
        <v>0</v>
      </c>
      <c r="I66" s="144" t="e">
        <f>IF(AND(C66&gt;0,B66=1,H66=1),F66,NA())</f>
        <v>#N/A</v>
      </c>
      <c r="J66" s="144" t="e">
        <f>IF(AND(C66&gt;0,B66=1,H66=1),G66,NA())</f>
        <v>#N/A</v>
      </c>
      <c r="K66" s="144">
        <f>IF(AND(C66&gt;0,B66=1,H66=0),F66,NA())</f>
        <v>5.0690406318413e-17</v>
      </c>
      <c r="L66" s="144">
        <f>IF(AND(C66&gt;0,B66=1,H66=0),G66,NA())</f>
        <v>-0.82783715849673</v>
      </c>
      <c r="M66" s="144" t="e">
        <f>IF(AND(C66&gt;0,B66=2,H66=1),F66,NA())</f>
        <v>#N/A</v>
      </c>
      <c r="N66" s="144" t="e">
        <f>IF(AND(C66&gt;0,B66=2,H66=1),G66,NA())</f>
        <v>#N/A</v>
      </c>
      <c r="O66" s="144" t="e">
        <f>IF(AND(C66&gt;0,B66=2,H66=0),F66,NA())</f>
        <v>#N/A</v>
      </c>
      <c r="P66" s="144" t="e">
        <f>IF(AND(C66&gt;0,B66=2,H66=0),G66,NA())</f>
        <v>#N/A</v>
      </c>
      <c r="Q66" s="144" t="e">
        <f>IF(AND(C66=0,B66=1),0,NA())</f>
        <v>#N/A</v>
      </c>
      <c r="R66" s="144" t="e">
        <f>IF(AND(C66=0,B66=1),0,NA())</f>
        <v>#N/A</v>
      </c>
      <c r="S66" s="144" t="e">
        <f>IF(AND(C66=0,B66=2),0,NA())</f>
        <v>#N/A</v>
      </c>
      <c r="T66" s="144" t="e">
        <f>IF(AND(C66=0,B66=2),0,NA())</f>
        <v>#N/A</v>
      </c>
      <c r="U66" s="145" t="str">
        <f>IF(C66=0,A66,A66&amp;"  "&amp;TEXT(D66,"0.00")&amp;IF(C66='ERDR Characteristics'!$F$6,IF(C66=$B$9," (r, z)"," (r)"),IF(C66=$B$9," (z)","")))</f>
        <v>S₃  7.47 (r)</v>
      </c>
      <c r="Z66" s="146">
        <v>2</v>
      </c>
      <c r="AA66" s="144">
        <f>'ERDR Characteristics'!$D$6/$B$5*$L$7</f>
        <v>0.716928009454893</v>
      </c>
      <c r="AB66" s="144">
        <f>'ERDR Characteristics'!$D$6/$B$5*$M$7</f>
        <v>0.413918579248365</v>
      </c>
      <c r="AC66" s="144">
        <f>'ERDR Characteristics'!$H$6/$B$5*$L$7</f>
        <v>0.611278679000724</v>
      </c>
      <c r="AD66" s="144">
        <f>'ERDR Characteristics'!$H$6/$B$5*$M$7</f>
        <v>0.352921909870947</v>
      </c>
    </row>
    <row r="67">
      <c r="A67" s="62" t="inlineStr">
        <is>
          <t xml:space="preserve">S₄</t>
        </is>
      </c>
      <c r="B67" s="68">
        <f>'Dataset'!$P$8</f>
        <v>2</v>
      </c>
      <c r="C67" s="146">
        <f>'Sorted Neighbors'!E$6</f>
        <v>3</v>
      </c>
      <c r="D67" s="144">
        <f>'Zhuravlev Distances'!E$6</f>
        <v>6.3691657565</v>
      </c>
      <c r="E67" s="144">
        <f>IF(C67=0,0,PI()/2-(C67-1)*$B$6)</f>
        <v>-0.523598775598299</v>
      </c>
      <c r="F67" s="144">
        <f>D67/$B$5*COS(E67)</f>
        <v>0.611278679000724</v>
      </c>
      <c r="G67" s="144">
        <f>D67/$B$5*SIN(E67)</f>
        <v>-0.352921909870947</v>
      </c>
      <c r="H67" s="146">
        <f>IF(AND(C67&gt;0,B67='Dataset'!$P$6,D67&lt;'ERDR Characteristics'!$D$6),1,0)</f>
        <v>1</v>
      </c>
      <c r="I67" s="144" t="e">
        <f>IF(AND(C67&gt;0,B67=1,H67=1),F67,NA())</f>
        <v>#N/A</v>
      </c>
      <c r="J67" s="144" t="e">
        <f>IF(AND(C67&gt;0,B67=1,H67=1),G67,NA())</f>
        <v>#N/A</v>
      </c>
      <c r="K67" s="144" t="e">
        <f>IF(AND(C67&gt;0,B67=1,H67=0),F67,NA())</f>
        <v>#N/A</v>
      </c>
      <c r="L67" s="144" t="e">
        <f>IF(AND(C67&gt;0,B67=1,H67=0),G67,NA())</f>
        <v>#N/A</v>
      </c>
      <c r="M67" s="144">
        <f>IF(AND(C67&gt;0,B67=2,H67=1),F67,NA())</f>
        <v>0.611278679000724</v>
      </c>
      <c r="N67" s="144">
        <f>IF(AND(C67&gt;0,B67=2,H67=1),G67,NA())</f>
        <v>-0.352921909870947</v>
      </c>
      <c r="O67" s="144" t="e">
        <f>IF(AND(C67&gt;0,B67=2,H67=0),F67,NA())</f>
        <v>#N/A</v>
      </c>
      <c r="P67" s="144" t="e">
        <f>IF(AND(C67&gt;0,B67=2,H67=0),G67,NA())</f>
        <v>#N/A</v>
      </c>
      <c r="Q67" s="144" t="e">
        <f>IF(AND(C67=0,B67=1),0,NA())</f>
        <v>#N/A</v>
      </c>
      <c r="R67" s="144" t="e">
        <f>IF(AND(C67=0,B67=1),0,NA())</f>
        <v>#N/A</v>
      </c>
      <c r="S67" s="144" t="e">
        <f>IF(AND(C67=0,B67=2),0,NA())</f>
        <v>#N/A</v>
      </c>
      <c r="T67" s="144" t="e">
        <f>IF(AND(C67=0,B67=2),0,NA())</f>
        <v>#N/A</v>
      </c>
      <c r="U67" s="145" t="str">
        <f>IF(C67=0,A67,A67&amp;"  "&amp;TEXT(D67,"0.00")&amp;IF(C67='ERDR Characteristics'!$F$6,IF(C67=$B$9," (r, z)"," (r)"),IF(C67=$B$9," (z)","")))</f>
        <v>S₄  6.37 (z)</v>
      </c>
      <c r="Z67" s="146">
        <v>3</v>
      </c>
      <c r="AA67" s="144">
        <f>'ERDR Characteristics'!$D$6/$B$5*$L$8</f>
        <v>0.585369268491241</v>
      </c>
      <c r="AB67" s="144">
        <f>'ERDR Characteristics'!$D$6/$B$5*$M$8</f>
        <v>0.585369268491241</v>
      </c>
      <c r="AC67" s="144">
        <f>'ERDR Characteristics'!$H$6/$B$5*$L$8</f>
        <v>0.499106951398108</v>
      </c>
      <c r="AD67" s="144">
        <f>'ERDR Characteristics'!$H$6/$B$5*$M$8</f>
        <v>0.499106951398108</v>
      </c>
    </row>
    <row r="68">
      <c r="A68" s="62" t="inlineStr">
        <is>
          <t xml:space="preserve">S₅</t>
        </is>
      </c>
      <c r="B68" s="68">
        <f>'Dataset'!$P$9</f>
        <v>2</v>
      </c>
      <c r="C68" s="146">
        <f>'Sorted Neighbors'!F$6</f>
        <v>2</v>
      </c>
      <c r="D68" s="144">
        <f>'Zhuravlev Distances'!F$6</f>
        <v>6.104089157</v>
      </c>
      <c r="E68" s="144">
        <f>IF(C68=0,0,PI()/2-(C68-1)*$B$6)</f>
        <v>0.523598775598299</v>
      </c>
      <c r="F68" s="144">
        <f>D68/$B$5*COS(E68)</f>
        <v>0.5858380357876</v>
      </c>
      <c r="G68" s="144">
        <f>D68/$B$5*SIN(E68)</f>
        <v>0.338233747663492</v>
      </c>
      <c r="H68" s="146">
        <f>IF(AND(C68&gt;0,B68='Dataset'!$P$6,D68&lt;'ERDR Characteristics'!$D$6),1,0)</f>
        <v>1</v>
      </c>
      <c r="I68" s="144" t="e">
        <f>IF(AND(C68&gt;0,B68=1,H68=1),F68,NA())</f>
        <v>#N/A</v>
      </c>
      <c r="J68" s="144" t="e">
        <f>IF(AND(C68&gt;0,B68=1,H68=1),G68,NA())</f>
        <v>#N/A</v>
      </c>
      <c r="K68" s="144" t="e">
        <f>IF(AND(C68&gt;0,B68=1,H68=0),F68,NA())</f>
        <v>#N/A</v>
      </c>
      <c r="L68" s="144" t="e">
        <f>IF(AND(C68&gt;0,B68=1,H68=0),G68,NA())</f>
        <v>#N/A</v>
      </c>
      <c r="M68" s="144">
        <f>IF(AND(C68&gt;0,B68=2,H68=1),F68,NA())</f>
        <v>0.5858380357876</v>
      </c>
      <c r="N68" s="144">
        <f>IF(AND(C68&gt;0,B68=2,H68=1),G68,NA())</f>
        <v>0.338233747663492</v>
      </c>
      <c r="O68" s="144" t="e">
        <f>IF(AND(C68&gt;0,B68=2,H68=0),F68,NA())</f>
        <v>#N/A</v>
      </c>
      <c r="P68" s="144" t="e">
        <f>IF(AND(C68&gt;0,B68=2,H68=0),G68,NA())</f>
        <v>#N/A</v>
      </c>
      <c r="Q68" s="144" t="e">
        <f>IF(AND(C68=0,B68=1),0,NA())</f>
        <v>#N/A</v>
      </c>
      <c r="R68" s="144" t="e">
        <f>IF(AND(C68=0,B68=1),0,NA())</f>
        <v>#N/A</v>
      </c>
      <c r="S68" s="144" t="e">
        <f>IF(AND(C68=0,B68=2),0,NA())</f>
        <v>#N/A</v>
      </c>
      <c r="T68" s="144" t="e">
        <f>IF(AND(C68=0,B68=2),0,NA())</f>
        <v>#N/A</v>
      </c>
      <c r="U68" s="145" t="str">
        <f>IF(C68=0,A68,A68&amp;"  "&amp;TEXT(D68,"0.00")&amp;IF(C68='ERDR Characteristics'!$F$6,IF(C68=$B$9," (r, z)"," (r)"),IF(C68=$B$9," (z)","")))</f>
        <v>S₅  6.10</v>
      </c>
      <c r="Z68" s="146">
        <v>4</v>
      </c>
      <c r="AA68" s="144">
        <f>'ERDR Characteristics'!$D$6/$B$5*$L$9</f>
        <v>0.413918579248365</v>
      </c>
      <c r="AB68" s="144">
        <f>'ERDR Characteristics'!$D$6/$B$5*$M$9</f>
        <v>0.716928009454893</v>
      </c>
      <c r="AC68" s="144">
        <f>'ERDR Characteristics'!$H$6/$B$5*$L$9</f>
        <v>0.352921909870947</v>
      </c>
      <c r="AD68" s="144">
        <f>'ERDR Characteristics'!$H$6/$B$5*$M$9</f>
        <v>0.611278679000724</v>
      </c>
    </row>
    <row r="69">
      <c r="A69" s="62" t="inlineStr">
        <is>
          <t xml:space="preserve">S₆</t>
        </is>
      </c>
      <c r="B69" s="68">
        <f>'Dataset'!$P$10</f>
        <v>1</v>
      </c>
      <c r="C69" s="146">
        <f>'Sorted Neighbors'!G$6</f>
        <v>6</v>
      </c>
      <c r="D69" s="144">
        <f>'Zhuravlev Distances'!G$6</f>
        <v>8.742951174</v>
      </c>
      <c r="E69" s="144">
        <f>IF(C69=0,0,PI()/2-(C69-1)*$B$6)</f>
        <v>-3.66519142918809</v>
      </c>
      <c r="F69" s="144">
        <f>D69/$B$5*COS(E69)</f>
        <v>-0.839101987376665</v>
      </c>
      <c r="G69" s="144">
        <f>D69/$B$5*SIN(E69)</f>
        <v>0.484455758289467</v>
      </c>
      <c r="H69" s="146">
        <f>IF(AND(C69&gt;0,B69='Dataset'!$P$6,D69&lt;'ERDR Characteristics'!$D$6),1,0)</f>
        <v>0</v>
      </c>
      <c r="I69" s="144" t="e">
        <f>IF(AND(C69&gt;0,B69=1,H69=1),F69,NA())</f>
        <v>#N/A</v>
      </c>
      <c r="J69" s="144" t="e">
        <f>IF(AND(C69&gt;0,B69=1,H69=1),G69,NA())</f>
        <v>#N/A</v>
      </c>
      <c r="K69" s="144">
        <f>IF(AND(C69&gt;0,B69=1,H69=0),F69,NA())</f>
        <v>-0.839101987376665</v>
      </c>
      <c r="L69" s="144">
        <f>IF(AND(C69&gt;0,B69=1,H69=0),G69,NA())</f>
        <v>0.484455758289467</v>
      </c>
      <c r="M69" s="144" t="e">
        <f>IF(AND(C69&gt;0,B69=2,H69=1),F69,NA())</f>
        <v>#N/A</v>
      </c>
      <c r="N69" s="144" t="e">
        <f>IF(AND(C69&gt;0,B69=2,H69=1),G69,NA())</f>
        <v>#N/A</v>
      </c>
      <c r="O69" s="144" t="e">
        <f>IF(AND(C69&gt;0,B69=2,H69=0),F69,NA())</f>
        <v>#N/A</v>
      </c>
      <c r="P69" s="144" t="e">
        <f>IF(AND(C69&gt;0,B69=2,H69=0),G69,NA())</f>
        <v>#N/A</v>
      </c>
      <c r="Q69" s="144" t="e">
        <f>IF(AND(C69=0,B69=1),0,NA())</f>
        <v>#N/A</v>
      </c>
      <c r="R69" s="144" t="e">
        <f>IF(AND(C69=0,B69=1),0,NA())</f>
        <v>#N/A</v>
      </c>
      <c r="S69" s="144" t="e">
        <f>IF(AND(C69=0,B69=2),0,NA())</f>
        <v>#N/A</v>
      </c>
      <c r="T69" s="144" t="e">
        <f>IF(AND(C69=0,B69=2),0,NA())</f>
        <v>#N/A</v>
      </c>
      <c r="U69" s="145" t="str">
        <f>IF(C69=0,A69,A69&amp;"  "&amp;TEXT(D69,"0.00")&amp;IF(C69='ERDR Characteristics'!$F$6,IF(C69=$B$9," (r, z)"," (r)"),IF(C69=$B$9," (z)","")))</f>
        <v>S₆  8.74</v>
      </c>
      <c r="Z69" s="146">
        <v>5</v>
      </c>
      <c r="AA69" s="144">
        <f>'ERDR Characteristics'!$D$6/$B$5*$L$10</f>
        <v>0.214260022862508</v>
      </c>
      <c r="AB69" s="144">
        <f>'ERDR Characteristics'!$D$6/$B$5*$M$10</f>
        <v>0.799629291353748</v>
      </c>
      <c r="AC69" s="144">
        <f>'ERDR Characteristics'!$H$6/$B$5*$L$10</f>
        <v>0.182685823417113</v>
      </c>
      <c r="AD69" s="144">
        <f>'ERDR Characteristics'!$H$6/$B$5*$M$10</f>
        <v>0.681792774815221</v>
      </c>
    </row>
    <row r="70">
      <c r="A70" s="62" t="inlineStr">
        <is>
          <t xml:space="preserve">S₇</t>
        </is>
      </c>
      <c r="B70" s="68">
        <f>'Dataset'!$P$11</f>
        <v>1</v>
      </c>
      <c r="C70" s="146">
        <f>'Sorted Neighbors'!H$6</f>
        <v>5</v>
      </c>
      <c r="D70" s="144">
        <f>'Zhuravlev Distances'!H$6</f>
        <v>7.7855937542</v>
      </c>
      <c r="E70" s="144">
        <f>IF(C70=0,0,PI()/2-(C70-1)*$B$6)</f>
        <v>-2.61799387799149</v>
      </c>
      <c r="F70" s="144">
        <f>D70/$B$5*COS(E70)</f>
        <v>-0.747219910307207</v>
      </c>
      <c r="G70" s="144">
        <f>D70/$B$5*SIN(E70)</f>
        <v>-0.431407616359714</v>
      </c>
      <c r="H70" s="146">
        <f>IF(AND(C70&gt;0,B70='Dataset'!$P$6,D70&lt;'ERDR Characteristics'!$D$6),1,0)</f>
        <v>0</v>
      </c>
      <c r="I70" s="144" t="e">
        <f>IF(AND(C70&gt;0,B70=1,H70=1),F70,NA())</f>
        <v>#N/A</v>
      </c>
      <c r="J70" s="144" t="e">
        <f>IF(AND(C70&gt;0,B70=1,H70=1),G70,NA())</f>
        <v>#N/A</v>
      </c>
      <c r="K70" s="144">
        <f>IF(AND(C70&gt;0,B70=1,H70=0),F70,NA())</f>
        <v>-0.747219910307207</v>
      </c>
      <c r="L70" s="144">
        <f>IF(AND(C70&gt;0,B70=1,H70=0),G70,NA())</f>
        <v>-0.431407616359714</v>
      </c>
      <c r="M70" s="144" t="e">
        <f>IF(AND(C70&gt;0,B70=2,H70=1),F70,NA())</f>
        <v>#N/A</v>
      </c>
      <c r="N70" s="144" t="e">
        <f>IF(AND(C70&gt;0,B70=2,H70=1),G70,NA())</f>
        <v>#N/A</v>
      </c>
      <c r="O70" s="144" t="e">
        <f>IF(AND(C70&gt;0,B70=2,H70=0),F70,NA())</f>
        <v>#N/A</v>
      </c>
      <c r="P70" s="144" t="e">
        <f>IF(AND(C70&gt;0,B70=2,H70=0),G70,NA())</f>
        <v>#N/A</v>
      </c>
      <c r="Q70" s="144" t="e">
        <f>IF(AND(C70=0,B70=1),0,NA())</f>
        <v>#N/A</v>
      </c>
      <c r="R70" s="144" t="e">
        <f>IF(AND(C70=0,B70=1),0,NA())</f>
        <v>#N/A</v>
      </c>
      <c r="S70" s="144" t="e">
        <f>IF(AND(C70=0,B70=2),0,NA())</f>
        <v>#N/A</v>
      </c>
      <c r="T70" s="144" t="e">
        <f>IF(AND(C70=0,B70=2),0,NA())</f>
        <v>#N/A</v>
      </c>
      <c r="U70" s="145" t="str">
        <f>IF(C70=0,A70,A70&amp;"  "&amp;TEXT(D70,"0.00")&amp;IF(C70='ERDR Characteristics'!$F$6,IF(C70=$B$9," (r, z)"," (r)"),IF(C70=$B$9," (z)","")))</f>
        <v>S₇  7.79</v>
      </c>
      <c r="Z70" s="146">
        <v>6</v>
      </c>
      <c r="AA70" s="144">
        <f>'ERDR Characteristics'!$D$6/$B$5*$L$11</f>
        <v>5.0690406318413e-17</v>
      </c>
      <c r="AB70" s="144">
        <f>'ERDR Characteristics'!$D$6/$B$5*$M$11</f>
        <v>0.82783715849673</v>
      </c>
      <c r="AC70" s="144">
        <f>'ERDR Characteristics'!$H$6/$B$5*$L$11</f>
        <v>4.32204687272426e-17</v>
      </c>
      <c r="AD70" s="144">
        <f>'ERDR Characteristics'!$H$6/$B$5*$M$11</f>
        <v>0.705843819741894</v>
      </c>
    </row>
    <row r="71">
      <c r="A71" s="63" t="inlineStr">
        <is>
          <t xml:space="preserve">r label</t>
        </is>
      </c>
      <c r="U71" s="145" t="str">
        <f>"r = "&amp;TEXT('ERDR Characteristics'!$D$6,"0.00")</f>
        <v>r = 7.47</v>
      </c>
      <c r="V71" s="144">
        <f>'ERDR Characteristics'!$D$6/$B$5</f>
        <v>0.82783715849673</v>
      </c>
      <c r="W71" s="144">
        <v>0</v>
      </c>
      <c r="Z71" s="146">
        <v>7</v>
      </c>
      <c r="AA71" s="144">
        <f>'ERDR Characteristics'!$D$6/$B$5*$L$12</f>
        <v>-0.214260022862508</v>
      </c>
      <c r="AB71" s="144">
        <f>'ERDR Characteristics'!$D$6/$B$5*$M$12</f>
        <v>0.799629291353748</v>
      </c>
      <c r="AC71" s="144">
        <f>'ERDR Characteristics'!$H$6/$B$5*$L$12</f>
        <v>-0.182685823417113</v>
      </c>
      <c r="AD71" s="144">
        <f>'ERDR Characteristics'!$H$6/$B$5*$M$12</f>
        <v>0.681792774815221</v>
      </c>
    </row>
    <row r="72">
      <c r="A72" s="63" t="inlineStr">
        <is>
          <t xml:space="preserve">z label</t>
        </is>
      </c>
      <c r="U72" s="145" t="str">
        <f>"z = "&amp;TEXT('ERDR Characteristics'!$H$6,"0.00")</f>
        <v>z = 6.37</v>
      </c>
      <c r="V72" s="144">
        <f>-'ERDR Characteristics'!$H$6/$B$5</f>
        <v>-0.705843819741894</v>
      </c>
      <c r="W72" s="144">
        <v>0</v>
      </c>
      <c r="Z72" s="146">
        <v>8</v>
      </c>
      <c r="AA72" s="144">
        <f>'ERDR Characteristics'!$D$6/$B$5*$L$13</f>
        <v>-0.413918579248365</v>
      </c>
      <c r="AB72" s="144">
        <f>'ERDR Characteristics'!$D$6/$B$5*$M$13</f>
        <v>0.716928009454893</v>
      </c>
      <c r="AC72" s="144">
        <f>'ERDR Characteristics'!$H$6/$B$5*$L$13</f>
        <v>-0.352921909870947</v>
      </c>
      <c r="AD72" s="144">
        <f>'ERDR Characteristics'!$H$6/$B$5*$M$13</f>
        <v>0.611278679000724</v>
      </c>
    </row>
    <row r="73">
      <c r="A73" s="147" t="inlineStr">
        <is>
          <t xml:space="preserve">Label slot</t>
        </is>
      </c>
      <c r="B73" s="147" t="inlineStr">
        <is>
          <t xml:space="preserve">Rank t</t>
        </is>
      </c>
      <c r="C73" s="147" t="inlineStr">
        <is>
          <t xml:space="preserve">Object</t>
        </is>
      </c>
      <c r="D73" s="147" t="inlineStr">
        <is>
          <t xml:space="preserve">Label</t>
        </is>
      </c>
      <c r="E73" s="147" t="inlineStr">
        <is>
          <t xml:space="preserve">x</t>
        </is>
      </c>
      <c r="F73" s="147" t="inlineStr">
        <is>
          <t xml:space="preserve">y</t>
        </is>
      </c>
      <c r="Z73" s="146">
        <v>9</v>
      </c>
      <c r="AA73" s="144">
        <f>'ERDR Characteristics'!$D$6/$B$5*$L$14</f>
        <v>-0.585369268491241</v>
      </c>
      <c r="AB73" s="144">
        <f>'ERDR Characteristics'!$D$6/$B$5*$M$14</f>
        <v>0.585369268491241</v>
      </c>
      <c r="AC73" s="144">
        <f>'ERDR Characteristics'!$H$6/$B$5*$L$14</f>
        <v>-0.499106951398108</v>
      </c>
      <c r="AD73" s="144">
        <f>'ERDR Characteristics'!$H$6/$B$5*$M$14</f>
        <v>0.499106951398108</v>
      </c>
    </row>
    <row r="74">
      <c r="A74" s="63" t="inlineStr">
        <is>
          <t xml:space="preserve">slot 1 (t)</t>
        </is>
      </c>
      <c r="B74" s="146">
        <v>1</v>
      </c>
      <c r="C74" s="146">
        <f>IFERROR(MATCH(B74,$C$64:$C$70,0),NA())</f>
        <v>1</v>
      </c>
      <c r="D74" s="145" t="str">
        <f>IFERROR(INDEX($U$64:$U$70,C74),"")</f>
        <v>S₁  4.66</v>
      </c>
      <c r="E74" s="144">
        <f>IFERROR(INDEX($F$64:$F$70,C74),NA())</f>
        <v>3.16263950250709e-17</v>
      </c>
      <c r="F74" s="144">
        <f>IFERROR(INDEX($G$64:$G$70,C74),NA())</f>
        <v>0.516498227033139</v>
      </c>
      <c r="Z74" s="146">
        <v>10</v>
      </c>
      <c r="AA74" s="144">
        <f>'ERDR Characteristics'!$D$6/$B$5*$L$15</f>
        <v>-0.716928009454893</v>
      </c>
      <c r="AB74" s="144">
        <f>'ERDR Characteristics'!$D$6/$B$5*$M$15</f>
        <v>0.413918579248365</v>
      </c>
      <c r="AC74" s="144">
        <f>'ERDR Characteristics'!$H$6/$B$5*$L$15</f>
        <v>-0.611278679000724</v>
      </c>
      <c r="AD74" s="144">
        <f>'ERDR Characteristics'!$H$6/$B$5*$M$15</f>
        <v>0.352921909870947</v>
      </c>
    </row>
    <row r="75">
      <c r="A75" s="63" t="inlineStr">
        <is>
          <t xml:space="preserve">slot 2 (r)</t>
        </is>
      </c>
      <c r="B75" s="146">
        <v>2</v>
      </c>
      <c r="C75" s="146">
        <f>IFERROR(MATCH(B75,$C$64:$C$70,0),NA())</f>
        <v>5</v>
      </c>
      <c r="D75" s="145" t="str">
        <f>IFERROR(INDEX($U$64:$U$70,C75),"")</f>
        <v>S₅  6.10</v>
      </c>
      <c r="E75" s="144">
        <f>IFERROR(INDEX($F$64:$F$70,C75),NA())</f>
        <v>0.5858380357876</v>
      </c>
      <c r="F75" s="144">
        <f>IFERROR(INDEX($G$64:$G$70,C75),NA())</f>
        <v>0.338233747663492</v>
      </c>
      <c r="Z75" s="146">
        <v>11</v>
      </c>
      <c r="AA75" s="144">
        <f>'ERDR Characteristics'!$D$6/$B$5*$L$16</f>
        <v>-0.799629291353748</v>
      </c>
      <c r="AB75" s="144">
        <f>'ERDR Characteristics'!$D$6/$B$5*$M$16</f>
        <v>0.214260022862508</v>
      </c>
      <c r="AC75" s="144">
        <f>'ERDR Characteristics'!$H$6/$B$5*$L$16</f>
        <v>-0.681792774815221</v>
      </c>
      <c r="AD75" s="144">
        <f>'ERDR Characteristics'!$H$6/$B$5*$M$16</f>
        <v>0.182685823417113</v>
      </c>
    </row>
    <row r="76">
      <c r="A76" s="63" t="inlineStr">
        <is>
          <t xml:space="preserve">slot 3 (r)</t>
        </is>
      </c>
      <c r="B76" s="146">
        <v>3</v>
      </c>
      <c r="C76" s="146">
        <f>IFERROR(MATCH(B76,$C$64:$C$70,0),NA())</f>
        <v>4</v>
      </c>
      <c r="D76" s="145" t="str">
        <f>IFERROR(INDEX($U$64:$U$70,C76),"")</f>
        <v>S₄  6.37 (z)</v>
      </c>
      <c r="E76" s="144">
        <f>IFERROR(INDEX($F$64:$F$70,C76),NA())</f>
        <v>0.611278679000724</v>
      </c>
      <c r="F76" s="144">
        <f>IFERROR(INDEX($G$64:$G$70,C76),NA())</f>
        <v>-0.352921909870947</v>
      </c>
      <c r="Z76" s="146">
        <v>12</v>
      </c>
      <c r="AA76" s="144">
        <f>'ERDR Characteristics'!$D$6/$B$5*$L$17</f>
        <v>-0.82783715849673</v>
      </c>
      <c r="AB76" s="144">
        <f>'ERDR Characteristics'!$D$6/$B$5*$M$17</f>
        <v>1.01380812636826e-16</v>
      </c>
      <c r="AC76" s="144">
        <f>'ERDR Characteristics'!$H$6/$B$5*$L$17</f>
        <v>-0.705843819741894</v>
      </c>
      <c r="AD76" s="144">
        <f>'ERDR Characteristics'!$H$6/$B$5*$M$17</f>
        <v>8.64409374544851e-17</v>
      </c>
    </row>
    <row r="77">
      <c r="A77" s="63" t="inlineStr">
        <is>
          <t xml:space="preserve">slot 4 (b)</t>
        </is>
      </c>
      <c r="B77" s="146">
        <v>4</v>
      </c>
      <c r="C77" s="146">
        <f>IFERROR(MATCH(B77,$C$64:$C$70,0),NA())</f>
        <v>3</v>
      </c>
      <c r="D77" s="145" t="str">
        <f>IFERROR(INDEX($U$64:$U$70,C77),"")</f>
        <v>S₃  7.47 (r)</v>
      </c>
      <c r="E77" s="144">
        <f>IFERROR(INDEX($F$64:$F$70,C77),NA())</f>
        <v>5.0690406318413e-17</v>
      </c>
      <c r="F77" s="144">
        <f>IFERROR(INDEX($G$64:$G$70,C77),NA())</f>
        <v>-0.82783715849673</v>
      </c>
      <c r="Z77" s="146">
        <v>13</v>
      </c>
      <c r="AA77" s="144">
        <f>'ERDR Characteristics'!$D$6/$B$5*$L$18</f>
        <v>-0.799629291353748</v>
      </c>
      <c r="AB77" s="144">
        <f>'ERDR Characteristics'!$D$6/$B$5*$M$18</f>
        <v>-0.214260022862508</v>
      </c>
      <c r="AC77" s="144">
        <f>'ERDR Characteristics'!$H$6/$B$5*$L$18</f>
        <v>-0.681792774815221</v>
      </c>
      <c r="AD77" s="144">
        <f>'ERDR Characteristics'!$H$6/$B$5*$M$18</f>
        <v>-0.182685823417113</v>
      </c>
    </row>
    <row r="78">
      <c r="A78" s="63" t="inlineStr">
        <is>
          <t xml:space="preserve">slot 5 (l)</t>
        </is>
      </c>
      <c r="B78" s="146">
        <v>5</v>
      </c>
      <c r="C78" s="146">
        <f>IFERROR(MATCH(B78,$C$64:$C$70,0),NA())</f>
        <v>7</v>
      </c>
      <c r="D78" s="145" t="str">
        <f>IFERROR(INDEX($U$64:$U$70,C78),"")</f>
        <v>S₇  7.79</v>
      </c>
      <c r="E78" s="144">
        <f>IFERROR(INDEX($F$64:$F$70,C78),NA())</f>
        <v>-0.747219910307207</v>
      </c>
      <c r="F78" s="144">
        <f>IFERROR(INDEX($G$64:$G$70,C78),NA())</f>
        <v>-0.431407616359714</v>
      </c>
      <c r="Z78" s="146">
        <v>14</v>
      </c>
      <c r="AA78" s="144">
        <f>'ERDR Characteristics'!$D$6/$B$5*$L$19</f>
        <v>-0.716928009454893</v>
      </c>
      <c r="AB78" s="144">
        <f>'ERDR Characteristics'!$D$6/$B$5*$M$19</f>
        <v>-0.413918579248365</v>
      </c>
      <c r="AC78" s="144">
        <f>'ERDR Characteristics'!$H$6/$B$5*$L$19</f>
        <v>-0.611278679000724</v>
      </c>
      <c r="AD78" s="144">
        <f>'ERDR Characteristics'!$H$6/$B$5*$M$19</f>
        <v>-0.352921909870947</v>
      </c>
    </row>
    <row r="79">
      <c r="A79" s="63" t="inlineStr">
        <is>
          <t xml:space="preserve">slot 6 (l)</t>
        </is>
      </c>
      <c r="B79" s="146">
        <v>6</v>
      </c>
      <c r="C79" s="146">
        <f>IFERROR(MATCH(B79,$C$64:$C$70,0),NA())</f>
        <v>6</v>
      </c>
      <c r="D79" s="145" t="str">
        <f>IFERROR(INDEX($U$64:$U$70,C79),"")</f>
        <v>S₆  8.74</v>
      </c>
      <c r="E79" s="144">
        <f>IFERROR(INDEX($F$64:$F$70,C79),NA())</f>
        <v>-0.839101987376665</v>
      </c>
      <c r="F79" s="144">
        <f>IFERROR(INDEX($G$64:$G$70,C79),NA())</f>
        <v>0.484455758289467</v>
      </c>
      <c r="Z79" s="146">
        <v>15</v>
      </c>
      <c r="AA79" s="144">
        <f>'ERDR Characteristics'!$D$6/$B$5*$L$20</f>
        <v>-0.585369268491241</v>
      </c>
      <c r="AB79" s="144">
        <f>'ERDR Characteristics'!$D$6/$B$5*$M$20</f>
        <v>-0.58536926849124</v>
      </c>
      <c r="AC79" s="144">
        <f>'ERDR Characteristics'!$H$6/$B$5*$L$20</f>
        <v>-0.499106951398108</v>
      </c>
      <c r="AD79" s="144">
        <f>'ERDR Characteristics'!$H$6/$B$5*$M$20</f>
        <v>-0.499106951398108</v>
      </c>
    </row>
    <row r="80">
      <c r="A80" s="63" t="inlineStr">
        <is>
          <t xml:space="preserve">centre (b)</t>
        </is>
      </c>
      <c r="C80" s="146">
        <v>2</v>
      </c>
      <c r="D80" s="145" t="str">
        <f>$A$65</f>
        <v>S₂</v>
      </c>
      <c r="E80" s="144">
        <v>0</v>
      </c>
      <c r="F80" s="144">
        <v>0</v>
      </c>
      <c r="Z80" s="146">
        <v>16</v>
      </c>
      <c r="AA80" s="144">
        <f>'ERDR Characteristics'!$D$6/$B$5*$L$21</f>
        <v>-0.413918579248365</v>
      </c>
      <c r="AB80" s="144">
        <f>'ERDR Characteristics'!$D$6/$B$5*$M$21</f>
        <v>-0.716928009454893</v>
      </c>
      <c r="AC80" s="144">
        <f>'ERDR Characteristics'!$H$6/$B$5*$L$21</f>
        <v>-0.352921909870947</v>
      </c>
      <c r="AD80" s="144">
        <f>'ERDR Characteristics'!$H$6/$B$5*$M$21</f>
        <v>-0.611278679000724</v>
      </c>
    </row>
    <row r="81">
      <c r="A81" s="63" t="inlineStr">
        <is>
          <t xml:space="preserve">caption, top left (r)</t>
        </is>
      </c>
      <c r="D81" s="145" t="str">
        <f>"g = "&amp;'ERDR Characteristics'!$E$6&amp;"  ·  d = "&amp;TEXT('ERDR Characteristics'!$J$6,"0.000")</f>
        <v>g = 4  ·  d = 0.080</v>
      </c>
      <c r="E81" s="144">
        <v>-1.2</v>
      </c>
      <c r="F81" s="144">
        <v>1.18</v>
      </c>
      <c r="Z81" s="146">
        <v>17</v>
      </c>
      <c r="AA81" s="144">
        <f>'ERDR Characteristics'!$D$6/$B$5*$L$22</f>
        <v>-0.214260022862508</v>
      </c>
      <c r="AB81" s="144">
        <f>'ERDR Characteristics'!$D$6/$B$5*$M$22</f>
        <v>-0.799629291353748</v>
      </c>
      <c r="AC81" s="144">
        <f>'ERDR Characteristics'!$H$6/$B$5*$L$22</f>
        <v>-0.182685823417113</v>
      </c>
      <c r="AD81" s="144">
        <f>'ERDR Characteristics'!$H$6/$B$5*$M$22</f>
        <v>-0.681792774815221</v>
      </c>
    </row>
    <row r="82">
      <c r="A82" s="63" t="inlineStr">
        <is>
          <t xml:space="preserve">caption, top right (l)</t>
        </is>
      </c>
      <c r="D82" s="145" t="str">
        <f>"class "&amp;'Dataset'!$P$6&amp;"  ·  queue "&amp;'ERDR Characteristics'!$K$6</f>
        <v>class 2  ·  queue 4</v>
      </c>
      <c r="E82" s="144">
        <v>1.2</v>
      </c>
      <c r="F82" s="144">
        <v>1.18</v>
      </c>
      <c r="Z82" s="146">
        <v>18</v>
      </c>
      <c r="AA82" s="144">
        <f>'ERDR Characteristics'!$D$6/$B$5*$L$23</f>
        <v>-1.52071218955239e-16</v>
      </c>
      <c r="AB82" s="144">
        <f>'ERDR Characteristics'!$D$6/$B$5*$M$23</f>
        <v>-0.82783715849673</v>
      </c>
      <c r="AC82" s="144">
        <f>'ERDR Characteristics'!$H$6/$B$5*$L$23</f>
        <v>-1.29661406181728e-16</v>
      </c>
      <c r="AD82" s="144">
        <f>'ERDR Characteristics'!$H$6/$B$5*$M$23</f>
        <v>-0.705843819741894</v>
      </c>
    </row>
    <row r="83">
      <c r="Z83" s="146">
        <v>19</v>
      </c>
      <c r="AA83" s="144">
        <f>'ERDR Characteristics'!$D$6/$B$5*$L$24</f>
        <v>0.214260022862507</v>
      </c>
      <c r="AB83" s="144">
        <f>'ERDR Characteristics'!$D$6/$B$5*$M$24</f>
        <v>-0.799629291353748</v>
      </c>
      <c r="AC83" s="144">
        <f>'ERDR Characteristics'!$H$6/$B$5*$L$24</f>
        <v>0.182685823417112</v>
      </c>
      <c r="AD83" s="144">
        <f>'ERDR Characteristics'!$H$6/$B$5*$M$24</f>
        <v>-0.681792774815221</v>
      </c>
    </row>
    <row r="84">
      <c r="Z84" s="146">
        <v>20</v>
      </c>
      <c r="AA84" s="144">
        <f>'ERDR Characteristics'!$D$6/$B$5*$L$25</f>
        <v>0.413918579248365</v>
      </c>
      <c r="AB84" s="144">
        <f>'ERDR Characteristics'!$D$6/$B$5*$M$25</f>
        <v>-0.716928009454893</v>
      </c>
      <c r="AC84" s="144">
        <f>'ERDR Characteristics'!$H$6/$B$5*$L$25</f>
        <v>0.352921909870947</v>
      </c>
      <c r="AD84" s="144">
        <f>'ERDR Characteristics'!$H$6/$B$5*$M$25</f>
        <v>-0.611278679000724</v>
      </c>
    </row>
    <row r="85">
      <c r="Z85" s="146">
        <v>21</v>
      </c>
      <c r="AA85" s="144">
        <f>'ERDR Characteristics'!$D$6/$B$5*$L$26</f>
        <v>0.58536926849124</v>
      </c>
      <c r="AB85" s="144">
        <f>'ERDR Characteristics'!$D$6/$B$5*$M$26</f>
        <v>-0.585369268491241</v>
      </c>
      <c r="AC85" s="144">
        <f>'ERDR Characteristics'!$H$6/$B$5*$L$26</f>
        <v>0.499106951398108</v>
      </c>
      <c r="AD85" s="144">
        <f>'ERDR Characteristics'!$H$6/$B$5*$M$26</f>
        <v>-0.499106951398108</v>
      </c>
    </row>
    <row r="86">
      <c r="Z86" s="146">
        <v>22</v>
      </c>
      <c r="AA86" s="144">
        <f>'ERDR Characteristics'!$D$6/$B$5*$L$27</f>
        <v>0.716928009454893</v>
      </c>
      <c r="AB86" s="144">
        <f>'ERDR Characteristics'!$D$6/$B$5*$M$27</f>
        <v>-0.413918579248365</v>
      </c>
      <c r="AC86" s="144">
        <f>'ERDR Characteristics'!$H$6/$B$5*$L$27</f>
        <v>0.611278679000724</v>
      </c>
      <c r="AD86" s="144">
        <f>'ERDR Characteristics'!$H$6/$B$5*$M$27</f>
        <v>-0.352921909870947</v>
      </c>
    </row>
    <row r="87">
      <c r="Z87" s="146">
        <v>23</v>
      </c>
      <c r="AA87" s="144">
        <f>'ERDR Characteristics'!$D$6/$B$5*$L$28</f>
        <v>0.799629291353748</v>
      </c>
      <c r="AB87" s="144">
        <f>'ERDR Characteristics'!$D$6/$B$5*$M$28</f>
        <v>-0.214260022862508</v>
      </c>
      <c r="AC87" s="144">
        <f>'ERDR Characteristics'!$H$6/$B$5*$L$28</f>
        <v>0.681792774815221</v>
      </c>
      <c r="AD87" s="144">
        <f>'ERDR Characteristics'!$H$6/$B$5*$M$28</f>
        <v>-0.182685823417113</v>
      </c>
    </row>
    <row r="88">
      <c r="Z88" s="146">
        <v>24</v>
      </c>
      <c r="AA88" s="144">
        <f>'ERDR Characteristics'!$D$6/$B$5*$L$29</f>
        <v>0.82783715849673</v>
      </c>
      <c r="AB88" s="144">
        <f>'ERDR Characteristics'!$D$6/$B$5*$M$29</f>
        <v>-2.02761625273652e-16</v>
      </c>
      <c r="AC88" s="144">
        <f>'ERDR Characteristics'!$H$6/$B$5*$L$29</f>
        <v>0.705843819741894</v>
      </c>
      <c r="AD88" s="144">
        <f>'ERDR Characteristics'!$H$6/$B$5*$M$29</f>
        <v>-1.7288187490897e-16</v>
      </c>
    </row>
    <row r="89"/>
    <row r="90">
      <c r="A90" s="59" t="inlineStr">
        <is>
          <t xml:space="preserve">Object S₃ · radial diagram on “Hyperspheres (Step 1)” — centre S₃, neighbours at their true distance ρ, in neighbour order clockwise from the top</t>
        </is>
      </c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</row>
    <row r="91">
      <c r="A91" s="63" t="inlineStr">
        <is>
          <t xml:space="preserve">Chart title</t>
        </is>
      </c>
      <c r="B91" s="145" t="str">
        <f>"S₃ (class "&amp;'Dataset'!$P$7&amp;")  ·  g = "&amp;'ERDR Characteristics'!$E$7&amp;"  ·  d = "&amp;TEXT('ERDR Characteristics'!$J$7,"0.000")&amp;"  ·  queue "&amp;'ERDR Characteristics'!$K$7</f>
        <v>S₃ (class 1)  ·  g = 3  ·  d = 0.000  ·  queue 2</v>
      </c>
    </row>
    <row r="92" ht="30" customHeight="1">
      <c r="A92" s="147" t="inlineStr">
        <is>
          <t xml:space="preserve">Sⱼ</t>
        </is>
      </c>
      <c r="B92" s="147" t="inlineStr">
        <is>
          <t xml:space="preserve">Class</t>
        </is>
      </c>
      <c r="C92" s="147" t="inlineStr">
        <is>
          <t xml:space="preserve">Rank around Sᵢ (0 = centre)</t>
        </is>
      </c>
      <c r="D92" s="147" t="inlineStr">
        <is>
          <t xml:space="preserve">ρ(Sᵢ, Sⱼ)</t>
        </is>
      </c>
      <c r="E92" s="147" t="inlineStr">
        <is>
          <t xml:space="preserve">Angle θ</t>
        </is>
      </c>
      <c r="F92" s="147" t="inlineStr">
        <is>
          <t xml:space="preserve">x</t>
        </is>
      </c>
      <c r="G92" s="147" t="inlineStr">
        <is>
          <t xml:space="preserve">y</t>
        </is>
      </c>
      <c r="H92" s="147" t="inlineStr">
        <is>
          <t xml:space="preserve">Counted in g(Sᵢ)</t>
        </is>
      </c>
      <c r="I92" s="147" t="inlineStr">
        <is>
          <t xml:space="preserve">K1 counted · x</t>
        </is>
      </c>
      <c r="J92" s="147" t="inlineStr">
        <is>
          <t xml:space="preserve">y</t>
        </is>
      </c>
      <c r="K92" s="147" t="inlineStr">
        <is>
          <t xml:space="preserve">K1 not counted · x</t>
        </is>
      </c>
      <c r="L92" s="147" t="inlineStr">
        <is>
          <t xml:space="preserve">y</t>
        </is>
      </c>
      <c r="M92" s="147" t="inlineStr">
        <is>
          <t xml:space="preserve">K2 counted · x</t>
        </is>
      </c>
      <c r="N92" s="147" t="inlineStr">
        <is>
          <t xml:space="preserve">y</t>
        </is>
      </c>
      <c r="O92" s="147" t="inlineStr">
        <is>
          <t xml:space="preserve">K2 not counted · x</t>
        </is>
      </c>
      <c r="P92" s="147" t="inlineStr">
        <is>
          <t xml:space="preserve">y</t>
        </is>
      </c>
      <c r="Q92" s="147" t="inlineStr">
        <is>
          <t xml:space="preserve">Centre K1 · x</t>
        </is>
      </c>
      <c r="R92" s="147" t="inlineStr">
        <is>
          <t xml:space="preserve">y</t>
        </is>
      </c>
      <c r="S92" s="147" t="inlineStr">
        <is>
          <t xml:space="preserve">Centre K2 · x</t>
        </is>
      </c>
      <c r="T92" s="147" t="inlineStr">
        <is>
          <t xml:space="preserve">y</t>
        </is>
      </c>
      <c r="U92" s="147" t="inlineStr">
        <is>
          <t xml:space="preserve">Label text</t>
        </is>
      </c>
      <c r="Z92" s="147" t="inlineStr">
        <is>
          <t xml:space="preserve">k</t>
        </is>
      </c>
      <c r="AA92" s="147" t="inlineStr">
        <is>
          <t xml:space="preserve">r-sphere · x</t>
        </is>
      </c>
      <c r="AB92" s="147" t="inlineStr">
        <is>
          <t xml:space="preserve">y</t>
        </is>
      </c>
      <c r="AC92" s="147" t="inlineStr">
        <is>
          <t xml:space="preserve">k-sphere · x</t>
        </is>
      </c>
      <c r="AD92" s="147" t="inlineStr">
        <is>
          <t xml:space="preserve">y</t>
        </is>
      </c>
    </row>
    <row r="93">
      <c r="A93" s="62" t="inlineStr">
        <is>
          <t xml:space="preserve">S₁</t>
        </is>
      </c>
      <c r="B93" s="68">
        <f>'Dataset'!$P$5</f>
        <v>2</v>
      </c>
      <c r="C93" s="146">
        <f>'Sorted Neighbors'!B$7</f>
        <v>3</v>
      </c>
      <c r="D93" s="144">
        <f>'Zhuravlev Distances'!B$7</f>
        <v>5.60708061</v>
      </c>
      <c r="E93" s="144">
        <f>IF(C93=0,0,PI()/2-(C93-1)*$B$6)</f>
        <v>-0.523598775598299</v>
      </c>
      <c r="F93" s="144">
        <f>D93/$B$5*COS(E93)</f>
        <v>0.538137796905894</v>
      </c>
      <c r="G93" s="144">
        <f>D93/$B$5*SIN(E93)</f>
        <v>-0.31069400190473</v>
      </c>
      <c r="H93" s="146">
        <f>IF(AND(C93&gt;0,B93='Dataset'!$P$7,D93&lt;'ERDR Characteristics'!$D$7),1,0)</f>
        <v>0</v>
      </c>
      <c r="I93" s="144" t="e">
        <f>IF(AND(C93&gt;0,B93=1,H93=1),F93,NA())</f>
        <v>#N/A</v>
      </c>
      <c r="J93" s="144" t="e">
        <f>IF(AND(C93&gt;0,B93=1,H93=1),G93,NA())</f>
        <v>#N/A</v>
      </c>
      <c r="K93" s="144" t="e">
        <f>IF(AND(C93&gt;0,B93=1,H93=0),F93,NA())</f>
        <v>#N/A</v>
      </c>
      <c r="L93" s="144" t="e">
        <f>IF(AND(C93&gt;0,B93=1,H93=0),G93,NA())</f>
        <v>#N/A</v>
      </c>
      <c r="M93" s="144" t="e">
        <f>IF(AND(C93&gt;0,B93=2,H93=1),F93,NA())</f>
        <v>#N/A</v>
      </c>
      <c r="N93" s="144" t="e">
        <f>IF(AND(C93&gt;0,B93=2,H93=1),G93,NA())</f>
        <v>#N/A</v>
      </c>
      <c r="O93" s="144">
        <f>IF(AND(C93&gt;0,B93=2,H93=0),F93,NA())</f>
        <v>0.538137796905894</v>
      </c>
      <c r="P93" s="144">
        <f>IF(AND(C93&gt;0,B93=2,H93=0),G93,NA())</f>
        <v>-0.31069400190473</v>
      </c>
      <c r="Q93" s="144" t="e">
        <f>IF(AND(C93=0,B93=1),0,NA())</f>
        <v>#N/A</v>
      </c>
      <c r="R93" s="144" t="e">
        <f>IF(AND(C93=0,B93=1),0,NA())</f>
        <v>#N/A</v>
      </c>
      <c r="S93" s="144" t="e">
        <f>IF(AND(C93=0,B93=2),0,NA())</f>
        <v>#N/A</v>
      </c>
      <c r="T93" s="144" t="e">
        <f>IF(AND(C93=0,B93=2),0,NA())</f>
        <v>#N/A</v>
      </c>
      <c r="U93" s="145" t="str">
        <f>IF(C93=0,A93,A93&amp;"  "&amp;TEXT(D93,"0.00")&amp;IF(C93='ERDR Characteristics'!$F$7,IF(C93=$B$9," (r, z)"," (r)"),IF(C93=$B$9," (z)","")))</f>
        <v>S₁  5.61 (r, z)</v>
      </c>
      <c r="Z93" s="146">
        <v>0</v>
      </c>
      <c r="AA93" s="144">
        <f>'ERDR Characteristics'!$D$7/$B$5*$L$5</f>
        <v>0.62138800380946</v>
      </c>
      <c r="AB93" s="144">
        <f>'ERDR Characteristics'!$D$7/$B$5*$M$5</f>
        <v>0</v>
      </c>
      <c r="AC93" s="144">
        <f>'ERDR Characteristics'!$H$7/$B$5*$L$5</f>
        <v>0.62138800380946</v>
      </c>
      <c r="AD93" s="144">
        <f>'ERDR Characteristics'!$H$7/$B$5*$M$5</f>
        <v>0</v>
      </c>
    </row>
    <row r="94">
      <c r="A94" s="62" t="inlineStr">
        <is>
          <t xml:space="preserve">S₂</t>
        </is>
      </c>
      <c r="B94" s="68">
        <f>'Dataset'!$P$6</f>
        <v>2</v>
      </c>
      <c r="C94" s="146">
        <f>'Sorted Neighbors'!C$7</f>
        <v>6</v>
      </c>
      <c r="D94" s="144">
        <f>'Zhuravlev Distances'!C$7</f>
        <v>7.4699698919</v>
      </c>
      <c r="E94" s="144">
        <f>IF(C94=0,0,PI()/2-(C94-1)*$B$6)</f>
        <v>-3.66519142918809</v>
      </c>
      <c r="F94" s="144">
        <f>D94/$B$5*COS(E94)</f>
        <v>-0.716928009454893</v>
      </c>
      <c r="G94" s="144">
        <f>D94/$B$5*SIN(E94)</f>
        <v>0.413918579248365</v>
      </c>
      <c r="H94" s="146">
        <f>IF(AND(C94&gt;0,B94='Dataset'!$P$7,D94&lt;'ERDR Characteristics'!$D$7),1,0)</f>
        <v>0</v>
      </c>
      <c r="I94" s="144" t="e">
        <f>IF(AND(C94&gt;0,B94=1,H94=1),F94,NA())</f>
        <v>#N/A</v>
      </c>
      <c r="J94" s="144" t="e">
        <f>IF(AND(C94&gt;0,B94=1,H94=1),G94,NA())</f>
        <v>#N/A</v>
      </c>
      <c r="K94" s="144" t="e">
        <f>IF(AND(C94&gt;0,B94=1,H94=0),F94,NA())</f>
        <v>#N/A</v>
      </c>
      <c r="L94" s="144" t="e">
        <f>IF(AND(C94&gt;0,B94=1,H94=0),G94,NA())</f>
        <v>#N/A</v>
      </c>
      <c r="M94" s="144" t="e">
        <f>IF(AND(C94&gt;0,B94=2,H94=1),F94,NA())</f>
        <v>#N/A</v>
      </c>
      <c r="N94" s="144" t="e">
        <f>IF(AND(C94&gt;0,B94=2,H94=1),G94,NA())</f>
        <v>#N/A</v>
      </c>
      <c r="O94" s="144">
        <f>IF(AND(C94&gt;0,B94=2,H94=0),F94,NA())</f>
        <v>-0.716928009454893</v>
      </c>
      <c r="P94" s="144">
        <f>IF(AND(C94&gt;0,B94=2,H94=0),G94,NA())</f>
        <v>0.413918579248365</v>
      </c>
      <c r="Q94" s="144" t="e">
        <f>IF(AND(C94=0,B94=1),0,NA())</f>
        <v>#N/A</v>
      </c>
      <c r="R94" s="144" t="e">
        <f>IF(AND(C94=0,B94=1),0,NA())</f>
        <v>#N/A</v>
      </c>
      <c r="S94" s="144" t="e">
        <f>IF(AND(C94=0,B94=2),0,NA())</f>
        <v>#N/A</v>
      </c>
      <c r="T94" s="144" t="e">
        <f>IF(AND(C94=0,B94=2),0,NA())</f>
        <v>#N/A</v>
      </c>
      <c r="U94" s="145" t="str">
        <f>IF(C94=0,A94,A94&amp;"  "&amp;TEXT(D94,"0.00")&amp;IF(C94='ERDR Characteristics'!$F$7,IF(C94=$B$9," (r, z)"," (r)"),IF(C94=$B$9," (z)","")))</f>
        <v>S₂  7.47</v>
      </c>
      <c r="Z94" s="146">
        <v>1</v>
      </c>
      <c r="AA94" s="144">
        <f>'ERDR Characteristics'!$D$7/$B$5*$L$6</f>
        <v>0.600214721025768</v>
      </c>
      <c r="AB94" s="144">
        <f>'ERDR Characteristics'!$D$7/$B$5*$M$6</f>
        <v>0.160827049784126</v>
      </c>
      <c r="AC94" s="144">
        <f>'ERDR Characteristics'!$H$7/$B$5*$L$6</f>
        <v>0.600214721025768</v>
      </c>
      <c r="AD94" s="144">
        <f>'ERDR Characteristics'!$H$7/$B$5*$M$6</f>
        <v>0.160827049784126</v>
      </c>
    </row>
    <row r="95">
      <c r="A95" s="62" t="inlineStr">
        <is>
          <t xml:space="preserve">S₃</t>
        </is>
      </c>
      <c r="B95" s="68">
        <f>'Dataset'!$P$7</f>
        <v>1</v>
      </c>
      <c r="C95" s="146">
        <v>0</v>
      </c>
      <c r="D95" s="144">
        <f>'Zhuravlev Distances'!D$7</f>
        <v>0</v>
      </c>
      <c r="E95" s="144">
        <f>IF(C95=0,0,PI()/2-(C95-1)*$B$6)</f>
        <v>0</v>
      </c>
      <c r="F95" s="144">
        <f>D95/$B$5*COS(E95)</f>
        <v>0</v>
      </c>
      <c r="G95" s="144">
        <f>D95/$B$5*SIN(E95)</f>
        <v>0</v>
      </c>
      <c r="H95" s="146">
        <f>IF(AND(C95&gt;0,B95='Dataset'!$P$7,D95&lt;'ERDR Characteristics'!$D$7),1,0)</f>
        <v>0</v>
      </c>
      <c r="I95" s="144" t="e">
        <f>IF(AND(C95&gt;0,B95=1,H95=1),F95,NA())</f>
        <v>#N/A</v>
      </c>
      <c r="J95" s="144" t="e">
        <f>IF(AND(C95&gt;0,B95=1,H95=1),G95,NA())</f>
        <v>#N/A</v>
      </c>
      <c r="K95" s="144" t="e">
        <f>IF(AND(C95&gt;0,B95=1,H95=0),F95,NA())</f>
        <v>#N/A</v>
      </c>
      <c r="L95" s="144" t="e">
        <f>IF(AND(C95&gt;0,B95=1,H95=0),G95,NA())</f>
        <v>#N/A</v>
      </c>
      <c r="M95" s="144" t="e">
        <f>IF(AND(C95&gt;0,B95=2,H95=1),F95,NA())</f>
        <v>#N/A</v>
      </c>
      <c r="N95" s="144" t="e">
        <f>IF(AND(C95&gt;0,B95=2,H95=1),G95,NA())</f>
        <v>#N/A</v>
      </c>
      <c r="O95" s="144" t="e">
        <f>IF(AND(C95&gt;0,B95=2,H95=0),F95,NA())</f>
        <v>#N/A</v>
      </c>
      <c r="P95" s="144" t="e">
        <f>IF(AND(C95&gt;0,B95=2,H95=0),G95,NA())</f>
        <v>#N/A</v>
      </c>
      <c r="Q95" s="144">
        <f>IF(AND(C95=0,B95=1),0,NA())</f>
        <v>0</v>
      </c>
      <c r="R95" s="144">
        <f>IF(AND(C95=0,B95=1),0,NA())</f>
        <v>0</v>
      </c>
      <c r="S95" s="144" t="e">
        <f>IF(AND(C95=0,B95=2),0,NA())</f>
        <v>#N/A</v>
      </c>
      <c r="T95" s="144" t="e">
        <f>IF(AND(C95=0,B95=2),0,NA())</f>
        <v>#N/A</v>
      </c>
      <c r="U95" s="145" t="str">
        <f>IF(C95=0,A95,A95&amp;"  "&amp;TEXT(D95,"0.00")&amp;IF(C95='ERDR Characteristics'!$F$7,IF(C95=$B$9," (r, z)"," (r)"),IF(C95=$B$9," (z)","")))</f>
        <v>S₃</v>
      </c>
      <c r="Z95" s="146">
        <v>2</v>
      </c>
      <c r="AA95" s="144">
        <f>'ERDR Characteristics'!$D$7/$B$5*$L$7</f>
        <v>0.538137796905894</v>
      </c>
      <c r="AB95" s="144">
        <f>'ERDR Characteristics'!$D$7/$B$5*$M$7</f>
        <v>0.31069400190473</v>
      </c>
      <c r="AC95" s="144">
        <f>'ERDR Characteristics'!$H$7/$B$5*$L$7</f>
        <v>0.538137796905894</v>
      </c>
      <c r="AD95" s="144">
        <f>'ERDR Characteristics'!$H$7/$B$5*$M$7</f>
        <v>0.31069400190473</v>
      </c>
    </row>
    <row r="96">
      <c r="A96" s="62" t="inlineStr">
        <is>
          <t xml:space="preserve">S₄</t>
        </is>
      </c>
      <c r="B96" s="68">
        <f>'Dataset'!$P$8</f>
        <v>2</v>
      </c>
      <c r="C96" s="146">
        <f>'Sorted Neighbors'!E$7</f>
        <v>4</v>
      </c>
      <c r="D96" s="144">
        <f>'Zhuravlev Distances'!E$7</f>
        <v>6.2175670209</v>
      </c>
      <c r="E96" s="144">
        <f>IF(C96=0,0,PI()/2-(C96-1)*$B$6)</f>
        <v>-1.5707963267949</v>
      </c>
      <c r="F96" s="144">
        <f>D96/$B$5*COS(E96)</f>
        <v>4.21917361331187e-17</v>
      </c>
      <c r="G96" s="144">
        <f>D96/$B$5*SIN(E96)</f>
        <v>-0.689043341516823</v>
      </c>
      <c r="H96" s="146">
        <f>IF(AND(C96&gt;0,B96='Dataset'!$P$7,D96&lt;'ERDR Characteristics'!$D$7),1,0)</f>
        <v>0</v>
      </c>
      <c r="I96" s="144" t="e">
        <f>IF(AND(C96&gt;0,B96=1,H96=1),F96,NA())</f>
        <v>#N/A</v>
      </c>
      <c r="J96" s="144" t="e">
        <f>IF(AND(C96&gt;0,B96=1,H96=1),G96,NA())</f>
        <v>#N/A</v>
      </c>
      <c r="K96" s="144" t="e">
        <f>IF(AND(C96&gt;0,B96=1,H96=0),F96,NA())</f>
        <v>#N/A</v>
      </c>
      <c r="L96" s="144" t="e">
        <f>IF(AND(C96&gt;0,B96=1,H96=0),G96,NA())</f>
        <v>#N/A</v>
      </c>
      <c r="M96" s="144" t="e">
        <f>IF(AND(C96&gt;0,B96=2,H96=1),F96,NA())</f>
        <v>#N/A</v>
      </c>
      <c r="N96" s="144" t="e">
        <f>IF(AND(C96&gt;0,B96=2,H96=1),G96,NA())</f>
        <v>#N/A</v>
      </c>
      <c r="O96" s="144">
        <f>IF(AND(C96&gt;0,B96=2,H96=0),F96,NA())</f>
        <v>4.21917361331187e-17</v>
      </c>
      <c r="P96" s="144">
        <f>IF(AND(C96&gt;0,B96=2,H96=0),G96,NA())</f>
        <v>-0.689043341516823</v>
      </c>
      <c r="Q96" s="144" t="e">
        <f>IF(AND(C96=0,B96=1),0,NA())</f>
        <v>#N/A</v>
      </c>
      <c r="R96" s="144" t="e">
        <f>IF(AND(C96=0,B96=1),0,NA())</f>
        <v>#N/A</v>
      </c>
      <c r="S96" s="144" t="e">
        <f>IF(AND(C96=0,B96=2),0,NA())</f>
        <v>#N/A</v>
      </c>
      <c r="T96" s="144" t="e">
        <f>IF(AND(C96=0,B96=2),0,NA())</f>
        <v>#N/A</v>
      </c>
      <c r="U96" s="145" t="str">
        <f>IF(C96=0,A96,A96&amp;"  "&amp;TEXT(D96,"0.00")&amp;IF(C96='ERDR Characteristics'!$F$7,IF(C96=$B$9," (r, z)"," (r)"),IF(C96=$B$9," (z)","")))</f>
        <v>S₄  6.22</v>
      </c>
      <c r="Z96" s="146">
        <v>3</v>
      </c>
      <c r="AA96" s="144">
        <f>'ERDR Characteristics'!$D$7/$B$5*$L$8</f>
        <v>0.439387671241642</v>
      </c>
      <c r="AB96" s="144">
        <f>'ERDR Characteristics'!$D$7/$B$5*$M$8</f>
        <v>0.439387671241642</v>
      </c>
      <c r="AC96" s="144">
        <f>'ERDR Characteristics'!$H$7/$B$5*$L$8</f>
        <v>0.439387671241642</v>
      </c>
      <c r="AD96" s="144">
        <f>'ERDR Characteristics'!$H$7/$B$5*$M$8</f>
        <v>0.439387671241642</v>
      </c>
    </row>
    <row r="97">
      <c r="A97" s="62" t="inlineStr">
        <is>
          <t xml:space="preserve">S₅</t>
        </is>
      </c>
      <c r="B97" s="68">
        <f>'Dataset'!$P$9</f>
        <v>2</v>
      </c>
      <c r="C97" s="146">
        <f>'Sorted Neighbors'!F$7</f>
        <v>5</v>
      </c>
      <c r="D97" s="144">
        <f>'Zhuravlev Distances'!F$7</f>
        <v>7.3117496807</v>
      </c>
      <c r="E97" s="144">
        <f>IF(C97=0,0,PI()/2-(C97-1)*$B$6)</f>
        <v>-2.61799387799149</v>
      </c>
      <c r="F97" s="144">
        <f>D97/$B$5*COS(E97)</f>
        <v>-0.70174287447943</v>
      </c>
      <c r="G97" s="144">
        <f>D97/$B$5*SIN(E97)</f>
        <v>-0.405151437482601</v>
      </c>
      <c r="H97" s="146">
        <f>IF(AND(C97&gt;0,B97='Dataset'!$P$7,D97&lt;'ERDR Characteristics'!$D$7),1,0)</f>
        <v>0</v>
      </c>
      <c r="I97" s="144" t="e">
        <f>IF(AND(C97&gt;0,B97=1,H97=1),F97,NA())</f>
        <v>#N/A</v>
      </c>
      <c r="J97" s="144" t="e">
        <f>IF(AND(C97&gt;0,B97=1,H97=1),G97,NA())</f>
        <v>#N/A</v>
      </c>
      <c r="K97" s="144" t="e">
        <f>IF(AND(C97&gt;0,B97=1,H97=0),F97,NA())</f>
        <v>#N/A</v>
      </c>
      <c r="L97" s="144" t="e">
        <f>IF(AND(C97&gt;0,B97=1,H97=0),G97,NA())</f>
        <v>#N/A</v>
      </c>
      <c r="M97" s="144" t="e">
        <f>IF(AND(C97&gt;0,B97=2,H97=1),F97,NA())</f>
        <v>#N/A</v>
      </c>
      <c r="N97" s="144" t="e">
        <f>IF(AND(C97&gt;0,B97=2,H97=1),G97,NA())</f>
        <v>#N/A</v>
      </c>
      <c r="O97" s="144">
        <f>IF(AND(C97&gt;0,B97=2,H97=0),F97,NA())</f>
        <v>-0.70174287447943</v>
      </c>
      <c r="P97" s="144">
        <f>IF(AND(C97&gt;0,B97=2,H97=0),G97,NA())</f>
        <v>-0.405151437482601</v>
      </c>
      <c r="Q97" s="144" t="e">
        <f>IF(AND(C97=0,B97=1),0,NA())</f>
        <v>#N/A</v>
      </c>
      <c r="R97" s="144" t="e">
        <f>IF(AND(C97=0,B97=1),0,NA())</f>
        <v>#N/A</v>
      </c>
      <c r="S97" s="144" t="e">
        <f>IF(AND(C97=0,B97=2),0,NA())</f>
        <v>#N/A</v>
      </c>
      <c r="T97" s="144" t="e">
        <f>IF(AND(C97=0,B97=2),0,NA())</f>
        <v>#N/A</v>
      </c>
      <c r="U97" s="145" t="str">
        <f>IF(C97=0,A97,A97&amp;"  "&amp;TEXT(D97,"0.00")&amp;IF(C97='ERDR Characteristics'!$F$7,IF(C97=$B$9," (r, z)"," (r)"),IF(C97=$B$9," (z)","")))</f>
        <v>S₅  7.31</v>
      </c>
      <c r="Z97" s="146">
        <v>4</v>
      </c>
      <c r="AA97" s="144">
        <f>'ERDR Characteristics'!$D$7/$B$5*$L$9</f>
        <v>0.31069400190473</v>
      </c>
      <c r="AB97" s="144">
        <f>'ERDR Characteristics'!$D$7/$B$5*$M$9</f>
        <v>0.538137796905894</v>
      </c>
      <c r="AC97" s="144">
        <f>'ERDR Characteristics'!$H$7/$B$5*$L$9</f>
        <v>0.31069400190473</v>
      </c>
      <c r="AD97" s="144">
        <f>'ERDR Characteristics'!$H$7/$B$5*$M$9</f>
        <v>0.538137796905894</v>
      </c>
    </row>
    <row r="98">
      <c r="A98" s="62" t="inlineStr">
        <is>
          <t xml:space="preserve">S₆</t>
        </is>
      </c>
      <c r="B98" s="68">
        <f>'Dataset'!$P$10</f>
        <v>1</v>
      </c>
      <c r="C98" s="146">
        <f>'Sorted Neighbors'!G$7</f>
        <v>2</v>
      </c>
      <c r="D98" s="144">
        <f>'Zhuravlev Distances'!G$7</f>
        <v>5.2172783643</v>
      </c>
      <c r="E98" s="144">
        <f>IF(C98=0,0,PI()/2-(C98-1)*$B$6)</f>
        <v>0.523598775598299</v>
      </c>
      <c r="F98" s="144">
        <f>D98/$B$5*COS(E98)</f>
        <v>0.500726649051901</v>
      </c>
      <c r="G98" s="144">
        <f>D98/$B$5*SIN(E98)</f>
        <v>0.289094665620534</v>
      </c>
      <c r="H98" s="146">
        <f>IF(AND(C98&gt;0,B98='Dataset'!$P$7,D98&lt;'ERDR Characteristics'!$D$7),1,0)</f>
        <v>1</v>
      </c>
      <c r="I98" s="144">
        <f>IF(AND(C98&gt;0,B98=1,H98=1),F98,NA())</f>
        <v>0.500726649051901</v>
      </c>
      <c r="J98" s="144">
        <f>IF(AND(C98&gt;0,B98=1,H98=1),G98,NA())</f>
        <v>0.289094665620534</v>
      </c>
      <c r="K98" s="144" t="e">
        <f>IF(AND(C98&gt;0,B98=1,H98=0),F98,NA())</f>
        <v>#N/A</v>
      </c>
      <c r="L98" s="144" t="e">
        <f>IF(AND(C98&gt;0,B98=1,H98=0),G98,NA())</f>
        <v>#N/A</v>
      </c>
      <c r="M98" s="144" t="e">
        <f>IF(AND(C98&gt;0,B98=2,H98=1),F98,NA())</f>
        <v>#N/A</v>
      </c>
      <c r="N98" s="144" t="e">
        <f>IF(AND(C98&gt;0,B98=2,H98=1),G98,NA())</f>
        <v>#N/A</v>
      </c>
      <c r="O98" s="144" t="e">
        <f>IF(AND(C98&gt;0,B98=2,H98=0),F98,NA())</f>
        <v>#N/A</v>
      </c>
      <c r="P98" s="144" t="e">
        <f>IF(AND(C98&gt;0,B98=2,H98=0),G98,NA())</f>
        <v>#N/A</v>
      </c>
      <c r="Q98" s="144" t="e">
        <f>IF(AND(C98=0,B98=1),0,NA())</f>
        <v>#N/A</v>
      </c>
      <c r="R98" s="144" t="e">
        <f>IF(AND(C98=0,B98=1),0,NA())</f>
        <v>#N/A</v>
      </c>
      <c r="S98" s="144" t="e">
        <f>IF(AND(C98=0,B98=2),0,NA())</f>
        <v>#N/A</v>
      </c>
      <c r="T98" s="144" t="e">
        <f>IF(AND(C98=0,B98=2),0,NA())</f>
        <v>#N/A</v>
      </c>
      <c r="U98" s="145" t="str">
        <f>IF(C98=0,A98,A98&amp;"  "&amp;TEXT(D98,"0.00")&amp;IF(C98='ERDR Characteristics'!$F$7,IF(C98=$B$9," (r, z)"," (r)"),IF(C98=$B$9," (z)","")))</f>
        <v>S₆  5.22</v>
      </c>
      <c r="Z98" s="146">
        <v>5</v>
      </c>
      <c r="AA98" s="144">
        <f>'ERDR Characteristics'!$D$7/$B$5*$L$10</f>
        <v>0.160827049784126</v>
      </c>
      <c r="AB98" s="144">
        <f>'ERDR Characteristics'!$D$7/$B$5*$M$10</f>
        <v>0.600214721025768</v>
      </c>
      <c r="AC98" s="144">
        <f>'ERDR Characteristics'!$H$7/$B$5*$L$10</f>
        <v>0.160827049784126</v>
      </c>
      <c r="AD98" s="144">
        <f>'ERDR Characteristics'!$H$7/$B$5*$M$10</f>
        <v>0.600214721025768</v>
      </c>
    </row>
    <row r="99">
      <c r="A99" s="62" t="inlineStr">
        <is>
          <t xml:space="preserve">S₇</t>
        </is>
      </c>
      <c r="B99" s="68">
        <f>'Dataset'!$P$11</f>
        <v>1</v>
      </c>
      <c r="C99" s="146">
        <f>'Sorted Neighbors'!H$7</f>
        <v>1</v>
      </c>
      <c r="D99" s="144">
        <f>'Zhuravlev Distances'!H$7</f>
        <v>2.7849754107</v>
      </c>
      <c r="E99" s="144">
        <f>IF(C99=0,0,PI()/2-(C99-1)*$B$6)</f>
        <v>1.5707963267949</v>
      </c>
      <c r="F99" s="144">
        <f>D99/$B$5*COS(E99)</f>
        <v>1.8898541386124e-17</v>
      </c>
      <c r="G99" s="144">
        <f>D99/$B$5*SIN(E99)</f>
        <v>0.308636602803059</v>
      </c>
      <c r="H99" s="146">
        <f>IF(AND(C99&gt;0,B99='Dataset'!$P$7,D99&lt;'ERDR Characteristics'!$D$7),1,0)</f>
        <v>1</v>
      </c>
      <c r="I99" s="144">
        <f>IF(AND(C99&gt;0,B99=1,H99=1),F99,NA())</f>
        <v>1.8898541386124e-17</v>
      </c>
      <c r="J99" s="144">
        <f>IF(AND(C99&gt;0,B99=1,H99=1),G99,NA())</f>
        <v>0.308636602803059</v>
      </c>
      <c r="K99" s="144" t="e">
        <f>IF(AND(C99&gt;0,B99=1,H99=0),F99,NA())</f>
        <v>#N/A</v>
      </c>
      <c r="L99" s="144" t="e">
        <f>IF(AND(C99&gt;0,B99=1,H99=0),G99,NA())</f>
        <v>#N/A</v>
      </c>
      <c r="M99" s="144" t="e">
        <f>IF(AND(C99&gt;0,B99=2,H99=1),F99,NA())</f>
        <v>#N/A</v>
      </c>
      <c r="N99" s="144" t="e">
        <f>IF(AND(C99&gt;0,B99=2,H99=1),G99,NA())</f>
        <v>#N/A</v>
      </c>
      <c r="O99" s="144" t="e">
        <f>IF(AND(C99&gt;0,B99=2,H99=0),F99,NA())</f>
        <v>#N/A</v>
      </c>
      <c r="P99" s="144" t="e">
        <f>IF(AND(C99&gt;0,B99=2,H99=0),G99,NA())</f>
        <v>#N/A</v>
      </c>
      <c r="Q99" s="144" t="e">
        <f>IF(AND(C99=0,B99=1),0,NA())</f>
        <v>#N/A</v>
      </c>
      <c r="R99" s="144" t="e">
        <f>IF(AND(C99=0,B99=1),0,NA())</f>
        <v>#N/A</v>
      </c>
      <c r="S99" s="144" t="e">
        <f>IF(AND(C99=0,B99=2),0,NA())</f>
        <v>#N/A</v>
      </c>
      <c r="T99" s="144" t="e">
        <f>IF(AND(C99=0,B99=2),0,NA())</f>
        <v>#N/A</v>
      </c>
      <c r="U99" s="145" t="str">
        <f>IF(C99=0,A99,A99&amp;"  "&amp;TEXT(D99,"0.00")&amp;IF(C99='ERDR Characteristics'!$F$7,IF(C99=$B$9," (r, z)"," (r)"),IF(C99=$B$9," (z)","")))</f>
        <v>S₇  2.78</v>
      </c>
      <c r="Z99" s="146">
        <v>6</v>
      </c>
      <c r="AA99" s="144">
        <f>'ERDR Characteristics'!$D$7/$B$5*$L$11</f>
        <v>3.8049041494691e-17</v>
      </c>
      <c r="AB99" s="144">
        <f>'ERDR Characteristics'!$D$7/$B$5*$M$11</f>
        <v>0.62138800380946</v>
      </c>
      <c r="AC99" s="144">
        <f>'ERDR Characteristics'!$H$7/$B$5*$L$11</f>
        <v>3.8049041494691e-17</v>
      </c>
      <c r="AD99" s="144">
        <f>'ERDR Characteristics'!$H$7/$B$5*$M$11</f>
        <v>0.62138800380946</v>
      </c>
    </row>
    <row r="100">
      <c r="A100" s="63" t="inlineStr">
        <is>
          <t xml:space="preserve">r label</t>
        </is>
      </c>
      <c r="U100" s="145" t="str">
        <f>"r = "&amp;TEXT('ERDR Characteristics'!$D$7,"0.00")</f>
        <v>r = 5.61</v>
      </c>
      <c r="V100" s="144">
        <f>'ERDR Characteristics'!$D$7/$B$5</f>
        <v>0.62138800380946</v>
      </c>
      <c r="W100" s="144">
        <v>0</v>
      </c>
      <c r="Z100" s="146">
        <v>7</v>
      </c>
      <c r="AA100" s="144">
        <f>'ERDR Characteristics'!$D$7/$B$5*$L$12</f>
        <v>-0.160827049784126</v>
      </c>
      <c r="AB100" s="144">
        <f>'ERDR Characteristics'!$D$7/$B$5*$M$12</f>
        <v>0.600214721025768</v>
      </c>
      <c r="AC100" s="144">
        <f>'ERDR Characteristics'!$H$7/$B$5*$L$12</f>
        <v>-0.160827049784126</v>
      </c>
      <c r="AD100" s="144">
        <f>'ERDR Characteristics'!$H$7/$B$5*$M$12</f>
        <v>0.600214721025768</v>
      </c>
    </row>
    <row r="101">
      <c r="A101" s="63" t="inlineStr">
        <is>
          <t xml:space="preserve">z label</t>
        </is>
      </c>
      <c r="U101" s="145" t="str">
        <f>"z = "&amp;TEXT('ERDR Characteristics'!$H$7,"0.00")</f>
        <v>z = 5.61</v>
      </c>
      <c r="V101" s="144">
        <f>-'ERDR Characteristics'!$H$7/$B$5</f>
        <v>-0.62138800380946</v>
      </c>
      <c r="W101" s="144">
        <v>0</v>
      </c>
      <c r="Z101" s="146">
        <v>8</v>
      </c>
      <c r="AA101" s="144">
        <f>'ERDR Characteristics'!$D$7/$B$5*$L$13</f>
        <v>-0.31069400190473</v>
      </c>
      <c r="AB101" s="144">
        <f>'ERDR Characteristics'!$D$7/$B$5*$M$13</f>
        <v>0.538137796905894</v>
      </c>
      <c r="AC101" s="144">
        <f>'ERDR Characteristics'!$H$7/$B$5*$L$13</f>
        <v>-0.31069400190473</v>
      </c>
      <c r="AD101" s="144">
        <f>'ERDR Characteristics'!$H$7/$B$5*$M$13</f>
        <v>0.538137796905894</v>
      </c>
    </row>
    <row r="102">
      <c r="A102" s="147" t="inlineStr">
        <is>
          <t xml:space="preserve">Label slot</t>
        </is>
      </c>
      <c r="B102" s="147" t="inlineStr">
        <is>
          <t xml:space="preserve">Rank t</t>
        </is>
      </c>
      <c r="C102" s="147" t="inlineStr">
        <is>
          <t xml:space="preserve">Object</t>
        </is>
      </c>
      <c r="D102" s="147" t="inlineStr">
        <is>
          <t xml:space="preserve">Label</t>
        </is>
      </c>
      <c r="E102" s="147" t="inlineStr">
        <is>
          <t xml:space="preserve">x</t>
        </is>
      </c>
      <c r="F102" s="147" t="inlineStr">
        <is>
          <t xml:space="preserve">y</t>
        </is>
      </c>
      <c r="Z102" s="146">
        <v>9</v>
      </c>
      <c r="AA102" s="144">
        <f>'ERDR Characteristics'!$D$7/$B$5*$L$14</f>
        <v>-0.439387671241642</v>
      </c>
      <c r="AB102" s="144">
        <f>'ERDR Characteristics'!$D$7/$B$5*$M$14</f>
        <v>0.439387671241642</v>
      </c>
      <c r="AC102" s="144">
        <f>'ERDR Characteristics'!$H$7/$B$5*$L$14</f>
        <v>-0.439387671241642</v>
      </c>
      <c r="AD102" s="144">
        <f>'ERDR Characteristics'!$H$7/$B$5*$M$14</f>
        <v>0.439387671241642</v>
      </c>
    </row>
    <row r="103">
      <c r="A103" s="63" t="inlineStr">
        <is>
          <t xml:space="preserve">slot 1 (t)</t>
        </is>
      </c>
      <c r="B103" s="146">
        <v>1</v>
      </c>
      <c r="C103" s="146">
        <f>IFERROR(MATCH(B103,$C$93:$C$99,0),NA())</f>
        <v>7</v>
      </c>
      <c r="D103" s="145" t="str">
        <f>IFERROR(INDEX($U$93:$U$99,C103),"")</f>
        <v>S₇  2.78</v>
      </c>
      <c r="E103" s="144">
        <f>IFERROR(INDEX($F$93:$F$99,C103),NA())</f>
        <v>1.8898541386124e-17</v>
      </c>
      <c r="F103" s="144">
        <f>IFERROR(INDEX($G$93:$G$99,C103),NA())</f>
        <v>0.308636602803059</v>
      </c>
      <c r="Z103" s="146">
        <v>10</v>
      </c>
      <c r="AA103" s="144">
        <f>'ERDR Characteristics'!$D$7/$B$5*$L$15</f>
        <v>-0.538137796905894</v>
      </c>
      <c r="AB103" s="144">
        <f>'ERDR Characteristics'!$D$7/$B$5*$M$15</f>
        <v>0.31069400190473</v>
      </c>
      <c r="AC103" s="144">
        <f>'ERDR Characteristics'!$H$7/$B$5*$L$15</f>
        <v>-0.538137796905894</v>
      </c>
      <c r="AD103" s="144">
        <f>'ERDR Characteristics'!$H$7/$B$5*$M$15</f>
        <v>0.31069400190473</v>
      </c>
    </row>
    <row r="104">
      <c r="A104" s="63" t="inlineStr">
        <is>
          <t xml:space="preserve">slot 2 (r)</t>
        </is>
      </c>
      <c r="B104" s="146">
        <v>2</v>
      </c>
      <c r="C104" s="146">
        <f>IFERROR(MATCH(B104,$C$93:$C$99,0),NA())</f>
        <v>6</v>
      </c>
      <c r="D104" s="145" t="str">
        <f>IFERROR(INDEX($U$93:$U$99,C104),"")</f>
        <v>S₆  5.22</v>
      </c>
      <c r="E104" s="144">
        <f>IFERROR(INDEX($F$93:$F$99,C104),NA())</f>
        <v>0.500726649051901</v>
      </c>
      <c r="F104" s="144">
        <f>IFERROR(INDEX($G$93:$G$99,C104),NA())</f>
        <v>0.289094665620534</v>
      </c>
      <c r="Z104" s="146">
        <v>11</v>
      </c>
      <c r="AA104" s="144">
        <f>'ERDR Characteristics'!$D$7/$B$5*$L$16</f>
        <v>-0.600214721025768</v>
      </c>
      <c r="AB104" s="144">
        <f>'ERDR Characteristics'!$D$7/$B$5*$M$16</f>
        <v>0.160827049784126</v>
      </c>
      <c r="AC104" s="144">
        <f>'ERDR Characteristics'!$H$7/$B$5*$L$16</f>
        <v>-0.600214721025768</v>
      </c>
      <c r="AD104" s="144">
        <f>'ERDR Characteristics'!$H$7/$B$5*$M$16</f>
        <v>0.160827049784126</v>
      </c>
    </row>
    <row r="105">
      <c r="A105" s="63" t="inlineStr">
        <is>
          <t xml:space="preserve">slot 3 (r)</t>
        </is>
      </c>
      <c r="B105" s="146">
        <v>3</v>
      </c>
      <c r="C105" s="146">
        <f>IFERROR(MATCH(B105,$C$93:$C$99,0),NA())</f>
        <v>1</v>
      </c>
      <c r="D105" s="145" t="str">
        <f>IFERROR(INDEX($U$93:$U$99,C105),"")</f>
        <v>S₁  5.61 (r, z)</v>
      </c>
      <c r="E105" s="144">
        <f>IFERROR(INDEX($F$93:$F$99,C105),NA())</f>
        <v>0.538137796905894</v>
      </c>
      <c r="F105" s="144">
        <f>IFERROR(INDEX($G$93:$G$99,C105),NA())</f>
        <v>-0.31069400190473</v>
      </c>
      <c r="Z105" s="146">
        <v>12</v>
      </c>
      <c r="AA105" s="144">
        <f>'ERDR Characteristics'!$D$7/$B$5*$L$17</f>
        <v>-0.62138800380946</v>
      </c>
      <c r="AB105" s="144">
        <f>'ERDR Characteristics'!$D$7/$B$5*$M$17</f>
        <v>7.60980829893819e-17</v>
      </c>
      <c r="AC105" s="144">
        <f>'ERDR Characteristics'!$H$7/$B$5*$L$17</f>
        <v>-0.62138800380946</v>
      </c>
      <c r="AD105" s="144">
        <f>'ERDR Characteristics'!$H$7/$B$5*$M$17</f>
        <v>7.60980829893819e-17</v>
      </c>
    </row>
    <row r="106">
      <c r="A106" s="63" t="inlineStr">
        <is>
          <t xml:space="preserve">slot 4 (b)</t>
        </is>
      </c>
      <c r="B106" s="146">
        <v>4</v>
      </c>
      <c r="C106" s="146">
        <f>IFERROR(MATCH(B106,$C$93:$C$99,0),NA())</f>
        <v>4</v>
      </c>
      <c r="D106" s="145" t="str">
        <f>IFERROR(INDEX($U$93:$U$99,C106),"")</f>
        <v>S₄  6.22</v>
      </c>
      <c r="E106" s="144">
        <f>IFERROR(INDEX($F$93:$F$99,C106),NA())</f>
        <v>4.21917361331187e-17</v>
      </c>
      <c r="F106" s="144">
        <f>IFERROR(INDEX($G$93:$G$99,C106),NA())</f>
        <v>-0.689043341516823</v>
      </c>
      <c r="Z106" s="146">
        <v>13</v>
      </c>
      <c r="AA106" s="144">
        <f>'ERDR Characteristics'!$D$7/$B$5*$L$18</f>
        <v>-0.600214721025768</v>
      </c>
      <c r="AB106" s="144">
        <f>'ERDR Characteristics'!$D$7/$B$5*$M$18</f>
        <v>-0.160827049784126</v>
      </c>
      <c r="AC106" s="144">
        <f>'ERDR Characteristics'!$H$7/$B$5*$L$18</f>
        <v>-0.600214721025768</v>
      </c>
      <c r="AD106" s="144">
        <f>'ERDR Characteristics'!$H$7/$B$5*$M$18</f>
        <v>-0.160827049784126</v>
      </c>
    </row>
    <row r="107">
      <c r="A107" s="63" t="inlineStr">
        <is>
          <t xml:space="preserve">slot 5 (l)</t>
        </is>
      </c>
      <c r="B107" s="146">
        <v>5</v>
      </c>
      <c r="C107" s="146">
        <f>IFERROR(MATCH(B107,$C$93:$C$99,0),NA())</f>
        <v>5</v>
      </c>
      <c r="D107" s="145" t="str">
        <f>IFERROR(INDEX($U$93:$U$99,C107),"")</f>
        <v>S₅  7.31</v>
      </c>
      <c r="E107" s="144">
        <f>IFERROR(INDEX($F$93:$F$99,C107),NA())</f>
        <v>-0.70174287447943</v>
      </c>
      <c r="F107" s="144">
        <f>IFERROR(INDEX($G$93:$G$99,C107),NA())</f>
        <v>-0.405151437482601</v>
      </c>
      <c r="Z107" s="146">
        <v>14</v>
      </c>
      <c r="AA107" s="144">
        <f>'ERDR Characteristics'!$D$7/$B$5*$L$19</f>
        <v>-0.538137796905894</v>
      </c>
      <c r="AB107" s="144">
        <f>'ERDR Characteristics'!$D$7/$B$5*$M$19</f>
        <v>-0.31069400190473</v>
      </c>
      <c r="AC107" s="144">
        <f>'ERDR Characteristics'!$H$7/$B$5*$L$19</f>
        <v>-0.538137796905894</v>
      </c>
      <c r="AD107" s="144">
        <f>'ERDR Characteristics'!$H$7/$B$5*$M$19</f>
        <v>-0.31069400190473</v>
      </c>
    </row>
    <row r="108">
      <c r="A108" s="63" t="inlineStr">
        <is>
          <t xml:space="preserve">slot 6 (l)</t>
        </is>
      </c>
      <c r="B108" s="146">
        <v>6</v>
      </c>
      <c r="C108" s="146">
        <f>IFERROR(MATCH(B108,$C$93:$C$99,0),NA())</f>
        <v>2</v>
      </c>
      <c r="D108" s="145" t="str">
        <f>IFERROR(INDEX($U$93:$U$99,C108),"")</f>
        <v>S₂  7.47</v>
      </c>
      <c r="E108" s="144">
        <f>IFERROR(INDEX($F$93:$F$99,C108),NA())</f>
        <v>-0.716928009454893</v>
      </c>
      <c r="F108" s="144">
        <f>IFERROR(INDEX($G$93:$G$99,C108),NA())</f>
        <v>0.413918579248365</v>
      </c>
      <c r="Z108" s="146">
        <v>15</v>
      </c>
      <c r="AA108" s="144">
        <f>'ERDR Characteristics'!$D$7/$B$5*$L$20</f>
        <v>-0.439387671241642</v>
      </c>
      <c r="AB108" s="144">
        <f>'ERDR Characteristics'!$D$7/$B$5*$M$20</f>
        <v>-0.439387671241641</v>
      </c>
      <c r="AC108" s="144">
        <f>'ERDR Characteristics'!$H$7/$B$5*$L$20</f>
        <v>-0.439387671241642</v>
      </c>
      <c r="AD108" s="144">
        <f>'ERDR Characteristics'!$H$7/$B$5*$M$20</f>
        <v>-0.439387671241641</v>
      </c>
    </row>
    <row r="109">
      <c r="A109" s="63" t="inlineStr">
        <is>
          <t xml:space="preserve">centre (b)</t>
        </is>
      </c>
      <c r="C109" s="146">
        <v>3</v>
      </c>
      <c r="D109" s="145" t="str">
        <f>$A$95</f>
        <v>S₃</v>
      </c>
      <c r="E109" s="144">
        <v>0</v>
      </c>
      <c r="F109" s="144">
        <v>0</v>
      </c>
      <c r="Z109" s="146">
        <v>16</v>
      </c>
      <c r="AA109" s="144">
        <f>'ERDR Characteristics'!$D$7/$B$5*$L$21</f>
        <v>-0.31069400190473</v>
      </c>
      <c r="AB109" s="144">
        <f>'ERDR Characteristics'!$D$7/$B$5*$M$21</f>
        <v>-0.538137796905894</v>
      </c>
      <c r="AC109" s="144">
        <f>'ERDR Characteristics'!$H$7/$B$5*$L$21</f>
        <v>-0.31069400190473</v>
      </c>
      <c r="AD109" s="144">
        <f>'ERDR Characteristics'!$H$7/$B$5*$M$21</f>
        <v>-0.538137796905894</v>
      </c>
    </row>
    <row r="110">
      <c r="A110" s="63" t="inlineStr">
        <is>
          <t xml:space="preserve">caption, top left (r)</t>
        </is>
      </c>
      <c r="D110" s="145" t="str">
        <f>"g = "&amp;'ERDR Characteristics'!$E$7&amp;"  ·  d = "&amp;TEXT('ERDR Characteristics'!$J$7,"0.000")</f>
        <v>g = 3  ·  d = 0.000</v>
      </c>
      <c r="E110" s="144">
        <v>-1.2</v>
      </c>
      <c r="F110" s="144">
        <v>1.18</v>
      </c>
      <c r="Z110" s="146">
        <v>17</v>
      </c>
      <c r="AA110" s="144">
        <f>'ERDR Characteristics'!$D$7/$B$5*$L$22</f>
        <v>-0.160827049784126</v>
      </c>
      <c r="AB110" s="144">
        <f>'ERDR Characteristics'!$D$7/$B$5*$M$22</f>
        <v>-0.600214721025768</v>
      </c>
      <c r="AC110" s="144">
        <f>'ERDR Characteristics'!$H$7/$B$5*$L$22</f>
        <v>-0.160827049784126</v>
      </c>
      <c r="AD110" s="144">
        <f>'ERDR Characteristics'!$H$7/$B$5*$M$22</f>
        <v>-0.600214721025768</v>
      </c>
    </row>
    <row r="111">
      <c r="A111" s="63" t="inlineStr">
        <is>
          <t xml:space="preserve">caption, top right (l)</t>
        </is>
      </c>
      <c r="D111" s="145" t="str">
        <f>"class "&amp;'Dataset'!$P$7&amp;"  ·  queue "&amp;'ERDR Characteristics'!$K$7</f>
        <v>class 1  ·  queue 2</v>
      </c>
      <c r="E111" s="144">
        <v>1.2</v>
      </c>
      <c r="F111" s="144">
        <v>1.18</v>
      </c>
      <c r="Z111" s="146">
        <v>18</v>
      </c>
      <c r="AA111" s="144">
        <f>'ERDR Characteristics'!$D$7/$B$5*$L$23</f>
        <v>-1.14147124484073e-16</v>
      </c>
      <c r="AB111" s="144">
        <f>'ERDR Characteristics'!$D$7/$B$5*$M$23</f>
        <v>-0.62138800380946</v>
      </c>
      <c r="AC111" s="144">
        <f>'ERDR Characteristics'!$H$7/$B$5*$L$23</f>
        <v>-1.14147124484073e-16</v>
      </c>
      <c r="AD111" s="144">
        <f>'ERDR Characteristics'!$H$7/$B$5*$M$23</f>
        <v>-0.62138800380946</v>
      </c>
    </row>
    <row r="112">
      <c r="Z112" s="146">
        <v>19</v>
      </c>
      <c r="AA112" s="144">
        <f>'ERDR Characteristics'!$D$7/$B$5*$L$24</f>
        <v>0.160827049784126</v>
      </c>
      <c r="AB112" s="144">
        <f>'ERDR Characteristics'!$D$7/$B$5*$M$24</f>
        <v>-0.600214721025768</v>
      </c>
      <c r="AC112" s="144">
        <f>'ERDR Characteristics'!$H$7/$B$5*$L$24</f>
        <v>0.160827049784126</v>
      </c>
      <c r="AD112" s="144">
        <f>'ERDR Characteristics'!$H$7/$B$5*$M$24</f>
        <v>-0.600214721025768</v>
      </c>
    </row>
    <row r="113">
      <c r="Z113" s="146">
        <v>20</v>
      </c>
      <c r="AA113" s="144">
        <f>'ERDR Characteristics'!$D$7/$B$5*$L$25</f>
        <v>0.31069400190473</v>
      </c>
      <c r="AB113" s="144">
        <f>'ERDR Characteristics'!$D$7/$B$5*$M$25</f>
        <v>-0.538137796905894</v>
      </c>
      <c r="AC113" s="144">
        <f>'ERDR Characteristics'!$H$7/$B$5*$L$25</f>
        <v>0.31069400190473</v>
      </c>
      <c r="AD113" s="144">
        <f>'ERDR Characteristics'!$H$7/$B$5*$M$25</f>
        <v>-0.538137796905894</v>
      </c>
    </row>
    <row r="114">
      <c r="Z114" s="146">
        <v>21</v>
      </c>
      <c r="AA114" s="144">
        <f>'ERDR Characteristics'!$D$7/$B$5*$L$26</f>
        <v>0.439387671241642</v>
      </c>
      <c r="AB114" s="144">
        <f>'ERDR Characteristics'!$D$7/$B$5*$M$26</f>
        <v>-0.439387671241642</v>
      </c>
      <c r="AC114" s="144">
        <f>'ERDR Characteristics'!$H$7/$B$5*$L$26</f>
        <v>0.439387671241642</v>
      </c>
      <c r="AD114" s="144">
        <f>'ERDR Characteristics'!$H$7/$B$5*$M$26</f>
        <v>-0.439387671241642</v>
      </c>
    </row>
    <row r="115">
      <c r="Z115" s="146">
        <v>22</v>
      </c>
      <c r="AA115" s="144">
        <f>'ERDR Characteristics'!$D$7/$B$5*$L$27</f>
        <v>0.538137796905894</v>
      </c>
      <c r="AB115" s="144">
        <f>'ERDR Characteristics'!$D$7/$B$5*$M$27</f>
        <v>-0.31069400190473</v>
      </c>
      <c r="AC115" s="144">
        <f>'ERDR Characteristics'!$H$7/$B$5*$L$27</f>
        <v>0.538137796905894</v>
      </c>
      <c r="AD115" s="144">
        <f>'ERDR Characteristics'!$H$7/$B$5*$M$27</f>
        <v>-0.31069400190473</v>
      </c>
    </row>
    <row r="116">
      <c r="Z116" s="146">
        <v>23</v>
      </c>
      <c r="AA116" s="144">
        <f>'ERDR Characteristics'!$D$7/$B$5*$L$28</f>
        <v>0.600214721025768</v>
      </c>
      <c r="AB116" s="144">
        <f>'ERDR Characteristics'!$D$7/$B$5*$M$28</f>
        <v>-0.160827049784127</v>
      </c>
      <c r="AC116" s="144">
        <f>'ERDR Characteristics'!$H$7/$B$5*$L$28</f>
        <v>0.600214721025768</v>
      </c>
      <c r="AD116" s="144">
        <f>'ERDR Characteristics'!$H$7/$B$5*$M$28</f>
        <v>-0.160827049784127</v>
      </c>
    </row>
    <row r="117">
      <c r="Z117" s="146">
        <v>24</v>
      </c>
      <c r="AA117" s="144">
        <f>'ERDR Characteristics'!$D$7/$B$5*$L$29</f>
        <v>0.62138800380946</v>
      </c>
      <c r="AB117" s="144">
        <f>'ERDR Characteristics'!$D$7/$B$5*$M$29</f>
        <v>-1.52196165978764e-16</v>
      </c>
      <c r="AC117" s="144">
        <f>'ERDR Characteristics'!$H$7/$B$5*$L$29</f>
        <v>0.62138800380946</v>
      </c>
      <c r="AD117" s="144">
        <f>'ERDR Characteristics'!$H$7/$B$5*$M$29</f>
        <v>-1.52196165978764e-16</v>
      </c>
    </row>
    <row r="118"/>
    <row r="119">
      <c r="A119" s="59" t="inlineStr">
        <is>
          <t xml:space="preserve">Object S₄ · radial diagram on “Hyperspheres (Step 1)” — centre S₄, neighbours at their true distance ρ, in neighbour order clockwise from the top</t>
        </is>
      </c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</row>
    <row r="120">
      <c r="A120" s="63" t="inlineStr">
        <is>
          <t xml:space="preserve">Chart title</t>
        </is>
      </c>
      <c r="B120" s="145" t="str">
        <f>"S₄ (class "&amp;'Dataset'!$P$8&amp;")  ·  g = "&amp;'ERDR Characteristics'!$E$8&amp;"  ·  d = "&amp;TEXT('ERDR Characteristics'!$J$8,"0.000")&amp;"  ·  queue "&amp;'ERDR Characteristics'!$K$8</f>
        <v>S₄ (class 2)  ·  g = 1  ·  d = 0.253  ·  queue 7</v>
      </c>
    </row>
    <row r="121" ht="30" customHeight="1">
      <c r="A121" s="147" t="inlineStr">
        <is>
          <t xml:space="preserve">Sⱼ</t>
        </is>
      </c>
      <c r="B121" s="147" t="inlineStr">
        <is>
          <t xml:space="preserve">Class</t>
        </is>
      </c>
      <c r="C121" s="147" t="inlineStr">
        <is>
          <t xml:space="preserve">Rank around Sᵢ (0 = centre)</t>
        </is>
      </c>
      <c r="D121" s="147" t="inlineStr">
        <is>
          <t xml:space="preserve">ρ(Sᵢ, Sⱼ)</t>
        </is>
      </c>
      <c r="E121" s="147" t="inlineStr">
        <is>
          <t xml:space="preserve">Angle θ</t>
        </is>
      </c>
      <c r="F121" s="147" t="inlineStr">
        <is>
          <t xml:space="preserve">x</t>
        </is>
      </c>
      <c r="G121" s="147" t="inlineStr">
        <is>
          <t xml:space="preserve">y</t>
        </is>
      </c>
      <c r="H121" s="147" t="inlineStr">
        <is>
          <t xml:space="preserve">Counted in g(Sᵢ)</t>
        </is>
      </c>
      <c r="I121" s="147" t="inlineStr">
        <is>
          <t xml:space="preserve">K1 counted · x</t>
        </is>
      </c>
      <c r="J121" s="147" t="inlineStr">
        <is>
          <t xml:space="preserve">y</t>
        </is>
      </c>
      <c r="K121" s="147" t="inlineStr">
        <is>
          <t xml:space="preserve">K1 not counted · x</t>
        </is>
      </c>
      <c r="L121" s="147" t="inlineStr">
        <is>
          <t xml:space="preserve">y</t>
        </is>
      </c>
      <c r="M121" s="147" t="inlineStr">
        <is>
          <t xml:space="preserve">K2 counted · x</t>
        </is>
      </c>
      <c r="N121" s="147" t="inlineStr">
        <is>
          <t xml:space="preserve">y</t>
        </is>
      </c>
      <c r="O121" s="147" t="inlineStr">
        <is>
          <t xml:space="preserve">K2 not counted · x</t>
        </is>
      </c>
      <c r="P121" s="147" t="inlineStr">
        <is>
          <t xml:space="preserve">y</t>
        </is>
      </c>
      <c r="Q121" s="147" t="inlineStr">
        <is>
          <t xml:space="preserve">Centre K1 · x</t>
        </is>
      </c>
      <c r="R121" s="147" t="inlineStr">
        <is>
          <t xml:space="preserve">y</t>
        </is>
      </c>
      <c r="S121" s="147" t="inlineStr">
        <is>
          <t xml:space="preserve">Centre K2 · x</t>
        </is>
      </c>
      <c r="T121" s="147" t="inlineStr">
        <is>
          <t xml:space="preserve">y</t>
        </is>
      </c>
      <c r="U121" s="147" t="inlineStr">
        <is>
          <t xml:space="preserve">Label text</t>
        </is>
      </c>
      <c r="Z121" s="147" t="inlineStr">
        <is>
          <t xml:space="preserve">k</t>
        </is>
      </c>
      <c r="AA121" s="147" t="inlineStr">
        <is>
          <t xml:space="preserve">r-sphere · x</t>
        </is>
      </c>
      <c r="AB121" s="147" t="inlineStr">
        <is>
          <t xml:space="preserve">y</t>
        </is>
      </c>
      <c r="AC121" s="147" t="inlineStr">
        <is>
          <t xml:space="preserve">k-sphere · x</t>
        </is>
      </c>
      <c r="AD121" s="147" t="inlineStr">
        <is>
          <t xml:space="preserve">y</t>
        </is>
      </c>
    </row>
    <row r="122">
      <c r="A122" s="62" t="inlineStr">
        <is>
          <t xml:space="preserve">S₁</t>
        </is>
      </c>
      <c r="B122" s="68">
        <f>'Dataset'!$P$5</f>
        <v>2</v>
      </c>
      <c r="C122" s="146">
        <f>'Sorted Neighbors'!B$8</f>
        <v>5</v>
      </c>
      <c r="D122" s="144">
        <f>'Zhuravlev Distances'!B$8</f>
        <v>6.6272117335</v>
      </c>
      <c r="E122" s="144">
        <f>IF(C122=0,0,PI()/2-(C122-1)*$B$6)</f>
        <v>-2.61799387799149</v>
      </c>
      <c r="F122" s="144">
        <f>D122/$B$5*COS(E122)</f>
        <v>-0.636044560432061</v>
      </c>
      <c r="G122" s="144">
        <f>D122/$B$5*SIN(E122)</f>
        <v>-0.367220498182048</v>
      </c>
      <c r="H122" s="146">
        <f>IF(AND(C122&gt;0,B122='Dataset'!$P$8,D122&lt;'ERDR Characteristics'!$D$8),1,0)</f>
        <v>0</v>
      </c>
      <c r="I122" s="144" t="e">
        <f>IF(AND(C122&gt;0,B122=1,H122=1),F122,NA())</f>
        <v>#N/A</v>
      </c>
      <c r="J122" s="144" t="e">
        <f>IF(AND(C122&gt;0,B122=1,H122=1),G122,NA())</f>
        <v>#N/A</v>
      </c>
      <c r="K122" s="144" t="e">
        <f>IF(AND(C122&gt;0,B122=1,H122=0),F122,NA())</f>
        <v>#N/A</v>
      </c>
      <c r="L122" s="144" t="e">
        <f>IF(AND(C122&gt;0,B122=1,H122=0),G122,NA())</f>
        <v>#N/A</v>
      </c>
      <c r="M122" s="144" t="e">
        <f>IF(AND(C122&gt;0,B122=2,H122=1),F122,NA())</f>
        <v>#N/A</v>
      </c>
      <c r="N122" s="144" t="e">
        <f>IF(AND(C122&gt;0,B122=2,H122=1),G122,NA())</f>
        <v>#N/A</v>
      </c>
      <c r="O122" s="144">
        <f>IF(AND(C122&gt;0,B122=2,H122=0),F122,NA())</f>
        <v>-0.636044560432061</v>
      </c>
      <c r="P122" s="144">
        <f>IF(AND(C122&gt;0,B122=2,H122=0),G122,NA())</f>
        <v>-0.367220498182048</v>
      </c>
      <c r="Q122" s="144" t="e">
        <f>IF(AND(C122=0,B122=1),0,NA())</f>
        <v>#N/A</v>
      </c>
      <c r="R122" s="144" t="e">
        <f>IF(AND(C122=0,B122=1),0,NA())</f>
        <v>#N/A</v>
      </c>
      <c r="S122" s="144" t="e">
        <f>IF(AND(C122=0,B122=2),0,NA())</f>
        <v>#N/A</v>
      </c>
      <c r="T122" s="144" t="e">
        <f>IF(AND(C122=0,B122=2),0,NA())</f>
        <v>#N/A</v>
      </c>
      <c r="U122" s="145" t="str">
        <f>IF(C122=0,A122,A122&amp;"  "&amp;TEXT(D122,"0.00")&amp;IF(C122='ERDR Characteristics'!$F$8,IF(C122=$B$9," (r, z)"," (r)"),IF(C122=$B$9," (z)","")))</f>
        <v>S₁  6.63</v>
      </c>
      <c r="Z122" s="146">
        <v>0</v>
      </c>
      <c r="AA122" s="144">
        <f>'ERDR Characteristics'!$D$8/$B$5*$L$5</f>
        <v>0.410830391190726</v>
      </c>
      <c r="AB122" s="144">
        <f>'ERDR Characteristics'!$D$8/$B$5*$M$5</f>
        <v>0</v>
      </c>
      <c r="AC122" s="144">
        <f>'ERDR Characteristics'!$H$8/$B$5*$L$5</f>
        <v>0.689043341516823</v>
      </c>
      <c r="AD122" s="144">
        <f>'ERDR Characteristics'!$H$8/$B$5*$M$5</f>
        <v>0</v>
      </c>
    </row>
    <row r="123">
      <c r="A123" s="62" t="inlineStr">
        <is>
          <t xml:space="preserve">S₂</t>
        </is>
      </c>
      <c r="B123" s="68">
        <f>'Dataset'!$P$6</f>
        <v>2</v>
      </c>
      <c r="C123" s="146">
        <f>'Sorted Neighbors'!C$8</f>
        <v>4</v>
      </c>
      <c r="D123" s="144">
        <f>'Zhuravlev Distances'!C$8</f>
        <v>6.3691657565</v>
      </c>
      <c r="E123" s="144">
        <f>IF(C123=0,0,PI()/2-(C123-1)*$B$6)</f>
        <v>-1.5707963267949</v>
      </c>
      <c r="F123" s="144">
        <f>D123/$B$5*COS(E123)</f>
        <v>4.32204687272426e-17</v>
      </c>
      <c r="G123" s="144">
        <f>D123/$B$5*SIN(E123)</f>
        <v>-0.705843819741894</v>
      </c>
      <c r="H123" s="146">
        <f>IF(AND(C123&gt;0,B123='Dataset'!$P$8,D123&lt;'ERDR Characteristics'!$D$8),1,0)</f>
        <v>0</v>
      </c>
      <c r="I123" s="144" t="e">
        <f>IF(AND(C123&gt;0,B123=1,H123=1),F123,NA())</f>
        <v>#N/A</v>
      </c>
      <c r="J123" s="144" t="e">
        <f>IF(AND(C123&gt;0,B123=1,H123=1),G123,NA())</f>
        <v>#N/A</v>
      </c>
      <c r="K123" s="144" t="e">
        <f>IF(AND(C123&gt;0,B123=1,H123=0),F123,NA())</f>
        <v>#N/A</v>
      </c>
      <c r="L123" s="144" t="e">
        <f>IF(AND(C123&gt;0,B123=1,H123=0),G123,NA())</f>
        <v>#N/A</v>
      </c>
      <c r="M123" s="144" t="e">
        <f>IF(AND(C123&gt;0,B123=2,H123=1),F123,NA())</f>
        <v>#N/A</v>
      </c>
      <c r="N123" s="144" t="e">
        <f>IF(AND(C123&gt;0,B123=2,H123=1),G123,NA())</f>
        <v>#N/A</v>
      </c>
      <c r="O123" s="144">
        <f>IF(AND(C123&gt;0,B123=2,H123=0),F123,NA())</f>
        <v>4.32204687272426e-17</v>
      </c>
      <c r="P123" s="144">
        <f>IF(AND(C123&gt;0,B123=2,H123=0),G123,NA())</f>
        <v>-0.705843819741894</v>
      </c>
      <c r="Q123" s="144" t="e">
        <f>IF(AND(C123=0,B123=1),0,NA())</f>
        <v>#N/A</v>
      </c>
      <c r="R123" s="144" t="e">
        <f>IF(AND(C123=0,B123=1),0,NA())</f>
        <v>#N/A</v>
      </c>
      <c r="S123" s="144" t="e">
        <f>IF(AND(C123=0,B123=2),0,NA())</f>
        <v>#N/A</v>
      </c>
      <c r="T123" s="144" t="e">
        <f>IF(AND(C123=0,B123=2),0,NA())</f>
        <v>#N/A</v>
      </c>
      <c r="U123" s="145" t="str">
        <f>IF(C123=0,A123,A123&amp;"  "&amp;TEXT(D123,"0.00")&amp;IF(C123='ERDR Characteristics'!$F$8,IF(C123=$B$9," (r, z)"," (r)"),IF(C123=$B$9," (z)","")))</f>
        <v>S₂  6.37</v>
      </c>
      <c r="Z123" s="146">
        <v>1</v>
      </c>
      <c r="AA123" s="144">
        <f>'ERDR Characteristics'!$D$8/$B$5*$L$6</f>
        <v>0.396831685075563</v>
      </c>
      <c r="AB123" s="144">
        <f>'ERDR Characteristics'!$D$8/$B$5*$M$6</f>
        <v>0.106330729547079</v>
      </c>
      <c r="AC123" s="144">
        <f>'ERDR Characteristics'!$H$8/$B$5*$L$6</f>
        <v>0.665564759003618</v>
      </c>
      <c r="AD123" s="144">
        <f>'ERDR Characteristics'!$H$8/$B$5*$M$6</f>
        <v>0.178337539685634</v>
      </c>
    </row>
    <row r="124">
      <c r="A124" s="62" t="inlineStr">
        <is>
          <t xml:space="preserve">S₃</t>
        </is>
      </c>
      <c r="B124" s="68">
        <f>'Dataset'!$P$7</f>
        <v>1</v>
      </c>
      <c r="C124" s="146">
        <f>'Sorted Neighbors'!D$8</f>
        <v>3</v>
      </c>
      <c r="D124" s="144">
        <f>'Zhuravlev Distances'!D$8</f>
        <v>6.2175670209</v>
      </c>
      <c r="E124" s="144">
        <f>IF(C124=0,0,PI()/2-(C124-1)*$B$6)</f>
        <v>-0.523598775598299</v>
      </c>
      <c r="F124" s="144">
        <f>D124/$B$5*COS(E124)</f>
        <v>0.596729038062085</v>
      </c>
      <c r="G124" s="144">
        <f>D124/$B$5*SIN(E124)</f>
        <v>-0.344521670758411</v>
      </c>
      <c r="H124" s="146">
        <f>IF(AND(C124&gt;0,B124='Dataset'!$P$8,D124&lt;'ERDR Characteristics'!$D$8),1,0)</f>
        <v>0</v>
      </c>
      <c r="I124" s="144" t="e">
        <f>IF(AND(C124&gt;0,B124=1,H124=1),F124,NA())</f>
        <v>#N/A</v>
      </c>
      <c r="J124" s="144" t="e">
        <f>IF(AND(C124&gt;0,B124=1,H124=1),G124,NA())</f>
        <v>#N/A</v>
      </c>
      <c r="K124" s="144">
        <f>IF(AND(C124&gt;0,B124=1,H124=0),F124,NA())</f>
        <v>0.596729038062085</v>
      </c>
      <c r="L124" s="144">
        <f>IF(AND(C124&gt;0,B124=1,H124=0),G124,NA())</f>
        <v>-0.344521670758411</v>
      </c>
      <c r="M124" s="144" t="e">
        <f>IF(AND(C124&gt;0,B124=2,H124=1),F124,NA())</f>
        <v>#N/A</v>
      </c>
      <c r="N124" s="144" t="e">
        <f>IF(AND(C124&gt;0,B124=2,H124=1),G124,NA())</f>
        <v>#N/A</v>
      </c>
      <c r="O124" s="144" t="e">
        <f>IF(AND(C124&gt;0,B124=2,H124=0),F124,NA())</f>
        <v>#N/A</v>
      </c>
      <c r="P124" s="144" t="e">
        <f>IF(AND(C124&gt;0,B124=2,H124=0),G124,NA())</f>
        <v>#N/A</v>
      </c>
      <c r="Q124" s="144" t="e">
        <f>IF(AND(C124=0,B124=1),0,NA())</f>
        <v>#N/A</v>
      </c>
      <c r="R124" s="144" t="e">
        <f>IF(AND(C124=0,B124=1),0,NA())</f>
        <v>#N/A</v>
      </c>
      <c r="S124" s="144" t="e">
        <f>IF(AND(C124=0,B124=2),0,NA())</f>
        <v>#N/A</v>
      </c>
      <c r="T124" s="144" t="e">
        <f>IF(AND(C124=0,B124=2),0,NA())</f>
        <v>#N/A</v>
      </c>
      <c r="U124" s="145" t="str">
        <f>IF(C124=0,A124,A124&amp;"  "&amp;TEXT(D124,"0.00")&amp;IF(C124='ERDR Characteristics'!$F$8,IF(C124=$B$9," (r, z)"," (r)"),IF(C124=$B$9," (z)","")))</f>
        <v>S₃  6.22 (z)</v>
      </c>
      <c r="Z124" s="146">
        <v>2</v>
      </c>
      <c r="AA124" s="144">
        <f>'ERDR Characteristics'!$D$8/$B$5*$L$7</f>
        <v>0.355789555417867</v>
      </c>
      <c r="AB124" s="144">
        <f>'ERDR Characteristics'!$D$8/$B$5*$M$7</f>
        <v>0.205415195595363</v>
      </c>
      <c r="AC124" s="144">
        <f>'ERDR Characteristics'!$H$8/$B$5*$L$7</f>
        <v>0.596729038062085</v>
      </c>
      <c r="AD124" s="144">
        <f>'ERDR Characteristics'!$H$8/$B$5*$M$7</f>
        <v>0.344521670758411</v>
      </c>
    </row>
    <row r="125">
      <c r="A125" s="62" t="inlineStr">
        <is>
          <t xml:space="preserve">S₄</t>
        </is>
      </c>
      <c r="B125" s="68">
        <f>'Dataset'!$P$8</f>
        <v>2</v>
      </c>
      <c r="C125" s="146">
        <v>0</v>
      </c>
      <c r="D125" s="144">
        <f>'Zhuravlev Distances'!E$8</f>
        <v>0</v>
      </c>
      <c r="E125" s="144">
        <f>IF(C125=0,0,PI()/2-(C125-1)*$B$6)</f>
        <v>0</v>
      </c>
      <c r="F125" s="144">
        <f>D125/$B$5*COS(E125)</f>
        <v>0</v>
      </c>
      <c r="G125" s="144">
        <f>D125/$B$5*SIN(E125)</f>
        <v>0</v>
      </c>
      <c r="H125" s="146">
        <f>IF(AND(C125&gt;0,B125='Dataset'!$P$8,D125&lt;'ERDR Characteristics'!$D$8),1,0)</f>
        <v>0</v>
      </c>
      <c r="I125" s="144" t="e">
        <f>IF(AND(C125&gt;0,B125=1,H125=1),F125,NA())</f>
        <v>#N/A</v>
      </c>
      <c r="J125" s="144" t="e">
        <f>IF(AND(C125&gt;0,B125=1,H125=1),G125,NA())</f>
        <v>#N/A</v>
      </c>
      <c r="K125" s="144" t="e">
        <f>IF(AND(C125&gt;0,B125=1,H125=0),F125,NA())</f>
        <v>#N/A</v>
      </c>
      <c r="L125" s="144" t="e">
        <f>IF(AND(C125&gt;0,B125=1,H125=0),G125,NA())</f>
        <v>#N/A</v>
      </c>
      <c r="M125" s="144" t="e">
        <f>IF(AND(C125&gt;0,B125=2,H125=1),F125,NA())</f>
        <v>#N/A</v>
      </c>
      <c r="N125" s="144" t="e">
        <f>IF(AND(C125&gt;0,B125=2,H125=1),G125,NA())</f>
        <v>#N/A</v>
      </c>
      <c r="O125" s="144" t="e">
        <f>IF(AND(C125&gt;0,B125=2,H125=0),F125,NA())</f>
        <v>#N/A</v>
      </c>
      <c r="P125" s="144" t="e">
        <f>IF(AND(C125&gt;0,B125=2,H125=0),G125,NA())</f>
        <v>#N/A</v>
      </c>
      <c r="Q125" s="144" t="e">
        <f>IF(AND(C125=0,B125=1),0,NA())</f>
        <v>#N/A</v>
      </c>
      <c r="R125" s="144" t="e">
        <f>IF(AND(C125=0,B125=1),0,NA())</f>
        <v>#N/A</v>
      </c>
      <c r="S125" s="144">
        <f>IF(AND(C125=0,B125=2),0,NA())</f>
        <v>0</v>
      </c>
      <c r="T125" s="144">
        <f>IF(AND(C125=0,B125=2),0,NA())</f>
        <v>0</v>
      </c>
      <c r="U125" s="145" t="str">
        <f>IF(C125=0,A125,A125&amp;"  "&amp;TEXT(D125,"0.00")&amp;IF(C125='ERDR Characteristics'!$F$8,IF(C125=$B$9," (r, z)"," (r)"),IF(C125=$B$9," (z)","")))</f>
        <v>S₄</v>
      </c>
      <c r="Z125" s="146">
        <v>3</v>
      </c>
      <c r="AA125" s="144">
        <f>'ERDR Characteristics'!$D$8/$B$5*$L$8</f>
        <v>0.290500955528484</v>
      </c>
      <c r="AB125" s="144">
        <f>'ERDR Characteristics'!$D$8/$B$5*$M$8</f>
        <v>0.290500955528484</v>
      </c>
      <c r="AC125" s="144">
        <f>'ERDR Characteristics'!$H$8/$B$5*$L$8</f>
        <v>0.487227219317984</v>
      </c>
      <c r="AD125" s="144">
        <f>'ERDR Characteristics'!$H$8/$B$5*$M$8</f>
        <v>0.487227219317983</v>
      </c>
    </row>
    <row r="126">
      <c r="A126" s="62" t="inlineStr">
        <is>
          <t xml:space="preserve">S₅</t>
        </is>
      </c>
      <c r="B126" s="68">
        <f>'Dataset'!$P$9</f>
        <v>2</v>
      </c>
      <c r="C126" s="146">
        <f>'Sorted Neighbors'!F$8</f>
        <v>6</v>
      </c>
      <c r="D126" s="144">
        <f>'Zhuravlev Distances'!F$8</f>
        <v>7.8491221835</v>
      </c>
      <c r="E126" s="144">
        <f>IF(C126=0,0,PI()/2-(C126-1)*$B$6)</f>
        <v>-3.66519142918809</v>
      </c>
      <c r="F126" s="144">
        <f>D126/$B$5*COS(E126)</f>
        <v>-0.753317031315852</v>
      </c>
      <c r="G126" s="144">
        <f>D126/$B$5*SIN(E126)</f>
        <v>0.434927790815336</v>
      </c>
      <c r="H126" s="146">
        <f>IF(AND(C126&gt;0,B126='Dataset'!$P$8,D126&lt;'ERDR Characteristics'!$D$8),1,0)</f>
        <v>0</v>
      </c>
      <c r="I126" s="144" t="e">
        <f>IF(AND(C126&gt;0,B126=1,H126=1),F126,NA())</f>
        <v>#N/A</v>
      </c>
      <c r="J126" s="144" t="e">
        <f>IF(AND(C126&gt;0,B126=1,H126=1),G126,NA())</f>
        <v>#N/A</v>
      </c>
      <c r="K126" s="144" t="e">
        <f>IF(AND(C126&gt;0,B126=1,H126=0),F126,NA())</f>
        <v>#N/A</v>
      </c>
      <c r="L126" s="144" t="e">
        <f>IF(AND(C126&gt;0,B126=1,H126=0),G126,NA())</f>
        <v>#N/A</v>
      </c>
      <c r="M126" s="144" t="e">
        <f>IF(AND(C126&gt;0,B126=2,H126=1),F126,NA())</f>
        <v>#N/A</v>
      </c>
      <c r="N126" s="144" t="e">
        <f>IF(AND(C126&gt;0,B126=2,H126=1),G126,NA())</f>
        <v>#N/A</v>
      </c>
      <c r="O126" s="144">
        <f>IF(AND(C126&gt;0,B126=2,H126=0),F126,NA())</f>
        <v>-0.753317031315852</v>
      </c>
      <c r="P126" s="144">
        <f>IF(AND(C126&gt;0,B126=2,H126=0),G126,NA())</f>
        <v>0.434927790815336</v>
      </c>
      <c r="Q126" s="144" t="e">
        <f>IF(AND(C126=0,B126=1),0,NA())</f>
        <v>#N/A</v>
      </c>
      <c r="R126" s="144" t="e">
        <f>IF(AND(C126=0,B126=1),0,NA())</f>
        <v>#N/A</v>
      </c>
      <c r="S126" s="144" t="e">
        <f>IF(AND(C126=0,B126=2),0,NA())</f>
        <v>#N/A</v>
      </c>
      <c r="T126" s="144" t="e">
        <f>IF(AND(C126=0,B126=2),0,NA())</f>
        <v>#N/A</v>
      </c>
      <c r="U126" s="145" t="str">
        <f>IF(C126=0,A126,A126&amp;"  "&amp;TEXT(D126,"0.00")&amp;IF(C126='ERDR Characteristics'!$F$8,IF(C126=$B$9," (r, z)"," (r)"),IF(C126=$B$9," (z)","")))</f>
        <v>S₅  7.85</v>
      </c>
      <c r="Z126" s="146">
        <v>4</v>
      </c>
      <c r="AA126" s="144">
        <f>'ERDR Characteristics'!$D$8/$B$5*$L$9</f>
        <v>0.205415195595363</v>
      </c>
      <c r="AB126" s="144">
        <f>'ERDR Characteristics'!$D$8/$B$5*$M$9</f>
        <v>0.355789555417867</v>
      </c>
      <c r="AC126" s="144">
        <f>'ERDR Characteristics'!$H$8/$B$5*$L$9</f>
        <v>0.344521670758411</v>
      </c>
      <c r="AD126" s="144">
        <f>'ERDR Characteristics'!$H$8/$B$5*$M$9</f>
        <v>0.596729038062085</v>
      </c>
    </row>
    <row r="127">
      <c r="A127" s="62" t="inlineStr">
        <is>
          <t xml:space="preserve">S₆</t>
        </is>
      </c>
      <c r="B127" s="68">
        <f>'Dataset'!$P$10</f>
        <v>1</v>
      </c>
      <c r="C127" s="146">
        <f>'Sorted Neighbors'!G$8</f>
        <v>1</v>
      </c>
      <c r="D127" s="144">
        <f>'Zhuravlev Distances'!G$8</f>
        <v>3.7071187508</v>
      </c>
      <c r="E127" s="144">
        <f>IF(C127=0,0,PI()/2-(C127-1)*$B$6)</f>
        <v>1.5707963267949</v>
      </c>
      <c r="F127" s="144">
        <f>D127/$B$5*COS(E127)</f>
        <v>2.51561061782089e-17</v>
      </c>
      <c r="G127" s="144">
        <f>D127/$B$5*SIN(E127)</f>
        <v>0.410830391190726</v>
      </c>
      <c r="H127" s="146">
        <f>IF(AND(C127&gt;0,B127='Dataset'!$P$8,D127&lt;'ERDR Characteristics'!$D$8),1,0)</f>
        <v>0</v>
      </c>
      <c r="I127" s="144" t="e">
        <f>IF(AND(C127&gt;0,B127=1,H127=1),F127,NA())</f>
        <v>#N/A</v>
      </c>
      <c r="J127" s="144" t="e">
        <f>IF(AND(C127&gt;0,B127=1,H127=1),G127,NA())</f>
        <v>#N/A</v>
      </c>
      <c r="K127" s="144">
        <f>IF(AND(C127&gt;0,B127=1,H127=0),F127,NA())</f>
        <v>2.51561061782089e-17</v>
      </c>
      <c r="L127" s="144">
        <f>IF(AND(C127&gt;0,B127=1,H127=0),G127,NA())</f>
        <v>0.410830391190726</v>
      </c>
      <c r="M127" s="144" t="e">
        <f>IF(AND(C127&gt;0,B127=2,H127=1),F127,NA())</f>
        <v>#N/A</v>
      </c>
      <c r="N127" s="144" t="e">
        <f>IF(AND(C127&gt;0,B127=2,H127=1),G127,NA())</f>
        <v>#N/A</v>
      </c>
      <c r="O127" s="144" t="e">
        <f>IF(AND(C127&gt;0,B127=2,H127=0),F127,NA())</f>
        <v>#N/A</v>
      </c>
      <c r="P127" s="144" t="e">
        <f>IF(AND(C127&gt;0,B127=2,H127=0),G127,NA())</f>
        <v>#N/A</v>
      </c>
      <c r="Q127" s="144" t="e">
        <f>IF(AND(C127=0,B127=1),0,NA())</f>
        <v>#N/A</v>
      </c>
      <c r="R127" s="144" t="e">
        <f>IF(AND(C127=0,B127=1),0,NA())</f>
        <v>#N/A</v>
      </c>
      <c r="S127" s="144" t="e">
        <f>IF(AND(C127=0,B127=2),0,NA())</f>
        <v>#N/A</v>
      </c>
      <c r="T127" s="144" t="e">
        <f>IF(AND(C127=0,B127=2),0,NA())</f>
        <v>#N/A</v>
      </c>
      <c r="U127" s="145" t="str">
        <f>IF(C127=0,A127,A127&amp;"  "&amp;TEXT(D127,"0.00")&amp;IF(C127='ERDR Characteristics'!$F$8,IF(C127=$B$9," (r, z)"," (r)"),IF(C127=$B$9," (z)","")))</f>
        <v>S₆  3.71 (r)</v>
      </c>
      <c r="Z127" s="146">
        <v>5</v>
      </c>
      <c r="AA127" s="144">
        <f>'ERDR Characteristics'!$D$8/$B$5*$L$10</f>
        <v>0.106330729547079</v>
      </c>
      <c r="AB127" s="144">
        <f>'ERDR Characteristics'!$D$8/$B$5*$M$10</f>
        <v>0.396831685075563</v>
      </c>
      <c r="AC127" s="144">
        <f>'ERDR Characteristics'!$H$8/$B$5*$L$10</f>
        <v>0.178337539685634</v>
      </c>
      <c r="AD127" s="144">
        <f>'ERDR Characteristics'!$H$8/$B$5*$M$10</f>
        <v>0.665564759003618</v>
      </c>
    </row>
    <row r="128">
      <c r="A128" s="62" t="inlineStr">
        <is>
          <t xml:space="preserve">S₇</t>
        </is>
      </c>
      <c r="B128" s="68">
        <f>'Dataset'!$P$11</f>
        <v>1</v>
      </c>
      <c r="C128" s="146">
        <f>'Sorted Neighbors'!H$8</f>
        <v>2</v>
      </c>
      <c r="D128" s="144">
        <f>'Zhuravlev Distances'!H$8</f>
        <v>3.9109813746</v>
      </c>
      <c r="E128" s="144">
        <f>IF(C128=0,0,PI()/2-(C128-1)*$B$6)</f>
        <v>0.523598775598299</v>
      </c>
      <c r="F128" s="144">
        <f>D128/$B$5*COS(E128)</f>
        <v>0.375355206578211</v>
      </c>
      <c r="G128" s="144">
        <f>D128/$B$5*SIN(E128)</f>
        <v>0.216711429559658</v>
      </c>
      <c r="H128" s="146">
        <f>IF(AND(C128&gt;0,B128='Dataset'!$P$8,D128&lt;'ERDR Characteristics'!$D$8),1,0)</f>
        <v>0</v>
      </c>
      <c r="I128" s="144" t="e">
        <f>IF(AND(C128&gt;0,B128=1,H128=1),F128,NA())</f>
        <v>#N/A</v>
      </c>
      <c r="J128" s="144" t="e">
        <f>IF(AND(C128&gt;0,B128=1,H128=1),G128,NA())</f>
        <v>#N/A</v>
      </c>
      <c r="K128" s="144">
        <f>IF(AND(C128&gt;0,B128=1,H128=0),F128,NA())</f>
        <v>0.375355206578211</v>
      </c>
      <c r="L128" s="144">
        <f>IF(AND(C128&gt;0,B128=1,H128=0),G128,NA())</f>
        <v>0.216711429559658</v>
      </c>
      <c r="M128" s="144" t="e">
        <f>IF(AND(C128&gt;0,B128=2,H128=1),F128,NA())</f>
        <v>#N/A</v>
      </c>
      <c r="N128" s="144" t="e">
        <f>IF(AND(C128&gt;0,B128=2,H128=1),G128,NA())</f>
        <v>#N/A</v>
      </c>
      <c r="O128" s="144" t="e">
        <f>IF(AND(C128&gt;0,B128=2,H128=0),F128,NA())</f>
        <v>#N/A</v>
      </c>
      <c r="P128" s="144" t="e">
        <f>IF(AND(C128&gt;0,B128=2,H128=0),G128,NA())</f>
        <v>#N/A</v>
      </c>
      <c r="Q128" s="144" t="e">
        <f>IF(AND(C128=0,B128=1),0,NA())</f>
        <v>#N/A</v>
      </c>
      <c r="R128" s="144" t="e">
        <f>IF(AND(C128=0,B128=1),0,NA())</f>
        <v>#N/A</v>
      </c>
      <c r="S128" s="144" t="e">
        <f>IF(AND(C128=0,B128=2),0,NA())</f>
        <v>#N/A</v>
      </c>
      <c r="T128" s="144" t="e">
        <f>IF(AND(C128=0,B128=2),0,NA())</f>
        <v>#N/A</v>
      </c>
      <c r="U128" s="145" t="str">
        <f>IF(C128=0,A128,A128&amp;"  "&amp;TEXT(D128,"0.00")&amp;IF(C128='ERDR Characteristics'!$F$8,IF(C128=$B$9," (r, z)"," (r)"),IF(C128=$B$9," (z)","")))</f>
        <v>S₇  3.91</v>
      </c>
      <c r="Z128" s="146">
        <v>6</v>
      </c>
      <c r="AA128" s="144">
        <f>'ERDR Characteristics'!$D$8/$B$5*$L$11</f>
        <v>2.51561061782089e-17</v>
      </c>
      <c r="AB128" s="144">
        <f>'ERDR Characteristics'!$D$8/$B$5*$M$11</f>
        <v>0.410830391190726</v>
      </c>
      <c r="AC128" s="144">
        <f>'ERDR Characteristics'!$H$8/$B$5*$L$11</f>
        <v>4.21917361331187e-17</v>
      </c>
      <c r="AD128" s="144">
        <f>'ERDR Characteristics'!$H$8/$B$5*$M$11</f>
        <v>0.689043341516823</v>
      </c>
    </row>
    <row r="129">
      <c r="A129" s="63" t="inlineStr">
        <is>
          <t xml:space="preserve">r label</t>
        </is>
      </c>
      <c r="U129" s="145" t="str">
        <f>"r = "&amp;TEXT('ERDR Characteristics'!$D$8,"0.00")</f>
        <v>r = 3.71</v>
      </c>
      <c r="V129" s="144">
        <f>'ERDR Characteristics'!$D$8/$B$5</f>
        <v>0.410830391190726</v>
      </c>
      <c r="W129" s="144">
        <v>0</v>
      </c>
      <c r="Z129" s="146">
        <v>7</v>
      </c>
      <c r="AA129" s="144">
        <f>'ERDR Characteristics'!$D$8/$B$5*$L$12</f>
        <v>-0.106330729547079</v>
      </c>
      <c r="AB129" s="144">
        <f>'ERDR Characteristics'!$D$8/$B$5*$M$12</f>
        <v>0.396831685075563</v>
      </c>
      <c r="AC129" s="144">
        <f>'ERDR Characteristics'!$H$8/$B$5*$L$12</f>
        <v>-0.178337539685634</v>
      </c>
      <c r="AD129" s="144">
        <f>'ERDR Characteristics'!$H$8/$B$5*$M$12</f>
        <v>0.665564759003618</v>
      </c>
    </row>
    <row r="130">
      <c r="A130" s="63" t="inlineStr">
        <is>
          <t xml:space="preserve">z label</t>
        </is>
      </c>
      <c r="U130" s="145" t="str">
        <f>"z = "&amp;TEXT('ERDR Characteristics'!$H$8,"0.00")</f>
        <v>z = 6.22</v>
      </c>
      <c r="V130" s="144">
        <f>-'ERDR Characteristics'!$H$8/$B$5</f>
        <v>-0.689043341516823</v>
      </c>
      <c r="W130" s="144">
        <v>0</v>
      </c>
      <c r="Z130" s="146">
        <v>8</v>
      </c>
      <c r="AA130" s="144">
        <f>'ERDR Characteristics'!$D$8/$B$5*$L$13</f>
        <v>-0.205415195595363</v>
      </c>
      <c r="AB130" s="144">
        <f>'ERDR Characteristics'!$D$8/$B$5*$M$13</f>
        <v>0.355789555417867</v>
      </c>
      <c r="AC130" s="144">
        <f>'ERDR Characteristics'!$H$8/$B$5*$L$13</f>
        <v>-0.344521670758411</v>
      </c>
      <c r="AD130" s="144">
        <f>'ERDR Characteristics'!$H$8/$B$5*$M$13</f>
        <v>0.596729038062085</v>
      </c>
    </row>
    <row r="131">
      <c r="A131" s="147" t="inlineStr">
        <is>
          <t xml:space="preserve">Label slot</t>
        </is>
      </c>
      <c r="B131" s="147" t="inlineStr">
        <is>
          <t xml:space="preserve">Rank t</t>
        </is>
      </c>
      <c r="C131" s="147" t="inlineStr">
        <is>
          <t xml:space="preserve">Object</t>
        </is>
      </c>
      <c r="D131" s="147" t="inlineStr">
        <is>
          <t xml:space="preserve">Label</t>
        </is>
      </c>
      <c r="E131" s="147" t="inlineStr">
        <is>
          <t xml:space="preserve">x</t>
        </is>
      </c>
      <c r="F131" s="147" t="inlineStr">
        <is>
          <t xml:space="preserve">y</t>
        </is>
      </c>
      <c r="Z131" s="146">
        <v>9</v>
      </c>
      <c r="AA131" s="144">
        <f>'ERDR Characteristics'!$D$8/$B$5*$L$14</f>
        <v>-0.290500955528484</v>
      </c>
      <c r="AB131" s="144">
        <f>'ERDR Characteristics'!$D$8/$B$5*$M$14</f>
        <v>0.290500955528484</v>
      </c>
      <c r="AC131" s="144">
        <f>'ERDR Characteristics'!$H$8/$B$5*$L$14</f>
        <v>-0.487227219317983</v>
      </c>
      <c r="AD131" s="144">
        <f>'ERDR Characteristics'!$H$8/$B$5*$M$14</f>
        <v>0.487227219317984</v>
      </c>
    </row>
    <row r="132">
      <c r="A132" s="63" t="inlineStr">
        <is>
          <t xml:space="preserve">slot 1 (t)</t>
        </is>
      </c>
      <c r="B132" s="146">
        <v>1</v>
      </c>
      <c r="C132" s="146">
        <f>IFERROR(MATCH(B132,$C$122:$C$128,0),NA())</f>
        <v>6</v>
      </c>
      <c r="D132" s="145" t="str">
        <f>IFERROR(INDEX($U$122:$U$128,C132),"")</f>
        <v>S₆  3.71 (r)</v>
      </c>
      <c r="E132" s="144">
        <f>IFERROR(INDEX($F$122:$F$128,C132),NA())</f>
        <v>2.51561061782089e-17</v>
      </c>
      <c r="F132" s="144">
        <f>IFERROR(INDEX($G$122:$G$128,C132),NA())</f>
        <v>0.410830391190726</v>
      </c>
      <c r="Z132" s="146">
        <v>10</v>
      </c>
      <c r="AA132" s="144">
        <f>'ERDR Characteristics'!$D$8/$B$5*$L$15</f>
        <v>-0.355789555417867</v>
      </c>
      <c r="AB132" s="144">
        <f>'ERDR Characteristics'!$D$8/$B$5*$M$15</f>
        <v>0.205415195595363</v>
      </c>
      <c r="AC132" s="144">
        <f>'ERDR Characteristics'!$H$8/$B$5*$L$15</f>
        <v>-0.596729038062085</v>
      </c>
      <c r="AD132" s="144">
        <f>'ERDR Characteristics'!$H$8/$B$5*$M$15</f>
        <v>0.344521670758411</v>
      </c>
    </row>
    <row r="133">
      <c r="A133" s="63" t="inlineStr">
        <is>
          <t xml:space="preserve">slot 2 (r)</t>
        </is>
      </c>
      <c r="B133" s="146">
        <v>2</v>
      </c>
      <c r="C133" s="146">
        <f>IFERROR(MATCH(B133,$C$122:$C$128,0),NA())</f>
        <v>7</v>
      </c>
      <c r="D133" s="145" t="str">
        <f>IFERROR(INDEX($U$122:$U$128,C133),"")</f>
        <v>S₇  3.91</v>
      </c>
      <c r="E133" s="144">
        <f>IFERROR(INDEX($F$122:$F$128,C133),NA())</f>
        <v>0.375355206578211</v>
      </c>
      <c r="F133" s="144">
        <f>IFERROR(INDEX($G$122:$G$128,C133),NA())</f>
        <v>0.216711429559658</v>
      </c>
      <c r="Z133" s="146">
        <v>11</v>
      </c>
      <c r="AA133" s="144">
        <f>'ERDR Characteristics'!$D$8/$B$5*$L$16</f>
        <v>-0.396831685075563</v>
      </c>
      <c r="AB133" s="144">
        <f>'ERDR Characteristics'!$D$8/$B$5*$M$16</f>
        <v>0.106330729547079</v>
      </c>
      <c r="AC133" s="144">
        <f>'ERDR Characteristics'!$H$8/$B$5*$L$16</f>
        <v>-0.665564759003618</v>
      </c>
      <c r="AD133" s="144">
        <f>'ERDR Characteristics'!$H$8/$B$5*$M$16</f>
        <v>0.178337539685634</v>
      </c>
    </row>
    <row r="134">
      <c r="A134" s="63" t="inlineStr">
        <is>
          <t xml:space="preserve">slot 3 (r)</t>
        </is>
      </c>
      <c r="B134" s="146">
        <v>3</v>
      </c>
      <c r="C134" s="146">
        <f>IFERROR(MATCH(B134,$C$122:$C$128,0),NA())</f>
        <v>3</v>
      </c>
      <c r="D134" s="145" t="str">
        <f>IFERROR(INDEX($U$122:$U$128,C134),"")</f>
        <v>S₃  6.22 (z)</v>
      </c>
      <c r="E134" s="144">
        <f>IFERROR(INDEX($F$122:$F$128,C134),NA())</f>
        <v>0.596729038062085</v>
      </c>
      <c r="F134" s="144">
        <f>IFERROR(INDEX($G$122:$G$128,C134),NA())</f>
        <v>-0.344521670758411</v>
      </c>
      <c r="Z134" s="146">
        <v>12</v>
      </c>
      <c r="AA134" s="144">
        <f>'ERDR Characteristics'!$D$8/$B$5*$L$17</f>
        <v>-0.410830391190726</v>
      </c>
      <c r="AB134" s="144">
        <f>'ERDR Characteristics'!$D$8/$B$5*$M$17</f>
        <v>5.03122123564177e-17</v>
      </c>
      <c r="AC134" s="144">
        <f>'ERDR Characteristics'!$H$8/$B$5*$L$17</f>
        <v>-0.689043341516823</v>
      </c>
      <c r="AD134" s="144">
        <f>'ERDR Characteristics'!$H$8/$B$5*$M$17</f>
        <v>8.43834722662374e-17</v>
      </c>
    </row>
    <row r="135">
      <c r="A135" s="63" t="inlineStr">
        <is>
          <t xml:space="preserve">slot 4 (b)</t>
        </is>
      </c>
      <c r="B135" s="146">
        <v>4</v>
      </c>
      <c r="C135" s="146">
        <f>IFERROR(MATCH(B135,$C$122:$C$128,0),NA())</f>
        <v>2</v>
      </c>
      <c r="D135" s="145" t="str">
        <f>IFERROR(INDEX($U$122:$U$128,C135),"")</f>
        <v>S₂  6.37</v>
      </c>
      <c r="E135" s="144">
        <f>IFERROR(INDEX($F$122:$F$128,C135),NA())</f>
        <v>4.32204687272426e-17</v>
      </c>
      <c r="F135" s="144">
        <f>IFERROR(INDEX($G$122:$G$128,C135),NA())</f>
        <v>-0.705843819741894</v>
      </c>
      <c r="Z135" s="146">
        <v>13</v>
      </c>
      <c r="AA135" s="144">
        <f>'ERDR Characteristics'!$D$8/$B$5*$L$18</f>
        <v>-0.396831685075563</v>
      </c>
      <c r="AB135" s="144">
        <f>'ERDR Characteristics'!$D$8/$B$5*$M$18</f>
        <v>-0.106330729547079</v>
      </c>
      <c r="AC135" s="144">
        <f>'ERDR Characteristics'!$H$8/$B$5*$L$18</f>
        <v>-0.665564759003618</v>
      </c>
      <c r="AD135" s="144">
        <f>'ERDR Characteristics'!$H$8/$B$5*$M$18</f>
        <v>-0.178337539685634</v>
      </c>
    </row>
    <row r="136">
      <c r="A136" s="63" t="inlineStr">
        <is>
          <t xml:space="preserve">slot 5 (l)</t>
        </is>
      </c>
      <c r="B136" s="146">
        <v>5</v>
      </c>
      <c r="C136" s="146">
        <f>IFERROR(MATCH(B136,$C$122:$C$128,0),NA())</f>
        <v>1</v>
      </c>
      <c r="D136" s="145" t="str">
        <f>IFERROR(INDEX($U$122:$U$128,C136),"")</f>
        <v>S₁  6.63</v>
      </c>
      <c r="E136" s="144">
        <f>IFERROR(INDEX($F$122:$F$128,C136),NA())</f>
        <v>-0.636044560432061</v>
      </c>
      <c r="F136" s="144">
        <f>IFERROR(INDEX($G$122:$G$128,C136),NA())</f>
        <v>-0.367220498182048</v>
      </c>
      <c r="Z136" s="146">
        <v>14</v>
      </c>
      <c r="AA136" s="144">
        <f>'ERDR Characteristics'!$D$8/$B$5*$L$19</f>
        <v>-0.355789555417867</v>
      </c>
      <c r="AB136" s="144">
        <f>'ERDR Characteristics'!$D$8/$B$5*$M$19</f>
        <v>-0.205415195595363</v>
      </c>
      <c r="AC136" s="144">
        <f>'ERDR Characteristics'!$H$8/$B$5*$L$19</f>
        <v>-0.596729038062085</v>
      </c>
      <c r="AD136" s="144">
        <f>'ERDR Characteristics'!$H$8/$B$5*$M$19</f>
        <v>-0.344521670758411</v>
      </c>
    </row>
    <row r="137">
      <c r="A137" s="63" t="inlineStr">
        <is>
          <t xml:space="preserve">slot 6 (l)</t>
        </is>
      </c>
      <c r="B137" s="146">
        <v>6</v>
      </c>
      <c r="C137" s="146">
        <f>IFERROR(MATCH(B137,$C$122:$C$128,0),NA())</f>
        <v>5</v>
      </c>
      <c r="D137" s="145" t="str">
        <f>IFERROR(INDEX($U$122:$U$128,C137),"")</f>
        <v>S₅  7.85</v>
      </c>
      <c r="E137" s="144">
        <f>IFERROR(INDEX($F$122:$F$128,C137),NA())</f>
        <v>-0.753317031315852</v>
      </c>
      <c r="F137" s="144">
        <f>IFERROR(INDEX($G$122:$G$128,C137),NA())</f>
        <v>0.434927790815336</v>
      </c>
      <c r="Z137" s="146">
        <v>15</v>
      </c>
      <c r="AA137" s="144">
        <f>'ERDR Characteristics'!$D$8/$B$5*$L$20</f>
        <v>-0.290500955528484</v>
      </c>
      <c r="AB137" s="144">
        <f>'ERDR Characteristics'!$D$8/$B$5*$M$20</f>
        <v>-0.290500955528484</v>
      </c>
      <c r="AC137" s="144">
        <f>'ERDR Characteristics'!$H$8/$B$5*$L$20</f>
        <v>-0.487227219317984</v>
      </c>
      <c r="AD137" s="144">
        <f>'ERDR Characteristics'!$H$8/$B$5*$M$20</f>
        <v>-0.487227219317983</v>
      </c>
    </row>
    <row r="138">
      <c r="A138" s="63" t="inlineStr">
        <is>
          <t xml:space="preserve">centre (b)</t>
        </is>
      </c>
      <c r="C138" s="146">
        <v>4</v>
      </c>
      <c r="D138" s="145" t="str">
        <f>$A$125</f>
        <v>S₄</v>
      </c>
      <c r="E138" s="144">
        <v>0</v>
      </c>
      <c r="F138" s="144">
        <v>0</v>
      </c>
      <c r="Z138" s="146">
        <v>16</v>
      </c>
      <c r="AA138" s="144">
        <f>'ERDR Characteristics'!$D$8/$B$5*$L$21</f>
        <v>-0.205415195595363</v>
      </c>
      <c r="AB138" s="144">
        <f>'ERDR Characteristics'!$D$8/$B$5*$M$21</f>
        <v>-0.355789555417867</v>
      </c>
      <c r="AC138" s="144">
        <f>'ERDR Characteristics'!$H$8/$B$5*$L$21</f>
        <v>-0.344521670758412</v>
      </c>
      <c r="AD138" s="144">
        <f>'ERDR Characteristics'!$H$8/$B$5*$M$21</f>
        <v>-0.596729038062085</v>
      </c>
    </row>
    <row r="139">
      <c r="A139" s="63" t="inlineStr">
        <is>
          <t xml:space="preserve">caption, top left (r)</t>
        </is>
      </c>
      <c r="D139" s="145" t="str">
        <f>"g = "&amp;'ERDR Characteristics'!$E$8&amp;"  ·  d = "&amp;TEXT('ERDR Characteristics'!$J$8,"0.000")</f>
        <v>g = 1  ·  d = 0.253</v>
      </c>
      <c r="E139" s="144">
        <v>-1.2</v>
      </c>
      <c r="F139" s="144">
        <v>1.18</v>
      </c>
      <c r="Z139" s="146">
        <v>17</v>
      </c>
      <c r="AA139" s="144">
        <f>'ERDR Characteristics'!$D$8/$B$5*$L$22</f>
        <v>-0.106330729547079</v>
      </c>
      <c r="AB139" s="144">
        <f>'ERDR Characteristics'!$D$8/$B$5*$M$22</f>
        <v>-0.396831685075563</v>
      </c>
      <c r="AC139" s="144">
        <f>'ERDR Characteristics'!$H$8/$B$5*$L$22</f>
        <v>-0.178337539685634</v>
      </c>
      <c r="AD139" s="144">
        <f>'ERDR Characteristics'!$H$8/$B$5*$M$22</f>
        <v>-0.665564759003618</v>
      </c>
    </row>
    <row r="140">
      <c r="A140" s="63" t="inlineStr">
        <is>
          <t xml:space="preserve">caption, top right (l)</t>
        </is>
      </c>
      <c r="D140" s="145" t="str">
        <f>"class "&amp;'Dataset'!$P$8&amp;"  ·  queue "&amp;'ERDR Characteristics'!$K$8</f>
        <v>class 2  ·  queue 7</v>
      </c>
      <c r="E140" s="144">
        <v>1.2</v>
      </c>
      <c r="F140" s="144">
        <v>1.18</v>
      </c>
      <c r="Z140" s="146">
        <v>18</v>
      </c>
      <c r="AA140" s="144">
        <f>'ERDR Characteristics'!$D$8/$B$5*$L$23</f>
        <v>-7.54683185346266e-17</v>
      </c>
      <c r="AB140" s="144">
        <f>'ERDR Characteristics'!$D$8/$B$5*$M$23</f>
        <v>-0.410830391190726</v>
      </c>
      <c r="AC140" s="144">
        <f>'ERDR Characteristics'!$H$8/$B$5*$L$23</f>
        <v>-1.26575208399356e-16</v>
      </c>
      <c r="AD140" s="144">
        <f>'ERDR Characteristics'!$H$8/$B$5*$M$23</f>
        <v>-0.689043341516823</v>
      </c>
    </row>
    <row r="141">
      <c r="Z141" s="146">
        <v>19</v>
      </c>
      <c r="AA141" s="144">
        <f>'ERDR Characteristics'!$D$8/$B$5*$L$24</f>
        <v>0.106330729547078</v>
      </c>
      <c r="AB141" s="144">
        <f>'ERDR Characteristics'!$D$8/$B$5*$M$24</f>
        <v>-0.396831685075563</v>
      </c>
      <c r="AC141" s="144">
        <f>'ERDR Characteristics'!$H$8/$B$5*$L$24</f>
        <v>0.178337539685634</v>
      </c>
      <c r="AD141" s="144">
        <f>'ERDR Characteristics'!$H$8/$B$5*$M$24</f>
        <v>-0.665564759003618</v>
      </c>
    </row>
    <row r="142">
      <c r="Z142" s="146">
        <v>20</v>
      </c>
      <c r="AA142" s="144">
        <f>'ERDR Characteristics'!$D$8/$B$5*$L$25</f>
        <v>0.205415195595363</v>
      </c>
      <c r="AB142" s="144">
        <f>'ERDR Characteristics'!$D$8/$B$5*$M$25</f>
        <v>-0.355789555417867</v>
      </c>
      <c r="AC142" s="144">
        <f>'ERDR Characteristics'!$H$8/$B$5*$L$25</f>
        <v>0.344521670758411</v>
      </c>
      <c r="AD142" s="144">
        <f>'ERDR Characteristics'!$H$8/$B$5*$M$25</f>
        <v>-0.596729038062085</v>
      </c>
    </row>
    <row r="143">
      <c r="Z143" s="146">
        <v>21</v>
      </c>
      <c r="AA143" s="144">
        <f>'ERDR Characteristics'!$D$8/$B$5*$L$26</f>
        <v>0.290500955528484</v>
      </c>
      <c r="AB143" s="144">
        <f>'ERDR Characteristics'!$D$8/$B$5*$M$26</f>
        <v>-0.290500955528484</v>
      </c>
      <c r="AC143" s="144">
        <f>'ERDR Characteristics'!$H$8/$B$5*$L$26</f>
        <v>0.487227219317983</v>
      </c>
      <c r="AD143" s="144">
        <f>'ERDR Characteristics'!$H$8/$B$5*$M$26</f>
        <v>-0.487227219317984</v>
      </c>
    </row>
    <row r="144">
      <c r="Z144" s="146">
        <v>22</v>
      </c>
      <c r="AA144" s="144">
        <f>'ERDR Characteristics'!$D$8/$B$5*$L$27</f>
        <v>0.355789555417867</v>
      </c>
      <c r="AB144" s="144">
        <f>'ERDR Characteristics'!$D$8/$B$5*$M$27</f>
        <v>-0.205415195595363</v>
      </c>
      <c r="AC144" s="144">
        <f>'ERDR Characteristics'!$H$8/$B$5*$L$27</f>
        <v>0.596729038062085</v>
      </c>
      <c r="AD144" s="144">
        <f>'ERDR Characteristics'!$H$8/$B$5*$M$27</f>
        <v>-0.344521670758412</v>
      </c>
    </row>
    <row r="145">
      <c r="Z145" s="146">
        <v>23</v>
      </c>
      <c r="AA145" s="144">
        <f>'ERDR Characteristics'!$D$8/$B$5*$L$28</f>
        <v>0.396831685075563</v>
      </c>
      <c r="AB145" s="144">
        <f>'ERDR Characteristics'!$D$8/$B$5*$M$28</f>
        <v>-0.106330729547079</v>
      </c>
      <c r="AC145" s="144">
        <f>'ERDR Characteristics'!$H$8/$B$5*$L$28</f>
        <v>0.665564759003617</v>
      </c>
      <c r="AD145" s="144">
        <f>'ERDR Characteristics'!$H$8/$B$5*$M$28</f>
        <v>-0.178337539685635</v>
      </c>
    </row>
    <row r="146">
      <c r="Z146" s="146">
        <v>24</v>
      </c>
      <c r="AA146" s="144">
        <f>'ERDR Characteristics'!$D$8/$B$5*$L$29</f>
        <v>0.410830391190726</v>
      </c>
      <c r="AB146" s="144">
        <f>'ERDR Characteristics'!$D$8/$B$5*$M$29</f>
        <v>-1.00624424712835e-16</v>
      </c>
      <c r="AC146" s="144">
        <f>'ERDR Characteristics'!$H$8/$B$5*$L$29</f>
        <v>0.689043341516823</v>
      </c>
      <c r="AD146" s="144">
        <f>'ERDR Characteristics'!$H$8/$B$5*$M$29</f>
        <v>-1.68766944532475e-16</v>
      </c>
    </row>
    <row r="147"/>
    <row r="148">
      <c r="A148" s="59" t="inlineStr">
        <is>
          <t xml:space="preserve">Object S₅ · radial diagram on “Hyperspheres (Step 1)” — centre S₅, neighbours at their true distance ρ, in neighbour order clockwise from the top</t>
        </is>
      </c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</row>
    <row r="149">
      <c r="A149" s="63" t="inlineStr">
        <is>
          <t xml:space="preserve">Chart title</t>
        </is>
      </c>
      <c r="B149" s="145" t="str">
        <f>"S₅ (class "&amp;'Dataset'!$P$9&amp;")  ·  g = "&amp;'ERDR Characteristics'!$E$9&amp;"  ·  d = "&amp;TEXT('ERDR Characteristics'!$J$9,"0.000")&amp;"  ·  queue "&amp;'ERDR Characteristics'!$K$9</f>
        <v>S₅ (class 2)  ·  g = 3  ·  d = 0.000  ·  queue 3</v>
      </c>
    </row>
    <row r="150" ht="30" customHeight="1">
      <c r="A150" s="147" t="inlineStr">
        <is>
          <t xml:space="preserve">Sⱼ</t>
        </is>
      </c>
      <c r="B150" s="147" t="inlineStr">
        <is>
          <t xml:space="preserve">Class</t>
        </is>
      </c>
      <c r="C150" s="147" t="inlineStr">
        <is>
          <t xml:space="preserve">Rank around Sᵢ (0 = centre)</t>
        </is>
      </c>
      <c r="D150" s="147" t="inlineStr">
        <is>
          <t xml:space="preserve">ρ(Sᵢ, Sⱼ)</t>
        </is>
      </c>
      <c r="E150" s="147" t="inlineStr">
        <is>
          <t xml:space="preserve">Angle θ</t>
        </is>
      </c>
      <c r="F150" s="147" t="inlineStr">
        <is>
          <t xml:space="preserve">x</t>
        </is>
      </c>
      <c r="G150" s="147" t="inlineStr">
        <is>
          <t xml:space="preserve">y</t>
        </is>
      </c>
      <c r="H150" s="147" t="inlineStr">
        <is>
          <t xml:space="preserve">Counted in g(Sᵢ)</t>
        </is>
      </c>
      <c r="I150" s="147" t="inlineStr">
        <is>
          <t xml:space="preserve">K1 counted · x</t>
        </is>
      </c>
      <c r="J150" s="147" t="inlineStr">
        <is>
          <t xml:space="preserve">y</t>
        </is>
      </c>
      <c r="K150" s="147" t="inlineStr">
        <is>
          <t xml:space="preserve">K1 not counted · x</t>
        </is>
      </c>
      <c r="L150" s="147" t="inlineStr">
        <is>
          <t xml:space="preserve">y</t>
        </is>
      </c>
      <c r="M150" s="147" t="inlineStr">
        <is>
          <t xml:space="preserve">K2 counted · x</t>
        </is>
      </c>
      <c r="N150" s="147" t="inlineStr">
        <is>
          <t xml:space="preserve">y</t>
        </is>
      </c>
      <c r="O150" s="147" t="inlineStr">
        <is>
          <t xml:space="preserve">K2 not counted · x</t>
        </is>
      </c>
      <c r="P150" s="147" t="inlineStr">
        <is>
          <t xml:space="preserve">y</t>
        </is>
      </c>
      <c r="Q150" s="147" t="inlineStr">
        <is>
          <t xml:space="preserve">Centre K1 · x</t>
        </is>
      </c>
      <c r="R150" s="147" t="inlineStr">
        <is>
          <t xml:space="preserve">y</t>
        </is>
      </c>
      <c r="S150" s="147" t="inlineStr">
        <is>
          <t xml:space="preserve">Centre K2 · x</t>
        </is>
      </c>
      <c r="T150" s="147" t="inlineStr">
        <is>
          <t xml:space="preserve">y</t>
        </is>
      </c>
      <c r="U150" s="147" t="inlineStr">
        <is>
          <t xml:space="preserve">Label text</t>
        </is>
      </c>
      <c r="Z150" s="147" t="inlineStr">
        <is>
          <t xml:space="preserve">k</t>
        </is>
      </c>
      <c r="AA150" s="147" t="inlineStr">
        <is>
          <t xml:space="preserve">r-sphere · x</t>
        </is>
      </c>
      <c r="AB150" s="147" t="inlineStr">
        <is>
          <t xml:space="preserve">y</t>
        </is>
      </c>
      <c r="AC150" s="147" t="inlineStr">
        <is>
          <t xml:space="preserve">k-sphere · x</t>
        </is>
      </c>
      <c r="AD150" s="147" t="inlineStr">
        <is>
          <t xml:space="preserve">y</t>
        </is>
      </c>
    </row>
    <row r="151">
      <c r="A151" s="62" t="inlineStr">
        <is>
          <t xml:space="preserve">S₁</t>
        </is>
      </c>
      <c r="B151" s="68">
        <f>'Dataset'!$P$5</f>
        <v>2</v>
      </c>
      <c r="C151" s="146">
        <f>'Sorted Neighbors'!B$9</f>
        <v>1</v>
      </c>
      <c r="D151" s="144">
        <f>'Zhuravlev Distances'!B$9</f>
        <v>4.8565209225</v>
      </c>
      <c r="E151" s="144">
        <f>IF(C151=0,0,PI()/2-(C151-1)*$B$6)</f>
        <v>1.5707963267949</v>
      </c>
      <c r="F151" s="144">
        <f>D151/$B$5*COS(E151)</f>
        <v>3.29558247781348e-17</v>
      </c>
      <c r="G151" s="144">
        <f>D151/$B$5*SIN(E151)</f>
        <v>0.538209462533686</v>
      </c>
      <c r="H151" s="146">
        <f>IF(AND(C151&gt;0,B151='Dataset'!$P$9,D151&lt;'ERDR Characteristics'!$D$9),1,0)</f>
        <v>1</v>
      </c>
      <c r="I151" s="144" t="e">
        <f>IF(AND(C151&gt;0,B151=1,H151=1),F151,NA())</f>
        <v>#N/A</v>
      </c>
      <c r="J151" s="144" t="e">
        <f>IF(AND(C151&gt;0,B151=1,H151=1),G151,NA())</f>
        <v>#N/A</v>
      </c>
      <c r="K151" s="144" t="e">
        <f>IF(AND(C151&gt;0,B151=1,H151=0),F151,NA())</f>
        <v>#N/A</v>
      </c>
      <c r="L151" s="144" t="e">
        <f>IF(AND(C151&gt;0,B151=1,H151=0),G151,NA())</f>
        <v>#N/A</v>
      </c>
      <c r="M151" s="144">
        <f>IF(AND(C151&gt;0,B151=2,H151=1),F151,NA())</f>
        <v>3.29558247781348e-17</v>
      </c>
      <c r="N151" s="144">
        <f>IF(AND(C151&gt;0,B151=2,H151=1),G151,NA())</f>
        <v>0.538209462533686</v>
      </c>
      <c r="O151" s="144" t="e">
        <f>IF(AND(C151&gt;0,B151=2,H151=0),F151,NA())</f>
        <v>#N/A</v>
      </c>
      <c r="P151" s="144" t="e">
        <f>IF(AND(C151&gt;0,B151=2,H151=0),G151,NA())</f>
        <v>#N/A</v>
      </c>
      <c r="Q151" s="144" t="e">
        <f>IF(AND(C151=0,B151=1),0,NA())</f>
        <v>#N/A</v>
      </c>
      <c r="R151" s="144" t="e">
        <f>IF(AND(C151=0,B151=1),0,NA())</f>
        <v>#N/A</v>
      </c>
      <c r="S151" s="144" t="e">
        <f>IF(AND(C151=0,B151=2),0,NA())</f>
        <v>#N/A</v>
      </c>
      <c r="T151" s="144" t="e">
        <f>IF(AND(C151=0,B151=2),0,NA())</f>
        <v>#N/A</v>
      </c>
      <c r="U151" s="145" t="str">
        <f>IF(C151=0,A151,A151&amp;"  "&amp;TEXT(D151,"0.00")&amp;IF(C151='ERDR Characteristics'!$F$9,IF(C151=$B$9," (r, z)"," (r)"),IF(C151=$B$9," (z)","")))</f>
        <v>S₁  4.86</v>
      </c>
      <c r="Z151" s="146">
        <v>0</v>
      </c>
      <c r="AA151" s="144">
        <f>'ERDR Characteristics'!$D$9/$B$5*$L$5</f>
        <v>0.788133411409551</v>
      </c>
      <c r="AB151" s="144">
        <f>'ERDR Characteristics'!$D$9/$B$5*$M$5</f>
        <v>0</v>
      </c>
      <c r="AC151" s="144">
        <f>'ERDR Characteristics'!$H$9/$B$5*$L$5</f>
        <v>0.788133411409551</v>
      </c>
      <c r="AD151" s="144">
        <f>'ERDR Characteristics'!$H$9/$B$5*$M$5</f>
        <v>0</v>
      </c>
    </row>
    <row r="152">
      <c r="A152" s="62" t="inlineStr">
        <is>
          <t xml:space="preserve">S₂</t>
        </is>
      </c>
      <c r="B152" s="68">
        <f>'Dataset'!$P$6</f>
        <v>2</v>
      </c>
      <c r="C152" s="146">
        <f>'Sorted Neighbors'!C$9</f>
        <v>2</v>
      </c>
      <c r="D152" s="144">
        <f>'Zhuravlev Distances'!C$9</f>
        <v>6.104089157</v>
      </c>
      <c r="E152" s="144">
        <f>IF(C152=0,0,PI()/2-(C152-1)*$B$6)</f>
        <v>0.523598775598299</v>
      </c>
      <c r="F152" s="144">
        <f>D152/$B$5*COS(E152)</f>
        <v>0.5858380357876</v>
      </c>
      <c r="G152" s="144">
        <f>D152/$B$5*SIN(E152)</f>
        <v>0.338233747663492</v>
      </c>
      <c r="H152" s="146">
        <f>IF(AND(C152&gt;0,B152='Dataset'!$P$9,D152&lt;'ERDR Characteristics'!$D$9),1,0)</f>
        <v>1</v>
      </c>
      <c r="I152" s="144" t="e">
        <f>IF(AND(C152&gt;0,B152=1,H152=1),F152,NA())</f>
        <v>#N/A</v>
      </c>
      <c r="J152" s="144" t="e">
        <f>IF(AND(C152&gt;0,B152=1,H152=1),G152,NA())</f>
        <v>#N/A</v>
      </c>
      <c r="K152" s="144" t="e">
        <f>IF(AND(C152&gt;0,B152=1,H152=0),F152,NA())</f>
        <v>#N/A</v>
      </c>
      <c r="L152" s="144" t="e">
        <f>IF(AND(C152&gt;0,B152=1,H152=0),G152,NA())</f>
        <v>#N/A</v>
      </c>
      <c r="M152" s="144">
        <f>IF(AND(C152&gt;0,B152=2,H152=1),F152,NA())</f>
        <v>0.5858380357876</v>
      </c>
      <c r="N152" s="144">
        <f>IF(AND(C152&gt;0,B152=2,H152=1),G152,NA())</f>
        <v>0.338233747663492</v>
      </c>
      <c r="O152" s="144" t="e">
        <f>IF(AND(C152&gt;0,B152=2,H152=0),F152,NA())</f>
        <v>#N/A</v>
      </c>
      <c r="P152" s="144" t="e">
        <f>IF(AND(C152&gt;0,B152=2,H152=0),G152,NA())</f>
        <v>#N/A</v>
      </c>
      <c r="Q152" s="144" t="e">
        <f>IF(AND(C152=0,B152=1),0,NA())</f>
        <v>#N/A</v>
      </c>
      <c r="R152" s="144" t="e">
        <f>IF(AND(C152=0,B152=1),0,NA())</f>
        <v>#N/A</v>
      </c>
      <c r="S152" s="144" t="e">
        <f>IF(AND(C152=0,B152=2),0,NA())</f>
        <v>#N/A</v>
      </c>
      <c r="T152" s="144" t="e">
        <f>IF(AND(C152=0,B152=2),0,NA())</f>
        <v>#N/A</v>
      </c>
      <c r="U152" s="145" t="str">
        <f>IF(C152=0,A152,A152&amp;"  "&amp;TEXT(D152,"0.00")&amp;IF(C152='ERDR Characteristics'!$F$9,IF(C152=$B$9," (r, z)"," (r)"),IF(C152=$B$9," (z)","")))</f>
        <v>S₂  6.10</v>
      </c>
      <c r="Z152" s="146">
        <v>1</v>
      </c>
      <c r="AA152" s="144">
        <f>'ERDR Characteristics'!$D$9/$B$5*$L$6</f>
        <v>0.761278416641793</v>
      </c>
      <c r="AB152" s="144">
        <f>'ERDR Characteristics'!$D$9/$B$5*$M$6</f>
        <v>0.203983936954412</v>
      </c>
      <c r="AC152" s="144">
        <f>'ERDR Characteristics'!$H$9/$B$5*$L$6</f>
        <v>0.761278416641793</v>
      </c>
      <c r="AD152" s="144">
        <f>'ERDR Characteristics'!$H$9/$B$5*$M$6</f>
        <v>0.203983936954412</v>
      </c>
    </row>
    <row r="153">
      <c r="A153" s="62" t="inlineStr">
        <is>
          <t xml:space="preserve">S₃</t>
        </is>
      </c>
      <c r="B153" s="68">
        <f>'Dataset'!$P$7</f>
        <v>1</v>
      </c>
      <c r="C153" s="146">
        <f>'Sorted Neighbors'!D$9</f>
        <v>4</v>
      </c>
      <c r="D153" s="144">
        <f>'Zhuravlev Distances'!D$9</f>
        <v>7.3117496807</v>
      </c>
      <c r="E153" s="144">
        <f>IF(C153=0,0,PI()/2-(C153-1)*$B$6)</f>
        <v>-1.5707963267949</v>
      </c>
      <c r="F153" s="144">
        <f>D153/$B$5*COS(E153)</f>
        <v>4.96167411083016e-17</v>
      </c>
      <c r="G153" s="144">
        <f>D153/$B$5*SIN(E153)</f>
        <v>-0.810302874965201</v>
      </c>
      <c r="H153" s="146">
        <f>IF(AND(C153&gt;0,B153='Dataset'!$P$9,D153&lt;'ERDR Characteristics'!$D$9),1,0)</f>
        <v>0</v>
      </c>
      <c r="I153" s="144" t="e">
        <f>IF(AND(C153&gt;0,B153=1,H153=1),F153,NA())</f>
        <v>#N/A</v>
      </c>
      <c r="J153" s="144" t="e">
        <f>IF(AND(C153&gt;0,B153=1,H153=1),G153,NA())</f>
        <v>#N/A</v>
      </c>
      <c r="K153" s="144">
        <f>IF(AND(C153&gt;0,B153=1,H153=0),F153,NA())</f>
        <v>4.96167411083016e-17</v>
      </c>
      <c r="L153" s="144">
        <f>IF(AND(C153&gt;0,B153=1,H153=0),G153,NA())</f>
        <v>-0.810302874965201</v>
      </c>
      <c r="M153" s="144" t="e">
        <f>IF(AND(C153&gt;0,B153=2,H153=1),F153,NA())</f>
        <v>#N/A</v>
      </c>
      <c r="N153" s="144" t="e">
        <f>IF(AND(C153&gt;0,B153=2,H153=1),G153,NA())</f>
        <v>#N/A</v>
      </c>
      <c r="O153" s="144" t="e">
        <f>IF(AND(C153&gt;0,B153=2,H153=0),F153,NA())</f>
        <v>#N/A</v>
      </c>
      <c r="P153" s="144" t="e">
        <f>IF(AND(C153&gt;0,B153=2,H153=0),G153,NA())</f>
        <v>#N/A</v>
      </c>
      <c r="Q153" s="144" t="e">
        <f>IF(AND(C153=0,B153=1),0,NA())</f>
        <v>#N/A</v>
      </c>
      <c r="R153" s="144" t="e">
        <f>IF(AND(C153=0,B153=1),0,NA())</f>
        <v>#N/A</v>
      </c>
      <c r="S153" s="144" t="e">
        <f>IF(AND(C153=0,B153=2),0,NA())</f>
        <v>#N/A</v>
      </c>
      <c r="T153" s="144" t="e">
        <f>IF(AND(C153=0,B153=2),0,NA())</f>
        <v>#N/A</v>
      </c>
      <c r="U153" s="145" t="str">
        <f>IF(C153=0,A153,A153&amp;"  "&amp;TEXT(D153,"0.00")&amp;IF(C153='ERDR Characteristics'!$F$9,IF(C153=$B$9," (r, z)"," (r)"),IF(C153=$B$9," (z)","")))</f>
        <v>S₃  7.31</v>
      </c>
      <c r="Z153" s="146">
        <v>2</v>
      </c>
      <c r="AA153" s="144">
        <f>'ERDR Characteristics'!$D$9/$B$5*$L$7</f>
        <v>0.682543555851964</v>
      </c>
      <c r="AB153" s="144">
        <f>'ERDR Characteristics'!$D$9/$B$5*$M$7</f>
        <v>0.394066705704776</v>
      </c>
      <c r="AC153" s="144">
        <f>'ERDR Characteristics'!$H$9/$B$5*$L$7</f>
        <v>0.682543555851964</v>
      </c>
      <c r="AD153" s="144">
        <f>'ERDR Characteristics'!$H$9/$B$5*$M$7</f>
        <v>0.394066705704776</v>
      </c>
    </row>
    <row r="154">
      <c r="A154" s="62" t="inlineStr">
        <is>
          <t xml:space="preserve">S₄</t>
        </is>
      </c>
      <c r="B154" s="68">
        <f>'Dataset'!$P$8</f>
        <v>2</v>
      </c>
      <c r="C154" s="146">
        <f>'Sorted Neighbors'!E$9</f>
        <v>5</v>
      </c>
      <c r="D154" s="144">
        <f>'Zhuravlev Distances'!E$9</f>
        <v>7.8491221835</v>
      </c>
      <c r="E154" s="144">
        <f>IF(C154=0,0,PI()/2-(C154-1)*$B$6)</f>
        <v>-2.61799387799149</v>
      </c>
      <c r="F154" s="144">
        <f>D154/$B$5*COS(E154)</f>
        <v>-0.753317031315851</v>
      </c>
      <c r="G154" s="144">
        <f>D154/$B$5*SIN(E154)</f>
        <v>-0.434927790815337</v>
      </c>
      <c r="H154" s="146">
        <f>IF(AND(C154&gt;0,B154='Dataset'!$P$9,D154&lt;'ERDR Characteristics'!$D$9),1,0)</f>
        <v>0</v>
      </c>
      <c r="I154" s="144" t="e">
        <f>IF(AND(C154&gt;0,B154=1,H154=1),F154,NA())</f>
        <v>#N/A</v>
      </c>
      <c r="J154" s="144" t="e">
        <f>IF(AND(C154&gt;0,B154=1,H154=1),G154,NA())</f>
        <v>#N/A</v>
      </c>
      <c r="K154" s="144" t="e">
        <f>IF(AND(C154&gt;0,B154=1,H154=0),F154,NA())</f>
        <v>#N/A</v>
      </c>
      <c r="L154" s="144" t="e">
        <f>IF(AND(C154&gt;0,B154=1,H154=0),G154,NA())</f>
        <v>#N/A</v>
      </c>
      <c r="M154" s="144" t="e">
        <f>IF(AND(C154&gt;0,B154=2,H154=1),F154,NA())</f>
        <v>#N/A</v>
      </c>
      <c r="N154" s="144" t="e">
        <f>IF(AND(C154&gt;0,B154=2,H154=1),G154,NA())</f>
        <v>#N/A</v>
      </c>
      <c r="O154" s="144">
        <f>IF(AND(C154&gt;0,B154=2,H154=0),F154,NA())</f>
        <v>-0.753317031315851</v>
      </c>
      <c r="P154" s="144">
        <f>IF(AND(C154&gt;0,B154=2,H154=0),G154,NA())</f>
        <v>-0.434927790815337</v>
      </c>
      <c r="Q154" s="144" t="e">
        <f>IF(AND(C154=0,B154=1),0,NA())</f>
        <v>#N/A</v>
      </c>
      <c r="R154" s="144" t="e">
        <f>IF(AND(C154=0,B154=1),0,NA())</f>
        <v>#N/A</v>
      </c>
      <c r="S154" s="144" t="e">
        <f>IF(AND(C154=0,B154=2),0,NA())</f>
        <v>#N/A</v>
      </c>
      <c r="T154" s="144" t="e">
        <f>IF(AND(C154=0,B154=2),0,NA())</f>
        <v>#N/A</v>
      </c>
      <c r="U154" s="145" t="str">
        <f>IF(C154=0,A154,A154&amp;"  "&amp;TEXT(D154,"0.00")&amp;IF(C154='ERDR Characteristics'!$F$9,IF(C154=$B$9," (r, z)"," (r)"),IF(C154=$B$9," (z)","")))</f>
        <v>S₄  7.85</v>
      </c>
      <c r="Z154" s="146">
        <v>3</v>
      </c>
      <c r="AA154" s="144">
        <f>'ERDR Characteristics'!$D$9/$B$5*$L$8</f>
        <v>0.557294479687381</v>
      </c>
      <c r="AB154" s="144">
        <f>'ERDR Characteristics'!$D$9/$B$5*$M$8</f>
        <v>0.557294479687381</v>
      </c>
      <c r="AC154" s="144">
        <f>'ERDR Characteristics'!$H$9/$B$5*$L$8</f>
        <v>0.557294479687381</v>
      </c>
      <c r="AD154" s="144">
        <f>'ERDR Characteristics'!$H$9/$B$5*$M$8</f>
        <v>0.557294479687381</v>
      </c>
    </row>
    <row r="155">
      <c r="A155" s="62" t="inlineStr">
        <is>
          <t xml:space="preserve">S₅</t>
        </is>
      </c>
      <c r="B155" s="68">
        <f>'Dataset'!$P$9</f>
        <v>2</v>
      </c>
      <c r="C155" s="146">
        <v>0</v>
      </c>
      <c r="D155" s="144">
        <f>'Zhuravlev Distances'!F$9</f>
        <v>0</v>
      </c>
      <c r="E155" s="144">
        <f>IF(C155=0,0,PI()/2-(C155-1)*$B$6)</f>
        <v>0</v>
      </c>
      <c r="F155" s="144">
        <f>D155/$B$5*COS(E155)</f>
        <v>0</v>
      </c>
      <c r="G155" s="144">
        <f>D155/$B$5*SIN(E155)</f>
        <v>0</v>
      </c>
      <c r="H155" s="146">
        <f>IF(AND(C155&gt;0,B155='Dataset'!$P$9,D155&lt;'ERDR Characteristics'!$D$9),1,0)</f>
        <v>0</v>
      </c>
      <c r="I155" s="144" t="e">
        <f>IF(AND(C155&gt;0,B155=1,H155=1),F155,NA())</f>
        <v>#N/A</v>
      </c>
      <c r="J155" s="144" t="e">
        <f>IF(AND(C155&gt;0,B155=1,H155=1),G155,NA())</f>
        <v>#N/A</v>
      </c>
      <c r="K155" s="144" t="e">
        <f>IF(AND(C155&gt;0,B155=1,H155=0),F155,NA())</f>
        <v>#N/A</v>
      </c>
      <c r="L155" s="144" t="e">
        <f>IF(AND(C155&gt;0,B155=1,H155=0),G155,NA())</f>
        <v>#N/A</v>
      </c>
      <c r="M155" s="144" t="e">
        <f>IF(AND(C155&gt;0,B155=2,H155=1),F155,NA())</f>
        <v>#N/A</v>
      </c>
      <c r="N155" s="144" t="e">
        <f>IF(AND(C155&gt;0,B155=2,H155=1),G155,NA())</f>
        <v>#N/A</v>
      </c>
      <c r="O155" s="144" t="e">
        <f>IF(AND(C155&gt;0,B155=2,H155=0),F155,NA())</f>
        <v>#N/A</v>
      </c>
      <c r="P155" s="144" t="e">
        <f>IF(AND(C155&gt;0,B155=2,H155=0),G155,NA())</f>
        <v>#N/A</v>
      </c>
      <c r="Q155" s="144" t="e">
        <f>IF(AND(C155=0,B155=1),0,NA())</f>
        <v>#N/A</v>
      </c>
      <c r="R155" s="144" t="e">
        <f>IF(AND(C155=0,B155=1),0,NA())</f>
        <v>#N/A</v>
      </c>
      <c r="S155" s="144">
        <f>IF(AND(C155=0,B155=2),0,NA())</f>
        <v>0</v>
      </c>
      <c r="T155" s="144">
        <f>IF(AND(C155=0,B155=2),0,NA())</f>
        <v>0</v>
      </c>
      <c r="U155" s="145" t="str">
        <f>IF(C155=0,A155,A155&amp;"  "&amp;TEXT(D155,"0.00")&amp;IF(C155='ERDR Characteristics'!$F$9,IF(C155=$B$9," (r, z)"," (r)"),IF(C155=$B$9," (z)","")))</f>
        <v>S₅</v>
      </c>
      <c r="Z155" s="146">
        <v>4</v>
      </c>
      <c r="AA155" s="144">
        <f>'ERDR Characteristics'!$D$9/$B$5*$L$9</f>
        <v>0.394066705704776</v>
      </c>
      <c r="AB155" s="144">
        <f>'ERDR Characteristics'!$D$9/$B$5*$M$9</f>
        <v>0.682543555851964</v>
      </c>
      <c r="AC155" s="144">
        <f>'ERDR Characteristics'!$H$9/$B$5*$L$9</f>
        <v>0.394066705704776</v>
      </c>
      <c r="AD155" s="144">
        <f>'ERDR Characteristics'!$H$9/$B$5*$M$9</f>
        <v>0.682543555851964</v>
      </c>
    </row>
    <row r="156">
      <c r="A156" s="62" t="inlineStr">
        <is>
          <t xml:space="preserve">S₆</t>
        </is>
      </c>
      <c r="B156" s="68">
        <f>'Dataset'!$P$10</f>
        <v>1</v>
      </c>
      <c r="C156" s="146">
        <f>'Sorted Neighbors'!G$9</f>
        <v>6</v>
      </c>
      <c r="D156" s="144">
        <f>'Zhuravlev Distances'!G$9</f>
        <v>9.0234774016</v>
      </c>
      <c r="E156" s="144">
        <f>IF(C156=0,0,PI()/2-(C156-1)*$B$6)</f>
        <v>-3.66519142918809</v>
      </c>
      <c r="F156" s="144">
        <f>D156/$B$5*COS(E156)</f>
        <v>-0.866025403784439</v>
      </c>
      <c r="G156" s="144">
        <f>D156/$B$5*SIN(E156)</f>
        <v>0.499999999999999</v>
      </c>
      <c r="H156" s="146">
        <f>IF(AND(C156&gt;0,B156='Dataset'!$P$9,D156&lt;'ERDR Characteristics'!$D$9),1,0)</f>
        <v>0</v>
      </c>
      <c r="I156" s="144" t="e">
        <f>IF(AND(C156&gt;0,B156=1,H156=1),F156,NA())</f>
        <v>#N/A</v>
      </c>
      <c r="J156" s="144" t="e">
        <f>IF(AND(C156&gt;0,B156=1,H156=1),G156,NA())</f>
        <v>#N/A</v>
      </c>
      <c r="K156" s="144">
        <f>IF(AND(C156&gt;0,B156=1,H156=0),F156,NA())</f>
        <v>-0.866025403784439</v>
      </c>
      <c r="L156" s="144">
        <f>IF(AND(C156&gt;0,B156=1,H156=0),G156,NA())</f>
        <v>0.499999999999999</v>
      </c>
      <c r="M156" s="144" t="e">
        <f>IF(AND(C156&gt;0,B156=2,H156=1),F156,NA())</f>
        <v>#N/A</v>
      </c>
      <c r="N156" s="144" t="e">
        <f>IF(AND(C156&gt;0,B156=2,H156=1),G156,NA())</f>
        <v>#N/A</v>
      </c>
      <c r="O156" s="144" t="e">
        <f>IF(AND(C156&gt;0,B156=2,H156=0),F156,NA())</f>
        <v>#N/A</v>
      </c>
      <c r="P156" s="144" t="e">
        <f>IF(AND(C156&gt;0,B156=2,H156=0),G156,NA())</f>
        <v>#N/A</v>
      </c>
      <c r="Q156" s="144" t="e">
        <f>IF(AND(C156=0,B156=1),0,NA())</f>
        <v>#N/A</v>
      </c>
      <c r="R156" s="144" t="e">
        <f>IF(AND(C156=0,B156=1),0,NA())</f>
        <v>#N/A</v>
      </c>
      <c r="S156" s="144" t="e">
        <f>IF(AND(C156=0,B156=2),0,NA())</f>
        <v>#N/A</v>
      </c>
      <c r="T156" s="144" t="e">
        <f>IF(AND(C156=0,B156=2),0,NA())</f>
        <v>#N/A</v>
      </c>
      <c r="U156" s="145" t="str">
        <f>IF(C156=0,A156,A156&amp;"  "&amp;TEXT(D156,"0.00")&amp;IF(C156='ERDR Characteristics'!$F$9,IF(C156=$B$9," (r, z)"," (r)"),IF(C156=$B$9," (z)","")))</f>
        <v>S₆  9.02</v>
      </c>
      <c r="Z156" s="146">
        <v>5</v>
      </c>
      <c r="AA156" s="144">
        <f>'ERDR Characteristics'!$D$9/$B$5*$L$10</f>
        <v>0.203983936954412</v>
      </c>
      <c r="AB156" s="144">
        <f>'ERDR Characteristics'!$D$9/$B$5*$M$10</f>
        <v>0.761278416641793</v>
      </c>
      <c r="AC156" s="144">
        <f>'ERDR Characteristics'!$H$9/$B$5*$L$10</f>
        <v>0.203983936954412</v>
      </c>
      <c r="AD156" s="144">
        <f>'ERDR Characteristics'!$H$9/$B$5*$M$10</f>
        <v>0.761278416641793</v>
      </c>
    </row>
    <row r="157">
      <c r="A157" s="62" t="inlineStr">
        <is>
          <t xml:space="preserve">S₇</t>
        </is>
      </c>
      <c r="B157" s="68">
        <f>'Dataset'!$P$11</f>
        <v>1</v>
      </c>
      <c r="C157" s="146">
        <f>'Sorted Neighbors'!H$9</f>
        <v>3</v>
      </c>
      <c r="D157" s="144">
        <f>'Zhuravlev Distances'!H$9</f>
        <v>7.1117040273</v>
      </c>
      <c r="E157" s="144">
        <f>IF(C157=0,0,PI()/2-(C157-1)*$B$6)</f>
        <v>-0.523598775598299</v>
      </c>
      <c r="F157" s="144">
        <f>D157/$B$5*COS(E157)</f>
        <v>0.682543555851964</v>
      </c>
      <c r="G157" s="144">
        <f>D157/$B$5*SIN(E157)</f>
        <v>-0.394066705704776</v>
      </c>
      <c r="H157" s="146">
        <f>IF(AND(C157&gt;0,B157='Dataset'!$P$9,D157&lt;'ERDR Characteristics'!$D$9),1,0)</f>
        <v>0</v>
      </c>
      <c r="I157" s="144" t="e">
        <f>IF(AND(C157&gt;0,B157=1,H157=1),F157,NA())</f>
        <v>#N/A</v>
      </c>
      <c r="J157" s="144" t="e">
        <f>IF(AND(C157&gt;0,B157=1,H157=1),G157,NA())</f>
        <v>#N/A</v>
      </c>
      <c r="K157" s="144">
        <f>IF(AND(C157&gt;0,B157=1,H157=0),F157,NA())</f>
        <v>0.682543555851964</v>
      </c>
      <c r="L157" s="144">
        <f>IF(AND(C157&gt;0,B157=1,H157=0),G157,NA())</f>
        <v>-0.394066705704776</v>
      </c>
      <c r="M157" s="144" t="e">
        <f>IF(AND(C157&gt;0,B157=2,H157=1),F157,NA())</f>
        <v>#N/A</v>
      </c>
      <c r="N157" s="144" t="e">
        <f>IF(AND(C157&gt;0,B157=2,H157=1),G157,NA())</f>
        <v>#N/A</v>
      </c>
      <c r="O157" s="144" t="e">
        <f>IF(AND(C157&gt;0,B157=2,H157=0),F157,NA())</f>
        <v>#N/A</v>
      </c>
      <c r="P157" s="144" t="e">
        <f>IF(AND(C157&gt;0,B157=2,H157=0),G157,NA())</f>
        <v>#N/A</v>
      </c>
      <c r="Q157" s="144" t="e">
        <f>IF(AND(C157=0,B157=1),0,NA())</f>
        <v>#N/A</v>
      </c>
      <c r="R157" s="144" t="e">
        <f>IF(AND(C157=0,B157=1),0,NA())</f>
        <v>#N/A</v>
      </c>
      <c r="S157" s="144" t="e">
        <f>IF(AND(C157=0,B157=2),0,NA())</f>
        <v>#N/A</v>
      </c>
      <c r="T157" s="144" t="e">
        <f>IF(AND(C157=0,B157=2),0,NA())</f>
        <v>#N/A</v>
      </c>
      <c r="U157" s="145" t="str">
        <f>IF(C157=0,A157,A157&amp;"  "&amp;TEXT(D157,"0.00")&amp;IF(C157='ERDR Characteristics'!$F$9,IF(C157=$B$9," (r, z)"," (r)"),IF(C157=$B$9," (z)","")))</f>
        <v>S₇  7.11 (r, z)</v>
      </c>
      <c r="Z157" s="146">
        <v>6</v>
      </c>
      <c r="AA157" s="144">
        <f>'ERDR Characteristics'!$D$9/$B$5*$L$11</f>
        <v>4.82592529791895e-17</v>
      </c>
      <c r="AB157" s="144">
        <f>'ERDR Characteristics'!$D$9/$B$5*$M$11</f>
        <v>0.788133411409551</v>
      </c>
      <c r="AC157" s="144">
        <f>'ERDR Characteristics'!$H$9/$B$5*$L$11</f>
        <v>4.82592529791895e-17</v>
      </c>
      <c r="AD157" s="144">
        <f>'ERDR Characteristics'!$H$9/$B$5*$M$11</f>
        <v>0.788133411409551</v>
      </c>
    </row>
    <row r="158">
      <c r="A158" s="63" t="inlineStr">
        <is>
          <t xml:space="preserve">r label</t>
        </is>
      </c>
      <c r="U158" s="145" t="str">
        <f>"r = "&amp;TEXT('ERDR Characteristics'!$D$9,"0.00")</f>
        <v>r = 7.11</v>
      </c>
      <c r="V158" s="144">
        <f>'ERDR Characteristics'!$D$9/$B$5</f>
        <v>0.788133411409551</v>
      </c>
      <c r="W158" s="144">
        <v>0</v>
      </c>
      <c r="Z158" s="146">
        <v>7</v>
      </c>
      <c r="AA158" s="144">
        <f>'ERDR Characteristics'!$D$9/$B$5*$L$12</f>
        <v>-0.203983936954412</v>
      </c>
      <c r="AB158" s="144">
        <f>'ERDR Characteristics'!$D$9/$B$5*$M$12</f>
        <v>0.761278416641793</v>
      </c>
      <c r="AC158" s="144">
        <f>'ERDR Characteristics'!$H$9/$B$5*$L$12</f>
        <v>-0.203983936954412</v>
      </c>
      <c r="AD158" s="144">
        <f>'ERDR Characteristics'!$H$9/$B$5*$M$12</f>
        <v>0.761278416641793</v>
      </c>
    </row>
    <row r="159">
      <c r="A159" s="63" t="inlineStr">
        <is>
          <t xml:space="preserve">z label</t>
        </is>
      </c>
      <c r="U159" s="145" t="str">
        <f>"z = "&amp;TEXT('ERDR Characteristics'!$H$9,"0.00")</f>
        <v>z = 7.11</v>
      </c>
      <c r="V159" s="144">
        <f>-'ERDR Characteristics'!$H$9/$B$5</f>
        <v>-0.788133411409551</v>
      </c>
      <c r="W159" s="144">
        <v>0</v>
      </c>
      <c r="Z159" s="146">
        <v>8</v>
      </c>
      <c r="AA159" s="144">
        <f>'ERDR Characteristics'!$D$9/$B$5*$L$13</f>
        <v>-0.394066705704775</v>
      </c>
      <c r="AB159" s="144">
        <f>'ERDR Characteristics'!$D$9/$B$5*$M$13</f>
        <v>0.682543555851964</v>
      </c>
      <c r="AC159" s="144">
        <f>'ERDR Characteristics'!$H$9/$B$5*$L$13</f>
        <v>-0.394066705704775</v>
      </c>
      <c r="AD159" s="144">
        <f>'ERDR Characteristics'!$H$9/$B$5*$M$13</f>
        <v>0.682543555851964</v>
      </c>
    </row>
    <row r="160">
      <c r="A160" s="147" t="inlineStr">
        <is>
          <t xml:space="preserve">Label slot</t>
        </is>
      </c>
      <c r="B160" s="147" t="inlineStr">
        <is>
          <t xml:space="preserve">Rank t</t>
        </is>
      </c>
      <c r="C160" s="147" t="inlineStr">
        <is>
          <t xml:space="preserve">Object</t>
        </is>
      </c>
      <c r="D160" s="147" t="inlineStr">
        <is>
          <t xml:space="preserve">Label</t>
        </is>
      </c>
      <c r="E160" s="147" t="inlineStr">
        <is>
          <t xml:space="preserve">x</t>
        </is>
      </c>
      <c r="F160" s="147" t="inlineStr">
        <is>
          <t xml:space="preserve">y</t>
        </is>
      </c>
      <c r="Z160" s="146">
        <v>9</v>
      </c>
      <c r="AA160" s="144">
        <f>'ERDR Characteristics'!$D$9/$B$5*$L$14</f>
        <v>-0.557294479687381</v>
      </c>
      <c r="AB160" s="144">
        <f>'ERDR Characteristics'!$D$9/$B$5*$M$14</f>
        <v>0.557294479687381</v>
      </c>
      <c r="AC160" s="144">
        <f>'ERDR Characteristics'!$H$9/$B$5*$L$14</f>
        <v>-0.557294479687381</v>
      </c>
      <c r="AD160" s="144">
        <f>'ERDR Characteristics'!$H$9/$B$5*$M$14</f>
        <v>0.557294479687381</v>
      </c>
    </row>
    <row r="161">
      <c r="A161" s="63" t="inlineStr">
        <is>
          <t xml:space="preserve">slot 1 (t)</t>
        </is>
      </c>
      <c r="B161" s="146">
        <v>1</v>
      </c>
      <c r="C161" s="146">
        <f>IFERROR(MATCH(B161,$C$151:$C$157,0),NA())</f>
        <v>1</v>
      </c>
      <c r="D161" s="145" t="str">
        <f>IFERROR(INDEX($U$151:$U$157,C161),"")</f>
        <v>S₁  4.86</v>
      </c>
      <c r="E161" s="144">
        <f>IFERROR(INDEX($F$151:$F$157,C161),NA())</f>
        <v>3.29558247781348e-17</v>
      </c>
      <c r="F161" s="144">
        <f>IFERROR(INDEX($G$151:$G$157,C161),NA())</f>
        <v>0.538209462533686</v>
      </c>
      <c r="Z161" s="146">
        <v>10</v>
      </c>
      <c r="AA161" s="144">
        <f>'ERDR Characteristics'!$D$9/$B$5*$L$15</f>
        <v>-0.682543555851964</v>
      </c>
      <c r="AB161" s="144">
        <f>'ERDR Characteristics'!$D$9/$B$5*$M$15</f>
        <v>0.394066705704776</v>
      </c>
      <c r="AC161" s="144">
        <f>'ERDR Characteristics'!$H$9/$B$5*$L$15</f>
        <v>-0.682543555851964</v>
      </c>
      <c r="AD161" s="144">
        <f>'ERDR Characteristics'!$H$9/$B$5*$M$15</f>
        <v>0.394066705704776</v>
      </c>
    </row>
    <row r="162">
      <c r="A162" s="63" t="inlineStr">
        <is>
          <t xml:space="preserve">slot 2 (r)</t>
        </is>
      </c>
      <c r="B162" s="146">
        <v>2</v>
      </c>
      <c r="C162" s="146">
        <f>IFERROR(MATCH(B162,$C$151:$C$157,0),NA())</f>
        <v>2</v>
      </c>
      <c r="D162" s="145" t="str">
        <f>IFERROR(INDEX($U$151:$U$157,C162),"")</f>
        <v>S₂  6.10</v>
      </c>
      <c r="E162" s="144">
        <f>IFERROR(INDEX($F$151:$F$157,C162),NA())</f>
        <v>0.5858380357876</v>
      </c>
      <c r="F162" s="144">
        <f>IFERROR(INDEX($G$151:$G$157,C162),NA())</f>
        <v>0.338233747663492</v>
      </c>
      <c r="Z162" s="146">
        <v>11</v>
      </c>
      <c r="AA162" s="144">
        <f>'ERDR Characteristics'!$D$9/$B$5*$L$16</f>
        <v>-0.761278416641793</v>
      </c>
      <c r="AB162" s="144">
        <f>'ERDR Characteristics'!$D$9/$B$5*$M$16</f>
        <v>0.203983936954412</v>
      </c>
      <c r="AC162" s="144">
        <f>'ERDR Characteristics'!$H$9/$B$5*$L$16</f>
        <v>-0.761278416641793</v>
      </c>
      <c r="AD162" s="144">
        <f>'ERDR Characteristics'!$H$9/$B$5*$M$16</f>
        <v>0.203983936954412</v>
      </c>
    </row>
    <row r="163">
      <c r="A163" s="63" t="inlineStr">
        <is>
          <t xml:space="preserve">slot 3 (r)</t>
        </is>
      </c>
      <c r="B163" s="146">
        <v>3</v>
      </c>
      <c r="C163" s="146">
        <f>IFERROR(MATCH(B163,$C$151:$C$157,0),NA())</f>
        <v>7</v>
      </c>
      <c r="D163" s="145" t="str">
        <f>IFERROR(INDEX($U$151:$U$157,C163),"")</f>
        <v>S₇  7.11 (r, z)</v>
      </c>
      <c r="E163" s="144">
        <f>IFERROR(INDEX($F$151:$F$157,C163),NA())</f>
        <v>0.682543555851964</v>
      </c>
      <c r="F163" s="144">
        <f>IFERROR(INDEX($G$151:$G$157,C163),NA())</f>
        <v>-0.394066705704776</v>
      </c>
      <c r="Z163" s="146">
        <v>12</v>
      </c>
      <c r="AA163" s="144">
        <f>'ERDR Characteristics'!$D$9/$B$5*$L$17</f>
        <v>-0.788133411409551</v>
      </c>
      <c r="AB163" s="144">
        <f>'ERDR Characteristics'!$D$9/$B$5*$M$17</f>
        <v>9.65185059583791e-17</v>
      </c>
      <c r="AC163" s="144">
        <f>'ERDR Characteristics'!$H$9/$B$5*$L$17</f>
        <v>-0.788133411409551</v>
      </c>
      <c r="AD163" s="144">
        <f>'ERDR Characteristics'!$H$9/$B$5*$M$17</f>
        <v>9.65185059583791e-17</v>
      </c>
    </row>
    <row r="164">
      <c r="A164" s="63" t="inlineStr">
        <is>
          <t xml:space="preserve">slot 4 (b)</t>
        </is>
      </c>
      <c r="B164" s="146">
        <v>4</v>
      </c>
      <c r="C164" s="146">
        <f>IFERROR(MATCH(B164,$C$151:$C$157,0),NA())</f>
        <v>3</v>
      </c>
      <c r="D164" s="145" t="str">
        <f>IFERROR(INDEX($U$151:$U$157,C164),"")</f>
        <v>S₃  7.31</v>
      </c>
      <c r="E164" s="144">
        <f>IFERROR(INDEX($F$151:$F$157,C164),NA())</f>
        <v>4.96167411083016e-17</v>
      </c>
      <c r="F164" s="144">
        <f>IFERROR(INDEX($G$151:$G$157,C164),NA())</f>
        <v>-0.810302874965201</v>
      </c>
      <c r="Z164" s="146">
        <v>13</v>
      </c>
      <c r="AA164" s="144">
        <f>'ERDR Characteristics'!$D$9/$B$5*$L$18</f>
        <v>-0.761278416641793</v>
      </c>
      <c r="AB164" s="144">
        <f>'ERDR Characteristics'!$D$9/$B$5*$M$18</f>
        <v>-0.203983936954412</v>
      </c>
      <c r="AC164" s="144">
        <f>'ERDR Characteristics'!$H$9/$B$5*$L$18</f>
        <v>-0.761278416641793</v>
      </c>
      <c r="AD164" s="144">
        <f>'ERDR Characteristics'!$H$9/$B$5*$M$18</f>
        <v>-0.203983936954412</v>
      </c>
    </row>
    <row r="165">
      <c r="A165" s="63" t="inlineStr">
        <is>
          <t xml:space="preserve">slot 5 (l)</t>
        </is>
      </c>
      <c r="B165" s="146">
        <v>5</v>
      </c>
      <c r="C165" s="146">
        <f>IFERROR(MATCH(B165,$C$151:$C$157,0),NA())</f>
        <v>4</v>
      </c>
      <c r="D165" s="145" t="str">
        <f>IFERROR(INDEX($U$151:$U$157,C165),"")</f>
        <v>S₄  7.85</v>
      </c>
      <c r="E165" s="144">
        <f>IFERROR(INDEX($F$151:$F$157,C165),NA())</f>
        <v>-0.753317031315851</v>
      </c>
      <c r="F165" s="144">
        <f>IFERROR(INDEX($G$151:$G$157,C165),NA())</f>
        <v>-0.434927790815337</v>
      </c>
      <c r="Z165" s="146">
        <v>14</v>
      </c>
      <c r="AA165" s="144">
        <f>'ERDR Characteristics'!$D$9/$B$5*$L$19</f>
        <v>-0.682543555851964</v>
      </c>
      <c r="AB165" s="144">
        <f>'ERDR Characteristics'!$D$9/$B$5*$M$19</f>
        <v>-0.394066705704775</v>
      </c>
      <c r="AC165" s="144">
        <f>'ERDR Characteristics'!$H$9/$B$5*$L$19</f>
        <v>-0.682543555851964</v>
      </c>
      <c r="AD165" s="144">
        <f>'ERDR Characteristics'!$H$9/$B$5*$M$19</f>
        <v>-0.394066705704775</v>
      </c>
    </row>
    <row r="166">
      <c r="A166" s="63" t="inlineStr">
        <is>
          <t xml:space="preserve">slot 6 (l)</t>
        </is>
      </c>
      <c r="B166" s="146">
        <v>6</v>
      </c>
      <c r="C166" s="146">
        <f>IFERROR(MATCH(B166,$C$151:$C$157,0),NA())</f>
        <v>6</v>
      </c>
      <c r="D166" s="145" t="str">
        <f>IFERROR(INDEX($U$151:$U$157,C166),"")</f>
        <v>S₆  9.02</v>
      </c>
      <c r="E166" s="144">
        <f>IFERROR(INDEX($F$151:$F$157,C166),NA())</f>
        <v>-0.866025403784439</v>
      </c>
      <c r="F166" s="144">
        <f>IFERROR(INDEX($G$151:$G$157,C166),NA())</f>
        <v>0.499999999999999</v>
      </c>
      <c r="Z166" s="146">
        <v>15</v>
      </c>
      <c r="AA166" s="144">
        <f>'ERDR Characteristics'!$D$9/$B$5*$L$20</f>
        <v>-0.557294479687381</v>
      </c>
      <c r="AB166" s="144">
        <f>'ERDR Characteristics'!$D$9/$B$5*$M$20</f>
        <v>-0.55729447968738</v>
      </c>
      <c r="AC166" s="144">
        <f>'ERDR Characteristics'!$H$9/$B$5*$L$20</f>
        <v>-0.557294479687381</v>
      </c>
      <c r="AD166" s="144">
        <f>'ERDR Characteristics'!$H$9/$B$5*$M$20</f>
        <v>-0.55729447968738</v>
      </c>
    </row>
    <row r="167">
      <c r="A167" s="63" t="inlineStr">
        <is>
          <t xml:space="preserve">centre (b)</t>
        </is>
      </c>
      <c r="C167" s="146">
        <v>5</v>
      </c>
      <c r="D167" s="145" t="str">
        <f>$A$155</f>
        <v>S₅</v>
      </c>
      <c r="E167" s="144">
        <v>0</v>
      </c>
      <c r="F167" s="144">
        <v>0</v>
      </c>
      <c r="Z167" s="146">
        <v>16</v>
      </c>
      <c r="AA167" s="144">
        <f>'ERDR Characteristics'!$D$9/$B$5*$L$21</f>
        <v>-0.394066705704776</v>
      </c>
      <c r="AB167" s="144">
        <f>'ERDR Characteristics'!$D$9/$B$5*$M$21</f>
        <v>-0.682543555851964</v>
      </c>
      <c r="AC167" s="144">
        <f>'ERDR Characteristics'!$H$9/$B$5*$L$21</f>
        <v>-0.394066705704776</v>
      </c>
      <c r="AD167" s="144">
        <f>'ERDR Characteristics'!$H$9/$B$5*$M$21</f>
        <v>-0.682543555851964</v>
      </c>
    </row>
    <row r="168">
      <c r="A168" s="63" t="inlineStr">
        <is>
          <t xml:space="preserve">caption, top left (r)</t>
        </is>
      </c>
      <c r="D168" s="145" t="str">
        <f>"g = "&amp;'ERDR Characteristics'!$E$9&amp;"  ·  d = "&amp;TEXT('ERDR Characteristics'!$J$9,"0.000")</f>
        <v>g = 3  ·  d = 0.000</v>
      </c>
      <c r="E168" s="144">
        <v>-1.2</v>
      </c>
      <c r="F168" s="144">
        <v>1.18</v>
      </c>
      <c r="Z168" s="146">
        <v>17</v>
      </c>
      <c r="AA168" s="144">
        <f>'ERDR Characteristics'!$D$9/$B$5*$L$22</f>
        <v>-0.203983936954412</v>
      </c>
      <c r="AB168" s="144">
        <f>'ERDR Characteristics'!$D$9/$B$5*$M$22</f>
        <v>-0.761278416641793</v>
      </c>
      <c r="AC168" s="144">
        <f>'ERDR Characteristics'!$H$9/$B$5*$L$22</f>
        <v>-0.203983936954412</v>
      </c>
      <c r="AD168" s="144">
        <f>'ERDR Characteristics'!$H$9/$B$5*$M$22</f>
        <v>-0.761278416641793</v>
      </c>
    </row>
    <row r="169">
      <c r="A169" s="63" t="inlineStr">
        <is>
          <t xml:space="preserve">caption, top right (l)</t>
        </is>
      </c>
      <c r="D169" s="145" t="str">
        <f>"class "&amp;'Dataset'!$P$9&amp;"  ·  queue "&amp;'ERDR Characteristics'!$K$9</f>
        <v>class 2  ·  queue 3</v>
      </c>
      <c r="E169" s="144">
        <v>1.2</v>
      </c>
      <c r="F169" s="144">
        <v>1.18</v>
      </c>
      <c r="Z169" s="146">
        <v>18</v>
      </c>
      <c r="AA169" s="144">
        <f>'ERDR Characteristics'!$D$9/$B$5*$L$23</f>
        <v>-1.44777758937569e-16</v>
      </c>
      <c r="AB169" s="144">
        <f>'ERDR Characteristics'!$D$9/$B$5*$M$23</f>
        <v>-0.788133411409551</v>
      </c>
      <c r="AC169" s="144">
        <f>'ERDR Characteristics'!$H$9/$B$5*$L$23</f>
        <v>-1.44777758937569e-16</v>
      </c>
      <c r="AD169" s="144">
        <f>'ERDR Characteristics'!$H$9/$B$5*$M$23</f>
        <v>-0.788133411409551</v>
      </c>
    </row>
    <row r="170">
      <c r="Z170" s="146">
        <v>19</v>
      </c>
      <c r="AA170" s="144">
        <f>'ERDR Characteristics'!$D$9/$B$5*$L$24</f>
        <v>0.203983936954412</v>
      </c>
      <c r="AB170" s="144">
        <f>'ERDR Characteristics'!$D$9/$B$5*$M$24</f>
        <v>-0.761278416641793</v>
      </c>
      <c r="AC170" s="144">
        <f>'ERDR Characteristics'!$H$9/$B$5*$L$24</f>
        <v>0.203983936954412</v>
      </c>
      <c r="AD170" s="144">
        <f>'ERDR Characteristics'!$H$9/$B$5*$M$24</f>
        <v>-0.761278416641793</v>
      </c>
    </row>
    <row r="171">
      <c r="Z171" s="146">
        <v>20</v>
      </c>
      <c r="AA171" s="144">
        <f>'ERDR Characteristics'!$D$9/$B$5*$L$25</f>
        <v>0.394066705704776</v>
      </c>
      <c r="AB171" s="144">
        <f>'ERDR Characteristics'!$D$9/$B$5*$M$25</f>
        <v>-0.682543555851964</v>
      </c>
      <c r="AC171" s="144">
        <f>'ERDR Characteristics'!$H$9/$B$5*$L$25</f>
        <v>0.394066705704776</v>
      </c>
      <c r="AD171" s="144">
        <f>'ERDR Characteristics'!$H$9/$B$5*$M$25</f>
        <v>-0.682543555851964</v>
      </c>
    </row>
    <row r="172">
      <c r="Z172" s="146">
        <v>21</v>
      </c>
      <c r="AA172" s="144">
        <f>'ERDR Characteristics'!$D$9/$B$5*$L$26</f>
        <v>0.557294479687381</v>
      </c>
      <c r="AB172" s="144">
        <f>'ERDR Characteristics'!$D$9/$B$5*$M$26</f>
        <v>-0.557294479687381</v>
      </c>
      <c r="AC172" s="144">
        <f>'ERDR Characteristics'!$H$9/$B$5*$L$26</f>
        <v>0.557294479687381</v>
      </c>
      <c r="AD172" s="144">
        <f>'ERDR Characteristics'!$H$9/$B$5*$M$26</f>
        <v>-0.557294479687381</v>
      </c>
    </row>
    <row r="173">
      <c r="Z173" s="146">
        <v>22</v>
      </c>
      <c r="AA173" s="144">
        <f>'ERDR Characteristics'!$D$9/$B$5*$L$27</f>
        <v>0.682543555851964</v>
      </c>
      <c r="AB173" s="144">
        <f>'ERDR Characteristics'!$D$9/$B$5*$M$27</f>
        <v>-0.394066705704776</v>
      </c>
      <c r="AC173" s="144">
        <f>'ERDR Characteristics'!$H$9/$B$5*$L$27</f>
        <v>0.682543555851964</v>
      </c>
      <c r="AD173" s="144">
        <f>'ERDR Characteristics'!$H$9/$B$5*$M$27</f>
        <v>-0.394066705704776</v>
      </c>
    </row>
    <row r="174">
      <c r="Z174" s="146">
        <v>23</v>
      </c>
      <c r="AA174" s="144">
        <f>'ERDR Characteristics'!$D$9/$B$5*$L$28</f>
        <v>0.761278416641793</v>
      </c>
      <c r="AB174" s="144">
        <f>'ERDR Characteristics'!$D$9/$B$5*$M$28</f>
        <v>-0.203983936954413</v>
      </c>
      <c r="AC174" s="144">
        <f>'ERDR Characteristics'!$H$9/$B$5*$L$28</f>
        <v>0.761278416641793</v>
      </c>
      <c r="AD174" s="144">
        <f>'ERDR Characteristics'!$H$9/$B$5*$M$28</f>
        <v>-0.203983936954413</v>
      </c>
    </row>
    <row r="175">
      <c r="Z175" s="146">
        <v>24</v>
      </c>
      <c r="AA175" s="144">
        <f>'ERDR Characteristics'!$D$9/$B$5*$L$29</f>
        <v>0.788133411409551</v>
      </c>
      <c r="AB175" s="144">
        <f>'ERDR Characteristics'!$D$9/$B$5*$M$29</f>
        <v>-1.93037011916758e-16</v>
      </c>
      <c r="AC175" s="144">
        <f>'ERDR Characteristics'!$H$9/$B$5*$L$29</f>
        <v>0.788133411409551</v>
      </c>
      <c r="AD175" s="144">
        <f>'ERDR Characteristics'!$H$9/$B$5*$M$29</f>
        <v>-1.93037011916758e-16</v>
      </c>
    </row>
    <row r="176"/>
    <row r="177">
      <c r="A177" s="59" t="inlineStr">
        <is>
          <t xml:space="preserve">Object S₆ · radial diagram on “Hyperspheres (Step 1)” — centre S₆, neighbours at their true distance ρ, in neighbour order clockwise from the top</t>
        </is>
      </c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</row>
    <row r="178">
      <c r="A178" s="63" t="inlineStr">
        <is>
          <t xml:space="preserve">Chart title</t>
        </is>
      </c>
      <c r="B178" s="145" t="str">
        <f>"S₆ (class "&amp;'Dataset'!$P$10&amp;")  ·  g = "&amp;'ERDR Characteristics'!$E$10&amp;"  ·  d = "&amp;TEXT('ERDR Characteristics'!$J$10,"0.000")&amp;"  ·  queue "&amp;'ERDR Characteristics'!$K$10</f>
        <v>S₆ (class 1)  ·  g = 1  ·  d = 0.169  ·  queue 6</v>
      </c>
    </row>
    <row r="179" ht="30" customHeight="1">
      <c r="A179" s="147" t="inlineStr">
        <is>
          <t xml:space="preserve">Sⱼ</t>
        </is>
      </c>
      <c r="B179" s="147" t="inlineStr">
        <is>
          <t xml:space="preserve">Class</t>
        </is>
      </c>
      <c r="C179" s="147" t="inlineStr">
        <is>
          <t xml:space="preserve">Rank around Sᵢ (0 = centre)</t>
        </is>
      </c>
      <c r="D179" s="147" t="inlineStr">
        <is>
          <t xml:space="preserve">ρ(Sᵢ, Sⱼ)</t>
        </is>
      </c>
      <c r="E179" s="147" t="inlineStr">
        <is>
          <t xml:space="preserve">Angle θ</t>
        </is>
      </c>
      <c r="F179" s="147" t="inlineStr">
        <is>
          <t xml:space="preserve">x</t>
        </is>
      </c>
      <c r="G179" s="147" t="inlineStr">
        <is>
          <t xml:space="preserve">y</t>
        </is>
      </c>
      <c r="H179" s="147" t="inlineStr">
        <is>
          <t xml:space="preserve">Counted in g(Sᵢ)</t>
        </is>
      </c>
      <c r="I179" s="147" t="inlineStr">
        <is>
          <t xml:space="preserve">K1 counted · x</t>
        </is>
      </c>
      <c r="J179" s="147" t="inlineStr">
        <is>
          <t xml:space="preserve">y</t>
        </is>
      </c>
      <c r="K179" s="147" t="inlineStr">
        <is>
          <t xml:space="preserve">K1 not counted · x</t>
        </is>
      </c>
      <c r="L179" s="147" t="inlineStr">
        <is>
          <t xml:space="preserve">y</t>
        </is>
      </c>
      <c r="M179" s="147" t="inlineStr">
        <is>
          <t xml:space="preserve">K2 counted · x</t>
        </is>
      </c>
      <c r="N179" s="147" t="inlineStr">
        <is>
          <t xml:space="preserve">y</t>
        </is>
      </c>
      <c r="O179" s="147" t="inlineStr">
        <is>
          <t xml:space="preserve">K2 not counted · x</t>
        </is>
      </c>
      <c r="P179" s="147" t="inlineStr">
        <is>
          <t xml:space="preserve">y</t>
        </is>
      </c>
      <c r="Q179" s="147" t="inlineStr">
        <is>
          <t xml:space="preserve">Centre K1 · x</t>
        </is>
      </c>
      <c r="R179" s="147" t="inlineStr">
        <is>
          <t xml:space="preserve">y</t>
        </is>
      </c>
      <c r="S179" s="147" t="inlineStr">
        <is>
          <t xml:space="preserve">Centre K2 · x</t>
        </is>
      </c>
      <c r="T179" s="147" t="inlineStr">
        <is>
          <t xml:space="preserve">y</t>
        </is>
      </c>
      <c r="U179" s="147" t="inlineStr">
        <is>
          <t xml:space="preserve">Label text</t>
        </is>
      </c>
      <c r="Z179" s="147" t="inlineStr">
        <is>
          <t xml:space="preserve">k</t>
        </is>
      </c>
      <c r="AA179" s="147" t="inlineStr">
        <is>
          <t xml:space="preserve">r-sphere · x</t>
        </is>
      </c>
      <c r="AB179" s="147" t="inlineStr">
        <is>
          <t xml:space="preserve">y</t>
        </is>
      </c>
      <c r="AC179" s="147" t="inlineStr">
        <is>
          <t xml:space="preserve">k-sphere · x</t>
        </is>
      </c>
      <c r="AD179" s="147" t="inlineStr">
        <is>
          <t xml:space="preserve">y</t>
        </is>
      </c>
    </row>
    <row r="180">
      <c r="A180" s="62" t="inlineStr">
        <is>
          <t xml:space="preserve">S₁</t>
        </is>
      </c>
      <c r="B180" s="68">
        <f>'Dataset'!$P$5</f>
        <v>2</v>
      </c>
      <c r="C180" s="146">
        <f>'Sorted Neighbors'!B$10</f>
        <v>4</v>
      </c>
      <c r="D180" s="144">
        <f>'Zhuravlev Distances'!B$10</f>
        <v>6.8015669516</v>
      </c>
      <c r="E180" s="144">
        <f>IF(C180=0,0,PI()/2-(C180-1)*$B$6)</f>
        <v>-1.5707963267949</v>
      </c>
      <c r="F180" s="144">
        <f>D180/$B$5*COS(E180)</f>
        <v>4.61546963867079e-17</v>
      </c>
      <c r="G180" s="144">
        <f>D180/$B$5*SIN(E180)</f>
        <v>-0.753763393965389</v>
      </c>
      <c r="H180" s="146">
        <f>IF(AND(C180&gt;0,B180='Dataset'!$P$10,D180&lt;'ERDR Characteristics'!$D$10),1,0)</f>
        <v>0</v>
      </c>
      <c r="I180" s="144" t="e">
        <f>IF(AND(C180&gt;0,B180=1,H180=1),F180,NA())</f>
        <v>#N/A</v>
      </c>
      <c r="J180" s="144" t="e">
        <f>IF(AND(C180&gt;0,B180=1,H180=1),G180,NA())</f>
        <v>#N/A</v>
      </c>
      <c r="K180" s="144" t="e">
        <f>IF(AND(C180&gt;0,B180=1,H180=0),F180,NA())</f>
        <v>#N/A</v>
      </c>
      <c r="L180" s="144" t="e">
        <f>IF(AND(C180&gt;0,B180=1,H180=0),G180,NA())</f>
        <v>#N/A</v>
      </c>
      <c r="M180" s="144" t="e">
        <f>IF(AND(C180&gt;0,B180=2,H180=1),F180,NA())</f>
        <v>#N/A</v>
      </c>
      <c r="N180" s="144" t="e">
        <f>IF(AND(C180&gt;0,B180=2,H180=1),G180,NA())</f>
        <v>#N/A</v>
      </c>
      <c r="O180" s="144">
        <f>IF(AND(C180&gt;0,B180=2,H180=0),F180,NA())</f>
        <v>4.61546963867079e-17</v>
      </c>
      <c r="P180" s="144">
        <f>IF(AND(C180&gt;0,B180=2,H180=0),G180,NA())</f>
        <v>-0.753763393965389</v>
      </c>
      <c r="Q180" s="144" t="e">
        <f>IF(AND(C180=0,B180=1),0,NA())</f>
        <v>#N/A</v>
      </c>
      <c r="R180" s="144" t="e">
        <f>IF(AND(C180=0,B180=1),0,NA())</f>
        <v>#N/A</v>
      </c>
      <c r="S180" s="144" t="e">
        <f>IF(AND(C180=0,B180=2),0,NA())</f>
        <v>#N/A</v>
      </c>
      <c r="T180" s="144" t="e">
        <f>IF(AND(C180=0,B180=2),0,NA())</f>
        <v>#N/A</v>
      </c>
      <c r="U180" s="145" t="str">
        <f>IF(C180=0,A180,A180&amp;"  "&amp;TEXT(D180,"0.00")&amp;IF(C180='ERDR Characteristics'!$F$10,IF(C180=$B$9," (r, z)"," (r)"),IF(C180=$B$9," (z)","")))</f>
        <v>S₁  6.80</v>
      </c>
      <c r="Z180" s="146">
        <v>0</v>
      </c>
      <c r="AA180" s="144">
        <f>'ERDR Characteristics'!$D$10/$B$5*$L$5</f>
        <v>0.410830391190726</v>
      </c>
      <c r="AB180" s="144">
        <f>'ERDR Characteristics'!$D$10/$B$5*$M$5</f>
        <v>0</v>
      </c>
      <c r="AC180" s="144">
        <f>'ERDR Characteristics'!$H$10/$B$5*$L$5</f>
        <v>0.578189331241069</v>
      </c>
      <c r="AD180" s="144">
        <f>'ERDR Characteristics'!$H$10/$B$5*$M$5</f>
        <v>0</v>
      </c>
    </row>
    <row r="181">
      <c r="A181" s="62" t="inlineStr">
        <is>
          <t xml:space="preserve">S₂</t>
        </is>
      </c>
      <c r="B181" s="68">
        <f>'Dataset'!$P$6</f>
        <v>2</v>
      </c>
      <c r="C181" s="146">
        <f>'Sorted Neighbors'!C$10</f>
        <v>5</v>
      </c>
      <c r="D181" s="144">
        <f>'Zhuravlev Distances'!C$10</f>
        <v>8.742951174</v>
      </c>
      <c r="E181" s="144">
        <f>IF(C181=0,0,PI()/2-(C181-1)*$B$6)</f>
        <v>-2.61799387799149</v>
      </c>
      <c r="F181" s="144">
        <f>D181/$B$5*COS(E181)</f>
        <v>-0.839101987376665</v>
      </c>
      <c r="G181" s="144">
        <f>D181/$B$5*SIN(E181)</f>
        <v>-0.484455758289468</v>
      </c>
      <c r="H181" s="146">
        <f>IF(AND(C181&gt;0,B181='Dataset'!$P$10,D181&lt;'ERDR Characteristics'!$D$10),1,0)</f>
        <v>0</v>
      </c>
      <c r="I181" s="144" t="e">
        <f>IF(AND(C181&gt;0,B181=1,H181=1),F181,NA())</f>
        <v>#N/A</v>
      </c>
      <c r="J181" s="144" t="e">
        <f>IF(AND(C181&gt;0,B181=1,H181=1),G181,NA())</f>
        <v>#N/A</v>
      </c>
      <c r="K181" s="144" t="e">
        <f>IF(AND(C181&gt;0,B181=1,H181=0),F181,NA())</f>
        <v>#N/A</v>
      </c>
      <c r="L181" s="144" t="e">
        <f>IF(AND(C181&gt;0,B181=1,H181=0),G181,NA())</f>
        <v>#N/A</v>
      </c>
      <c r="M181" s="144" t="e">
        <f>IF(AND(C181&gt;0,B181=2,H181=1),F181,NA())</f>
        <v>#N/A</v>
      </c>
      <c r="N181" s="144" t="e">
        <f>IF(AND(C181&gt;0,B181=2,H181=1),G181,NA())</f>
        <v>#N/A</v>
      </c>
      <c r="O181" s="144">
        <f>IF(AND(C181&gt;0,B181=2,H181=0),F181,NA())</f>
        <v>-0.839101987376665</v>
      </c>
      <c r="P181" s="144">
        <f>IF(AND(C181&gt;0,B181=2,H181=0),G181,NA())</f>
        <v>-0.484455758289468</v>
      </c>
      <c r="Q181" s="144" t="e">
        <f>IF(AND(C181=0,B181=1),0,NA())</f>
        <v>#N/A</v>
      </c>
      <c r="R181" s="144" t="e">
        <f>IF(AND(C181=0,B181=1),0,NA())</f>
        <v>#N/A</v>
      </c>
      <c r="S181" s="144" t="e">
        <f>IF(AND(C181=0,B181=2),0,NA())</f>
        <v>#N/A</v>
      </c>
      <c r="T181" s="144" t="e">
        <f>IF(AND(C181=0,B181=2),0,NA())</f>
        <v>#N/A</v>
      </c>
      <c r="U181" s="145" t="str">
        <f>IF(C181=0,A181,A181&amp;"  "&amp;TEXT(D181,"0.00")&amp;IF(C181='ERDR Characteristics'!$F$10,IF(C181=$B$9," (r, z)"," (r)"),IF(C181=$B$9," (z)","")))</f>
        <v>S₂  8.74</v>
      </c>
      <c r="Z181" s="146">
        <v>1</v>
      </c>
      <c r="AA181" s="144">
        <f>'ERDR Characteristics'!$D$10/$B$5*$L$6</f>
        <v>0.396831685075563</v>
      </c>
      <c r="AB181" s="144">
        <f>'ERDR Characteristics'!$D$10/$B$5*$M$6</f>
        <v>0.106330729547079</v>
      </c>
      <c r="AC181" s="144">
        <f>'ERDR Characteristics'!$H$10/$B$5*$L$6</f>
        <v>0.558488007530553</v>
      </c>
      <c r="AD181" s="144">
        <f>'ERDR Characteristics'!$H$10/$B$5*$M$6</f>
        <v>0.149646410600278</v>
      </c>
    </row>
    <row r="182">
      <c r="A182" s="62" t="inlineStr">
        <is>
          <t xml:space="preserve">S₃</t>
        </is>
      </c>
      <c r="B182" s="68">
        <f>'Dataset'!$P$7</f>
        <v>1</v>
      </c>
      <c r="C182" s="146">
        <f>'Sorted Neighbors'!D$10</f>
        <v>3</v>
      </c>
      <c r="D182" s="144">
        <f>'Zhuravlev Distances'!D$10</f>
        <v>5.2172783643</v>
      </c>
      <c r="E182" s="144">
        <f>IF(C182=0,0,PI()/2-(C182-1)*$B$6)</f>
        <v>-0.523598775598299</v>
      </c>
      <c r="F182" s="144">
        <f>D182/$B$5*COS(E182)</f>
        <v>0.500726649051901</v>
      </c>
      <c r="G182" s="144">
        <f>D182/$B$5*SIN(E182)</f>
        <v>-0.289094665620534</v>
      </c>
      <c r="H182" s="146">
        <f>IF(AND(C182&gt;0,B182='Dataset'!$P$10,D182&lt;'ERDR Characteristics'!$D$10),1,0)</f>
        <v>0</v>
      </c>
      <c r="I182" s="144" t="e">
        <f>IF(AND(C182&gt;0,B182=1,H182=1),F182,NA())</f>
        <v>#N/A</v>
      </c>
      <c r="J182" s="144" t="e">
        <f>IF(AND(C182&gt;0,B182=1,H182=1),G182,NA())</f>
        <v>#N/A</v>
      </c>
      <c r="K182" s="144">
        <f>IF(AND(C182&gt;0,B182=1,H182=0),F182,NA())</f>
        <v>0.500726649051901</v>
      </c>
      <c r="L182" s="144">
        <f>IF(AND(C182&gt;0,B182=1,H182=0),G182,NA())</f>
        <v>-0.289094665620534</v>
      </c>
      <c r="M182" s="144" t="e">
        <f>IF(AND(C182&gt;0,B182=2,H182=1),F182,NA())</f>
        <v>#N/A</v>
      </c>
      <c r="N182" s="144" t="e">
        <f>IF(AND(C182&gt;0,B182=2,H182=1),G182,NA())</f>
        <v>#N/A</v>
      </c>
      <c r="O182" s="144" t="e">
        <f>IF(AND(C182&gt;0,B182=2,H182=0),F182,NA())</f>
        <v>#N/A</v>
      </c>
      <c r="P182" s="144" t="e">
        <f>IF(AND(C182&gt;0,B182=2,H182=0),G182,NA())</f>
        <v>#N/A</v>
      </c>
      <c r="Q182" s="144" t="e">
        <f>IF(AND(C182=0,B182=1),0,NA())</f>
        <v>#N/A</v>
      </c>
      <c r="R182" s="144" t="e">
        <f>IF(AND(C182=0,B182=1),0,NA())</f>
        <v>#N/A</v>
      </c>
      <c r="S182" s="144" t="e">
        <f>IF(AND(C182=0,B182=2),0,NA())</f>
        <v>#N/A</v>
      </c>
      <c r="T182" s="144" t="e">
        <f>IF(AND(C182=0,B182=2),0,NA())</f>
        <v>#N/A</v>
      </c>
      <c r="U182" s="145" t="str">
        <f>IF(C182=0,A182,A182&amp;"  "&amp;TEXT(D182,"0.00")&amp;IF(C182='ERDR Characteristics'!$F$10,IF(C182=$B$9," (r, z)"," (r)"),IF(C182=$B$9," (z)","")))</f>
        <v>S₃  5.22 (z)</v>
      </c>
      <c r="Z182" s="146">
        <v>2</v>
      </c>
      <c r="AA182" s="144">
        <f>'ERDR Characteristics'!$D$10/$B$5*$L$7</f>
        <v>0.355789555417867</v>
      </c>
      <c r="AB182" s="144">
        <f>'ERDR Characteristics'!$D$10/$B$5*$M$7</f>
        <v>0.205415195595363</v>
      </c>
      <c r="AC182" s="144">
        <f>'ERDR Characteristics'!$H$10/$B$5*$L$7</f>
        <v>0.500726649051901</v>
      </c>
      <c r="AD182" s="144">
        <f>'ERDR Characteristics'!$H$10/$B$5*$M$7</f>
        <v>0.289094665620534</v>
      </c>
    </row>
    <row r="183">
      <c r="A183" s="62" t="inlineStr">
        <is>
          <t xml:space="preserve">S₄</t>
        </is>
      </c>
      <c r="B183" s="68">
        <f>'Dataset'!$P$8</f>
        <v>2</v>
      </c>
      <c r="C183" s="146">
        <f>'Sorted Neighbors'!E$10</f>
        <v>1</v>
      </c>
      <c r="D183" s="144">
        <f>'Zhuravlev Distances'!E$10</f>
        <v>3.7071187508</v>
      </c>
      <c r="E183" s="144">
        <f>IF(C183=0,0,PI()/2-(C183-1)*$B$6)</f>
        <v>1.5707963267949</v>
      </c>
      <c r="F183" s="144">
        <f>D183/$B$5*COS(E183)</f>
        <v>2.51561061782089e-17</v>
      </c>
      <c r="G183" s="144">
        <f>D183/$B$5*SIN(E183)</f>
        <v>0.410830391190726</v>
      </c>
      <c r="H183" s="146">
        <f>IF(AND(C183&gt;0,B183='Dataset'!$P$10,D183&lt;'ERDR Characteristics'!$D$10),1,0)</f>
        <v>0</v>
      </c>
      <c r="I183" s="144" t="e">
        <f>IF(AND(C183&gt;0,B183=1,H183=1),F183,NA())</f>
        <v>#N/A</v>
      </c>
      <c r="J183" s="144" t="e">
        <f>IF(AND(C183&gt;0,B183=1,H183=1),G183,NA())</f>
        <v>#N/A</v>
      </c>
      <c r="K183" s="144" t="e">
        <f>IF(AND(C183&gt;0,B183=1,H183=0),F183,NA())</f>
        <v>#N/A</v>
      </c>
      <c r="L183" s="144" t="e">
        <f>IF(AND(C183&gt;0,B183=1,H183=0),G183,NA())</f>
        <v>#N/A</v>
      </c>
      <c r="M183" s="144" t="e">
        <f>IF(AND(C183&gt;0,B183=2,H183=1),F183,NA())</f>
        <v>#N/A</v>
      </c>
      <c r="N183" s="144" t="e">
        <f>IF(AND(C183&gt;0,B183=2,H183=1),G183,NA())</f>
        <v>#N/A</v>
      </c>
      <c r="O183" s="144">
        <f>IF(AND(C183&gt;0,B183=2,H183=0),F183,NA())</f>
        <v>2.51561061782089e-17</v>
      </c>
      <c r="P183" s="144">
        <f>IF(AND(C183&gt;0,B183=2,H183=0),G183,NA())</f>
        <v>0.410830391190726</v>
      </c>
      <c r="Q183" s="144" t="e">
        <f>IF(AND(C183=0,B183=1),0,NA())</f>
        <v>#N/A</v>
      </c>
      <c r="R183" s="144" t="e">
        <f>IF(AND(C183=0,B183=1),0,NA())</f>
        <v>#N/A</v>
      </c>
      <c r="S183" s="144" t="e">
        <f>IF(AND(C183=0,B183=2),0,NA())</f>
        <v>#N/A</v>
      </c>
      <c r="T183" s="144" t="e">
        <f>IF(AND(C183=0,B183=2),0,NA())</f>
        <v>#N/A</v>
      </c>
      <c r="U183" s="145" t="str">
        <f>IF(C183=0,A183,A183&amp;"  "&amp;TEXT(D183,"0.00")&amp;IF(C183='ERDR Characteristics'!$F$10,IF(C183=$B$9," (r, z)"," (r)"),IF(C183=$B$9," (z)","")))</f>
        <v>S₄  3.71 (r)</v>
      </c>
      <c r="Z183" s="146">
        <v>3</v>
      </c>
      <c r="AA183" s="144">
        <f>'ERDR Characteristics'!$D$10/$B$5*$L$8</f>
        <v>0.290500955528484</v>
      </c>
      <c r="AB183" s="144">
        <f>'ERDR Characteristics'!$D$10/$B$5*$M$8</f>
        <v>0.290500955528484</v>
      </c>
      <c r="AC183" s="144">
        <f>'ERDR Characteristics'!$H$10/$B$5*$L$8</f>
        <v>0.408841596930275</v>
      </c>
      <c r="AD183" s="144">
        <f>'ERDR Characteristics'!$H$10/$B$5*$M$8</f>
        <v>0.408841596930275</v>
      </c>
    </row>
    <row r="184">
      <c r="A184" s="62" t="inlineStr">
        <is>
          <t xml:space="preserve">S₅</t>
        </is>
      </c>
      <c r="B184" s="68">
        <f>'Dataset'!$P$9</f>
        <v>2</v>
      </c>
      <c r="C184" s="146">
        <f>'Sorted Neighbors'!F$10</f>
        <v>6</v>
      </c>
      <c r="D184" s="144">
        <f>'Zhuravlev Distances'!F$10</f>
        <v>9.0234774016</v>
      </c>
      <c r="E184" s="144">
        <f>IF(C184=0,0,PI()/2-(C184-1)*$B$6)</f>
        <v>-3.66519142918809</v>
      </c>
      <c r="F184" s="144">
        <f>D184/$B$5*COS(E184)</f>
        <v>-0.866025403784439</v>
      </c>
      <c r="G184" s="144">
        <f>D184/$B$5*SIN(E184)</f>
        <v>0.499999999999999</v>
      </c>
      <c r="H184" s="146">
        <f>IF(AND(C184&gt;0,B184='Dataset'!$P$10,D184&lt;'ERDR Characteristics'!$D$10),1,0)</f>
        <v>0</v>
      </c>
      <c r="I184" s="144" t="e">
        <f>IF(AND(C184&gt;0,B184=1,H184=1),F184,NA())</f>
        <v>#N/A</v>
      </c>
      <c r="J184" s="144" t="e">
        <f>IF(AND(C184&gt;0,B184=1,H184=1),G184,NA())</f>
        <v>#N/A</v>
      </c>
      <c r="K184" s="144" t="e">
        <f>IF(AND(C184&gt;0,B184=1,H184=0),F184,NA())</f>
        <v>#N/A</v>
      </c>
      <c r="L184" s="144" t="e">
        <f>IF(AND(C184&gt;0,B184=1,H184=0),G184,NA())</f>
        <v>#N/A</v>
      </c>
      <c r="M184" s="144" t="e">
        <f>IF(AND(C184&gt;0,B184=2,H184=1),F184,NA())</f>
        <v>#N/A</v>
      </c>
      <c r="N184" s="144" t="e">
        <f>IF(AND(C184&gt;0,B184=2,H184=1),G184,NA())</f>
        <v>#N/A</v>
      </c>
      <c r="O184" s="144">
        <f>IF(AND(C184&gt;0,B184=2,H184=0),F184,NA())</f>
        <v>-0.866025403784439</v>
      </c>
      <c r="P184" s="144">
        <f>IF(AND(C184&gt;0,B184=2,H184=0),G184,NA())</f>
        <v>0.499999999999999</v>
      </c>
      <c r="Q184" s="144" t="e">
        <f>IF(AND(C184=0,B184=1),0,NA())</f>
        <v>#N/A</v>
      </c>
      <c r="R184" s="144" t="e">
        <f>IF(AND(C184=0,B184=1),0,NA())</f>
        <v>#N/A</v>
      </c>
      <c r="S184" s="144" t="e">
        <f>IF(AND(C184=0,B184=2),0,NA())</f>
        <v>#N/A</v>
      </c>
      <c r="T184" s="144" t="e">
        <f>IF(AND(C184=0,B184=2),0,NA())</f>
        <v>#N/A</v>
      </c>
      <c r="U184" s="145" t="str">
        <f>IF(C184=0,A184,A184&amp;"  "&amp;TEXT(D184,"0.00")&amp;IF(C184='ERDR Characteristics'!$F$10,IF(C184=$B$9," (r, z)"," (r)"),IF(C184=$B$9," (z)","")))</f>
        <v>S₅  9.02</v>
      </c>
      <c r="Z184" s="146">
        <v>4</v>
      </c>
      <c r="AA184" s="144">
        <f>'ERDR Characteristics'!$D$10/$B$5*$L$9</f>
        <v>0.205415195595363</v>
      </c>
      <c r="AB184" s="144">
        <f>'ERDR Characteristics'!$D$10/$B$5*$M$9</f>
        <v>0.355789555417867</v>
      </c>
      <c r="AC184" s="144">
        <f>'ERDR Characteristics'!$H$10/$B$5*$L$9</f>
        <v>0.289094665620534</v>
      </c>
      <c r="AD184" s="144">
        <f>'ERDR Characteristics'!$H$10/$B$5*$M$9</f>
        <v>0.500726649051901</v>
      </c>
    </row>
    <row r="185">
      <c r="A185" s="62" t="inlineStr">
        <is>
          <t xml:space="preserve">S₆</t>
        </is>
      </c>
      <c r="B185" s="68">
        <f>'Dataset'!$P$10</f>
        <v>1</v>
      </c>
      <c r="C185" s="146">
        <v>0</v>
      </c>
      <c r="D185" s="144">
        <f>'Zhuravlev Distances'!G$10</f>
        <v>0</v>
      </c>
      <c r="E185" s="144">
        <f>IF(C185=0,0,PI()/2-(C185-1)*$B$6)</f>
        <v>0</v>
      </c>
      <c r="F185" s="144">
        <f>D185/$B$5*COS(E185)</f>
        <v>0</v>
      </c>
      <c r="G185" s="144">
        <f>D185/$B$5*SIN(E185)</f>
        <v>0</v>
      </c>
      <c r="H185" s="146">
        <f>IF(AND(C185&gt;0,B185='Dataset'!$P$10,D185&lt;'ERDR Characteristics'!$D$10),1,0)</f>
        <v>0</v>
      </c>
      <c r="I185" s="144" t="e">
        <f>IF(AND(C185&gt;0,B185=1,H185=1),F185,NA())</f>
        <v>#N/A</v>
      </c>
      <c r="J185" s="144" t="e">
        <f>IF(AND(C185&gt;0,B185=1,H185=1),G185,NA())</f>
        <v>#N/A</v>
      </c>
      <c r="K185" s="144" t="e">
        <f>IF(AND(C185&gt;0,B185=1,H185=0),F185,NA())</f>
        <v>#N/A</v>
      </c>
      <c r="L185" s="144" t="e">
        <f>IF(AND(C185&gt;0,B185=1,H185=0),G185,NA())</f>
        <v>#N/A</v>
      </c>
      <c r="M185" s="144" t="e">
        <f>IF(AND(C185&gt;0,B185=2,H185=1),F185,NA())</f>
        <v>#N/A</v>
      </c>
      <c r="N185" s="144" t="e">
        <f>IF(AND(C185&gt;0,B185=2,H185=1),G185,NA())</f>
        <v>#N/A</v>
      </c>
      <c r="O185" s="144" t="e">
        <f>IF(AND(C185&gt;0,B185=2,H185=0),F185,NA())</f>
        <v>#N/A</v>
      </c>
      <c r="P185" s="144" t="e">
        <f>IF(AND(C185&gt;0,B185=2,H185=0),G185,NA())</f>
        <v>#N/A</v>
      </c>
      <c r="Q185" s="144">
        <f>IF(AND(C185=0,B185=1),0,NA())</f>
        <v>0</v>
      </c>
      <c r="R185" s="144">
        <f>IF(AND(C185=0,B185=1),0,NA())</f>
        <v>0</v>
      </c>
      <c r="S185" s="144" t="e">
        <f>IF(AND(C185=0,B185=2),0,NA())</f>
        <v>#N/A</v>
      </c>
      <c r="T185" s="144" t="e">
        <f>IF(AND(C185=0,B185=2),0,NA())</f>
        <v>#N/A</v>
      </c>
      <c r="U185" s="145" t="str">
        <f>IF(C185=0,A185,A185&amp;"  "&amp;TEXT(D185,"0.00")&amp;IF(C185='ERDR Characteristics'!$F$10,IF(C185=$B$9," (r, z)"," (r)"),IF(C185=$B$9," (z)","")))</f>
        <v>S₆</v>
      </c>
      <c r="Z185" s="146">
        <v>5</v>
      </c>
      <c r="AA185" s="144">
        <f>'ERDR Characteristics'!$D$10/$B$5*$L$10</f>
        <v>0.106330729547079</v>
      </c>
      <c r="AB185" s="144">
        <f>'ERDR Characteristics'!$D$10/$B$5*$M$10</f>
        <v>0.396831685075563</v>
      </c>
      <c r="AC185" s="144">
        <f>'ERDR Characteristics'!$H$10/$B$5*$L$10</f>
        <v>0.149646410600278</v>
      </c>
      <c r="AD185" s="144">
        <f>'ERDR Characteristics'!$H$10/$B$5*$M$10</f>
        <v>0.558488007530553</v>
      </c>
    </row>
    <row r="186">
      <c r="A186" s="62" t="inlineStr">
        <is>
          <t xml:space="preserve">S₇</t>
        </is>
      </c>
      <c r="B186" s="68">
        <f>'Dataset'!$P$11</f>
        <v>1</v>
      </c>
      <c r="C186" s="146">
        <f>'Sorted Neighbors'!H$10</f>
        <v>2</v>
      </c>
      <c r="D186" s="144">
        <f>'Zhuravlev Distances'!H$10</f>
        <v>5.0314314939</v>
      </c>
      <c r="E186" s="144">
        <f>IF(C186=0,0,PI()/2-(C186-1)*$B$6)</f>
        <v>0.523598775598299</v>
      </c>
      <c r="F186" s="144">
        <f>D186/$B$5*COS(E186)</f>
        <v>0.482890054154274</v>
      </c>
      <c r="G186" s="144">
        <f>D186/$B$5*SIN(E186)</f>
        <v>0.278796702754963</v>
      </c>
      <c r="H186" s="146">
        <f>IF(AND(C186&gt;0,B186='Dataset'!$P$10,D186&lt;'ERDR Characteristics'!$D$10),1,0)</f>
        <v>0</v>
      </c>
      <c r="I186" s="144" t="e">
        <f>IF(AND(C186&gt;0,B186=1,H186=1),F186,NA())</f>
        <v>#N/A</v>
      </c>
      <c r="J186" s="144" t="e">
        <f>IF(AND(C186&gt;0,B186=1,H186=1),G186,NA())</f>
        <v>#N/A</v>
      </c>
      <c r="K186" s="144">
        <f>IF(AND(C186&gt;0,B186=1,H186=0),F186,NA())</f>
        <v>0.482890054154274</v>
      </c>
      <c r="L186" s="144">
        <f>IF(AND(C186&gt;0,B186=1,H186=0),G186,NA())</f>
        <v>0.278796702754963</v>
      </c>
      <c r="M186" s="144" t="e">
        <f>IF(AND(C186&gt;0,B186=2,H186=1),F186,NA())</f>
        <v>#N/A</v>
      </c>
      <c r="N186" s="144" t="e">
        <f>IF(AND(C186&gt;0,B186=2,H186=1),G186,NA())</f>
        <v>#N/A</v>
      </c>
      <c r="O186" s="144" t="e">
        <f>IF(AND(C186&gt;0,B186=2,H186=0),F186,NA())</f>
        <v>#N/A</v>
      </c>
      <c r="P186" s="144" t="e">
        <f>IF(AND(C186&gt;0,B186=2,H186=0),G186,NA())</f>
        <v>#N/A</v>
      </c>
      <c r="Q186" s="144" t="e">
        <f>IF(AND(C186=0,B186=1),0,NA())</f>
        <v>#N/A</v>
      </c>
      <c r="R186" s="144" t="e">
        <f>IF(AND(C186=0,B186=1),0,NA())</f>
        <v>#N/A</v>
      </c>
      <c r="S186" s="144" t="e">
        <f>IF(AND(C186=0,B186=2),0,NA())</f>
        <v>#N/A</v>
      </c>
      <c r="T186" s="144" t="e">
        <f>IF(AND(C186=0,B186=2),0,NA())</f>
        <v>#N/A</v>
      </c>
      <c r="U186" s="145" t="str">
        <f>IF(C186=0,A186,A186&amp;"  "&amp;TEXT(D186,"0.00")&amp;IF(C186='ERDR Characteristics'!$F$10,IF(C186=$B$9," (r, z)"," (r)"),IF(C186=$B$9," (z)","")))</f>
        <v>S₇  5.03</v>
      </c>
      <c r="Z186" s="146">
        <v>6</v>
      </c>
      <c r="AA186" s="144">
        <f>'ERDR Characteristics'!$D$10/$B$5*$L$11</f>
        <v>2.51561061782089e-17</v>
      </c>
      <c r="AB186" s="144">
        <f>'ERDR Characteristics'!$D$10/$B$5*$M$11</f>
        <v>0.410830391190726</v>
      </c>
      <c r="AC186" s="144">
        <f>'ERDR Characteristics'!$H$10/$B$5*$L$11</f>
        <v>3.54038856902762e-17</v>
      </c>
      <c r="AD186" s="144">
        <f>'ERDR Characteristics'!$H$10/$B$5*$M$11</f>
        <v>0.578189331241069</v>
      </c>
    </row>
    <row r="187">
      <c r="A187" s="63" t="inlineStr">
        <is>
          <t xml:space="preserve">r label</t>
        </is>
      </c>
      <c r="U187" s="145" t="str">
        <f>"r = "&amp;TEXT('ERDR Characteristics'!$D$10,"0.00")</f>
        <v>r = 3.71</v>
      </c>
      <c r="V187" s="144">
        <f>'ERDR Characteristics'!$D$10/$B$5</f>
        <v>0.410830391190726</v>
      </c>
      <c r="W187" s="144">
        <v>0</v>
      </c>
      <c r="Z187" s="146">
        <v>7</v>
      </c>
      <c r="AA187" s="144">
        <f>'ERDR Characteristics'!$D$10/$B$5*$L$12</f>
        <v>-0.106330729547079</v>
      </c>
      <c r="AB187" s="144">
        <f>'ERDR Characteristics'!$D$10/$B$5*$M$12</f>
        <v>0.396831685075563</v>
      </c>
      <c r="AC187" s="144">
        <f>'ERDR Characteristics'!$H$10/$B$5*$L$12</f>
        <v>-0.149646410600278</v>
      </c>
      <c r="AD187" s="144">
        <f>'ERDR Characteristics'!$H$10/$B$5*$M$12</f>
        <v>0.558488007530553</v>
      </c>
    </row>
    <row r="188">
      <c r="A188" s="63" t="inlineStr">
        <is>
          <t xml:space="preserve">z label</t>
        </is>
      </c>
      <c r="U188" s="145" t="str">
        <f>"z = "&amp;TEXT('ERDR Characteristics'!$H$10,"0.00")</f>
        <v>z = 5.22</v>
      </c>
      <c r="V188" s="144">
        <f>-'ERDR Characteristics'!$H$10/$B$5</f>
        <v>-0.578189331241069</v>
      </c>
      <c r="W188" s="144">
        <v>0</v>
      </c>
      <c r="Z188" s="146">
        <v>8</v>
      </c>
      <c r="AA188" s="144">
        <f>'ERDR Characteristics'!$D$10/$B$5*$L$13</f>
        <v>-0.205415195595363</v>
      </c>
      <c r="AB188" s="144">
        <f>'ERDR Characteristics'!$D$10/$B$5*$M$13</f>
        <v>0.355789555417867</v>
      </c>
      <c r="AC188" s="144">
        <f>'ERDR Characteristics'!$H$10/$B$5*$L$13</f>
        <v>-0.289094665620534</v>
      </c>
      <c r="AD188" s="144">
        <f>'ERDR Characteristics'!$H$10/$B$5*$M$13</f>
        <v>0.500726649051901</v>
      </c>
    </row>
    <row r="189">
      <c r="A189" s="147" t="inlineStr">
        <is>
          <t xml:space="preserve">Label slot</t>
        </is>
      </c>
      <c r="B189" s="147" t="inlineStr">
        <is>
          <t xml:space="preserve">Rank t</t>
        </is>
      </c>
      <c r="C189" s="147" t="inlineStr">
        <is>
          <t xml:space="preserve">Object</t>
        </is>
      </c>
      <c r="D189" s="147" t="inlineStr">
        <is>
          <t xml:space="preserve">Label</t>
        </is>
      </c>
      <c r="E189" s="147" t="inlineStr">
        <is>
          <t xml:space="preserve">x</t>
        </is>
      </c>
      <c r="F189" s="147" t="inlineStr">
        <is>
          <t xml:space="preserve">y</t>
        </is>
      </c>
      <c r="Z189" s="146">
        <v>9</v>
      </c>
      <c r="AA189" s="144">
        <f>'ERDR Characteristics'!$D$10/$B$5*$L$14</f>
        <v>-0.290500955528484</v>
      </c>
      <c r="AB189" s="144">
        <f>'ERDR Characteristics'!$D$10/$B$5*$M$14</f>
        <v>0.290500955528484</v>
      </c>
      <c r="AC189" s="144">
        <f>'ERDR Characteristics'!$H$10/$B$5*$L$14</f>
        <v>-0.408841596930275</v>
      </c>
      <c r="AD189" s="144">
        <f>'ERDR Characteristics'!$H$10/$B$5*$M$14</f>
        <v>0.408841596930275</v>
      </c>
    </row>
    <row r="190">
      <c r="A190" s="63" t="inlineStr">
        <is>
          <t xml:space="preserve">slot 1 (t)</t>
        </is>
      </c>
      <c r="B190" s="146">
        <v>1</v>
      </c>
      <c r="C190" s="146">
        <f>IFERROR(MATCH(B190,$C$180:$C$186,0),NA())</f>
        <v>4</v>
      </c>
      <c r="D190" s="145" t="str">
        <f>IFERROR(INDEX($U$180:$U$186,C190),"")</f>
        <v>S₄  3.71 (r)</v>
      </c>
      <c r="E190" s="144">
        <f>IFERROR(INDEX($F$180:$F$186,C190),NA())</f>
        <v>2.51561061782089e-17</v>
      </c>
      <c r="F190" s="144">
        <f>IFERROR(INDEX($G$180:$G$186,C190),NA())</f>
        <v>0.410830391190726</v>
      </c>
      <c r="Z190" s="146">
        <v>10</v>
      </c>
      <c r="AA190" s="144">
        <f>'ERDR Characteristics'!$D$10/$B$5*$L$15</f>
        <v>-0.355789555417867</v>
      </c>
      <c r="AB190" s="144">
        <f>'ERDR Characteristics'!$D$10/$B$5*$M$15</f>
        <v>0.205415195595363</v>
      </c>
      <c r="AC190" s="144">
        <f>'ERDR Characteristics'!$H$10/$B$5*$L$15</f>
        <v>-0.500726649051901</v>
      </c>
      <c r="AD190" s="144">
        <f>'ERDR Characteristics'!$H$10/$B$5*$M$15</f>
        <v>0.289094665620534</v>
      </c>
    </row>
    <row r="191">
      <c r="A191" s="63" t="inlineStr">
        <is>
          <t xml:space="preserve">slot 2 (r)</t>
        </is>
      </c>
      <c r="B191" s="146">
        <v>2</v>
      </c>
      <c r="C191" s="146">
        <f>IFERROR(MATCH(B191,$C$180:$C$186,0),NA())</f>
        <v>7</v>
      </c>
      <c r="D191" s="145" t="str">
        <f>IFERROR(INDEX($U$180:$U$186,C191),"")</f>
        <v>S₇  5.03</v>
      </c>
      <c r="E191" s="144">
        <f>IFERROR(INDEX($F$180:$F$186,C191),NA())</f>
        <v>0.482890054154274</v>
      </c>
      <c r="F191" s="144">
        <f>IFERROR(INDEX($G$180:$G$186,C191),NA())</f>
        <v>0.278796702754963</v>
      </c>
      <c r="Z191" s="146">
        <v>11</v>
      </c>
      <c r="AA191" s="144">
        <f>'ERDR Characteristics'!$D$10/$B$5*$L$16</f>
        <v>-0.396831685075563</v>
      </c>
      <c r="AB191" s="144">
        <f>'ERDR Characteristics'!$D$10/$B$5*$M$16</f>
        <v>0.106330729547079</v>
      </c>
      <c r="AC191" s="144">
        <f>'ERDR Characteristics'!$H$10/$B$5*$L$16</f>
        <v>-0.558488007530553</v>
      </c>
      <c r="AD191" s="144">
        <f>'ERDR Characteristics'!$H$10/$B$5*$M$16</f>
        <v>0.149646410600279</v>
      </c>
    </row>
    <row r="192">
      <c r="A192" s="63" t="inlineStr">
        <is>
          <t xml:space="preserve">slot 3 (r)</t>
        </is>
      </c>
      <c r="B192" s="146">
        <v>3</v>
      </c>
      <c r="C192" s="146">
        <f>IFERROR(MATCH(B192,$C$180:$C$186,0),NA())</f>
        <v>3</v>
      </c>
      <c r="D192" s="145" t="str">
        <f>IFERROR(INDEX($U$180:$U$186,C192),"")</f>
        <v>S₃  5.22 (z)</v>
      </c>
      <c r="E192" s="144">
        <f>IFERROR(INDEX($F$180:$F$186,C192),NA())</f>
        <v>0.500726649051901</v>
      </c>
      <c r="F192" s="144">
        <f>IFERROR(INDEX($G$180:$G$186,C192),NA())</f>
        <v>-0.289094665620534</v>
      </c>
      <c r="Z192" s="146">
        <v>12</v>
      </c>
      <c r="AA192" s="144">
        <f>'ERDR Characteristics'!$D$10/$B$5*$L$17</f>
        <v>-0.410830391190726</v>
      </c>
      <c r="AB192" s="144">
        <f>'ERDR Characteristics'!$D$10/$B$5*$M$17</f>
        <v>5.03122123564177e-17</v>
      </c>
      <c r="AC192" s="144">
        <f>'ERDR Characteristics'!$H$10/$B$5*$L$17</f>
        <v>-0.578189331241069</v>
      </c>
      <c r="AD192" s="144">
        <f>'ERDR Characteristics'!$H$10/$B$5*$M$17</f>
        <v>7.08077713805524e-17</v>
      </c>
    </row>
    <row r="193">
      <c r="A193" s="63" t="inlineStr">
        <is>
          <t xml:space="preserve">slot 4 (b)</t>
        </is>
      </c>
      <c r="B193" s="146">
        <v>4</v>
      </c>
      <c r="C193" s="146">
        <f>IFERROR(MATCH(B193,$C$180:$C$186,0),NA())</f>
        <v>1</v>
      </c>
      <c r="D193" s="145" t="str">
        <f>IFERROR(INDEX($U$180:$U$186,C193),"")</f>
        <v>S₁  6.80</v>
      </c>
      <c r="E193" s="144">
        <f>IFERROR(INDEX($F$180:$F$186,C193),NA())</f>
        <v>4.61546963867079e-17</v>
      </c>
      <c r="F193" s="144">
        <f>IFERROR(INDEX($G$180:$G$186,C193),NA())</f>
        <v>-0.753763393965389</v>
      </c>
      <c r="Z193" s="146">
        <v>13</v>
      </c>
      <c r="AA193" s="144">
        <f>'ERDR Characteristics'!$D$10/$B$5*$L$18</f>
        <v>-0.396831685075563</v>
      </c>
      <c r="AB193" s="144">
        <f>'ERDR Characteristics'!$D$10/$B$5*$M$18</f>
        <v>-0.106330729547079</v>
      </c>
      <c r="AC193" s="144">
        <f>'ERDR Characteristics'!$H$10/$B$5*$L$18</f>
        <v>-0.558488007530553</v>
      </c>
      <c r="AD193" s="144">
        <f>'ERDR Characteristics'!$H$10/$B$5*$M$18</f>
        <v>-0.149646410600279</v>
      </c>
    </row>
    <row r="194">
      <c r="A194" s="63" t="inlineStr">
        <is>
          <t xml:space="preserve">slot 5 (l)</t>
        </is>
      </c>
      <c r="B194" s="146">
        <v>5</v>
      </c>
      <c r="C194" s="146">
        <f>IFERROR(MATCH(B194,$C$180:$C$186,0),NA())</f>
        <v>2</v>
      </c>
      <c r="D194" s="145" t="str">
        <f>IFERROR(INDEX($U$180:$U$186,C194),"")</f>
        <v>S₂  8.74</v>
      </c>
      <c r="E194" s="144">
        <f>IFERROR(INDEX($F$180:$F$186,C194),NA())</f>
        <v>-0.839101987376665</v>
      </c>
      <c r="F194" s="144">
        <f>IFERROR(INDEX($G$180:$G$186,C194),NA())</f>
        <v>-0.484455758289468</v>
      </c>
      <c r="Z194" s="146">
        <v>14</v>
      </c>
      <c r="AA194" s="144">
        <f>'ERDR Characteristics'!$D$10/$B$5*$L$19</f>
        <v>-0.355789555417867</v>
      </c>
      <c r="AB194" s="144">
        <f>'ERDR Characteristics'!$D$10/$B$5*$M$19</f>
        <v>-0.205415195595363</v>
      </c>
      <c r="AC194" s="144">
        <f>'ERDR Characteristics'!$H$10/$B$5*$L$19</f>
        <v>-0.500726649051901</v>
      </c>
      <c r="AD194" s="144">
        <f>'ERDR Characteristics'!$H$10/$B$5*$M$19</f>
        <v>-0.289094665620534</v>
      </c>
    </row>
    <row r="195">
      <c r="A195" s="63" t="inlineStr">
        <is>
          <t xml:space="preserve">slot 6 (l)</t>
        </is>
      </c>
      <c r="B195" s="146">
        <v>6</v>
      </c>
      <c r="C195" s="146">
        <f>IFERROR(MATCH(B195,$C$180:$C$186,0),NA())</f>
        <v>5</v>
      </c>
      <c r="D195" s="145" t="str">
        <f>IFERROR(INDEX($U$180:$U$186,C195),"")</f>
        <v>S₅  9.02</v>
      </c>
      <c r="E195" s="144">
        <f>IFERROR(INDEX($F$180:$F$186,C195),NA())</f>
        <v>-0.866025403784439</v>
      </c>
      <c r="F195" s="144">
        <f>IFERROR(INDEX($G$180:$G$186,C195),NA())</f>
        <v>0.499999999999999</v>
      </c>
      <c r="Z195" s="146">
        <v>15</v>
      </c>
      <c r="AA195" s="144">
        <f>'ERDR Characteristics'!$D$10/$B$5*$L$20</f>
        <v>-0.290500955528484</v>
      </c>
      <c r="AB195" s="144">
        <f>'ERDR Characteristics'!$D$10/$B$5*$M$20</f>
        <v>-0.290500955528484</v>
      </c>
      <c r="AC195" s="144">
        <f>'ERDR Characteristics'!$H$10/$B$5*$L$20</f>
        <v>-0.408841596930275</v>
      </c>
      <c r="AD195" s="144">
        <f>'ERDR Characteristics'!$H$10/$B$5*$M$20</f>
        <v>-0.408841596930274</v>
      </c>
    </row>
    <row r="196">
      <c r="A196" s="63" t="inlineStr">
        <is>
          <t xml:space="preserve">centre (b)</t>
        </is>
      </c>
      <c r="C196" s="146">
        <v>6</v>
      </c>
      <c r="D196" s="145" t="str">
        <f>$A$185</f>
        <v>S₆</v>
      </c>
      <c r="E196" s="144">
        <v>0</v>
      </c>
      <c r="F196" s="144">
        <v>0</v>
      </c>
      <c r="Z196" s="146">
        <v>16</v>
      </c>
      <c r="AA196" s="144">
        <f>'ERDR Characteristics'!$D$10/$B$5*$L$21</f>
        <v>-0.205415195595363</v>
      </c>
      <c r="AB196" s="144">
        <f>'ERDR Characteristics'!$D$10/$B$5*$M$21</f>
        <v>-0.355789555417867</v>
      </c>
      <c r="AC196" s="144">
        <f>'ERDR Characteristics'!$H$10/$B$5*$L$21</f>
        <v>-0.289094665620535</v>
      </c>
      <c r="AD196" s="144">
        <f>'ERDR Characteristics'!$H$10/$B$5*$M$21</f>
        <v>-0.500726649051901</v>
      </c>
    </row>
    <row r="197">
      <c r="A197" s="63" t="inlineStr">
        <is>
          <t xml:space="preserve">caption, top left (r)</t>
        </is>
      </c>
      <c r="D197" s="145" t="str">
        <f>"g = "&amp;'ERDR Characteristics'!$E$10&amp;"  ·  d = "&amp;TEXT('ERDR Characteristics'!$J$10,"0.000")</f>
        <v>g = 1  ·  d = 0.169</v>
      </c>
      <c r="E197" s="144">
        <v>-1.2</v>
      </c>
      <c r="F197" s="144">
        <v>1.18</v>
      </c>
      <c r="Z197" s="146">
        <v>17</v>
      </c>
      <c r="AA197" s="144">
        <f>'ERDR Characteristics'!$D$10/$B$5*$L$22</f>
        <v>-0.106330729547079</v>
      </c>
      <c r="AB197" s="144">
        <f>'ERDR Characteristics'!$D$10/$B$5*$M$22</f>
        <v>-0.396831685075563</v>
      </c>
      <c r="AC197" s="144">
        <f>'ERDR Characteristics'!$H$10/$B$5*$L$22</f>
        <v>-0.149646410600278</v>
      </c>
      <c r="AD197" s="144">
        <f>'ERDR Characteristics'!$H$10/$B$5*$M$22</f>
        <v>-0.558488007530553</v>
      </c>
    </row>
    <row r="198">
      <c r="A198" s="63" t="inlineStr">
        <is>
          <t xml:space="preserve">caption, top right (l)</t>
        </is>
      </c>
      <c r="D198" s="145" t="str">
        <f>"class "&amp;'Dataset'!$P$10&amp;"  ·  queue "&amp;'ERDR Characteristics'!$K$10</f>
        <v>class 1  ·  queue 6</v>
      </c>
      <c r="E198" s="144">
        <v>1.2</v>
      </c>
      <c r="F198" s="144">
        <v>1.18</v>
      </c>
      <c r="Z198" s="146">
        <v>18</v>
      </c>
      <c r="AA198" s="144">
        <f>'ERDR Characteristics'!$D$10/$B$5*$L$23</f>
        <v>-7.54683185346266e-17</v>
      </c>
      <c r="AB198" s="144">
        <f>'ERDR Characteristics'!$D$10/$B$5*$M$23</f>
        <v>-0.410830391190726</v>
      </c>
      <c r="AC198" s="144">
        <f>'ERDR Characteristics'!$H$10/$B$5*$L$23</f>
        <v>-1.06211657070829e-16</v>
      </c>
      <c r="AD198" s="144">
        <f>'ERDR Characteristics'!$H$10/$B$5*$M$23</f>
        <v>-0.578189331241069</v>
      </c>
    </row>
    <row r="199">
      <c r="Z199" s="146">
        <v>19</v>
      </c>
      <c r="AA199" s="144">
        <f>'ERDR Characteristics'!$D$10/$B$5*$L$24</f>
        <v>0.106330729547078</v>
      </c>
      <c r="AB199" s="144">
        <f>'ERDR Characteristics'!$D$10/$B$5*$M$24</f>
        <v>-0.396831685075563</v>
      </c>
      <c r="AC199" s="144">
        <f>'ERDR Characteristics'!$H$10/$B$5*$L$24</f>
        <v>0.149646410600278</v>
      </c>
      <c r="AD199" s="144">
        <f>'ERDR Characteristics'!$H$10/$B$5*$M$24</f>
        <v>-0.558488007530553</v>
      </c>
    </row>
    <row r="200">
      <c r="Z200" s="146">
        <v>20</v>
      </c>
      <c r="AA200" s="144">
        <f>'ERDR Characteristics'!$D$10/$B$5*$L$25</f>
        <v>0.205415195595363</v>
      </c>
      <c r="AB200" s="144">
        <f>'ERDR Characteristics'!$D$10/$B$5*$M$25</f>
        <v>-0.355789555417867</v>
      </c>
      <c r="AC200" s="144">
        <f>'ERDR Characteristics'!$H$10/$B$5*$L$25</f>
        <v>0.289094665620534</v>
      </c>
      <c r="AD200" s="144">
        <f>'ERDR Characteristics'!$H$10/$B$5*$M$25</f>
        <v>-0.500726649051901</v>
      </c>
    </row>
    <row r="201">
      <c r="Z201" s="146">
        <v>21</v>
      </c>
      <c r="AA201" s="144">
        <f>'ERDR Characteristics'!$D$10/$B$5*$L$26</f>
        <v>0.290500955528484</v>
      </c>
      <c r="AB201" s="144">
        <f>'ERDR Characteristics'!$D$10/$B$5*$M$26</f>
        <v>-0.290500955528484</v>
      </c>
      <c r="AC201" s="144">
        <f>'ERDR Characteristics'!$H$10/$B$5*$L$26</f>
        <v>0.408841596930275</v>
      </c>
      <c r="AD201" s="144">
        <f>'ERDR Characteristics'!$H$10/$B$5*$M$26</f>
        <v>-0.408841596930275</v>
      </c>
    </row>
    <row r="202">
      <c r="Z202" s="146">
        <v>22</v>
      </c>
      <c r="AA202" s="144">
        <f>'ERDR Characteristics'!$D$10/$B$5*$L$27</f>
        <v>0.355789555417867</v>
      </c>
      <c r="AB202" s="144">
        <f>'ERDR Characteristics'!$D$10/$B$5*$M$27</f>
        <v>-0.205415195595363</v>
      </c>
      <c r="AC202" s="144">
        <f>'ERDR Characteristics'!$H$10/$B$5*$L$27</f>
        <v>0.500726649051901</v>
      </c>
      <c r="AD202" s="144">
        <f>'ERDR Characteristics'!$H$10/$B$5*$M$27</f>
        <v>-0.289094665620535</v>
      </c>
    </row>
    <row r="203">
      <c r="Z203" s="146">
        <v>23</v>
      </c>
      <c r="AA203" s="144">
        <f>'ERDR Characteristics'!$D$10/$B$5*$L$28</f>
        <v>0.396831685075563</v>
      </c>
      <c r="AB203" s="144">
        <f>'ERDR Characteristics'!$D$10/$B$5*$M$28</f>
        <v>-0.106330729547079</v>
      </c>
      <c r="AC203" s="144">
        <f>'ERDR Characteristics'!$H$10/$B$5*$L$28</f>
        <v>0.558488007530553</v>
      </c>
      <c r="AD203" s="144">
        <f>'ERDR Characteristics'!$H$10/$B$5*$M$28</f>
        <v>-0.149646410600279</v>
      </c>
    </row>
    <row r="204">
      <c r="Z204" s="146">
        <v>24</v>
      </c>
      <c r="AA204" s="144">
        <f>'ERDR Characteristics'!$D$10/$B$5*$L$29</f>
        <v>0.410830391190726</v>
      </c>
      <c r="AB204" s="144">
        <f>'ERDR Characteristics'!$D$10/$B$5*$M$29</f>
        <v>-1.00624424712835e-16</v>
      </c>
      <c r="AC204" s="144">
        <f>'ERDR Characteristics'!$H$10/$B$5*$L$29</f>
        <v>0.578189331241069</v>
      </c>
      <c r="AD204" s="144">
        <f>'ERDR Characteristics'!$H$10/$B$5*$M$29</f>
        <v>-1.41615542761105e-16</v>
      </c>
    </row>
    <row r="205"/>
    <row r="206">
      <c r="A206" s="59" t="inlineStr">
        <is>
          <t xml:space="preserve">Object S₇ · radial diagram on “Hyperspheres (Step 1)” — centre S₇, neighbours at their true distance ρ, in neighbour order clockwise from the top</t>
        </is>
      </c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</row>
    <row r="207">
      <c r="A207" s="63" t="inlineStr">
        <is>
          <t xml:space="preserve">Chart title</t>
        </is>
      </c>
      <c r="B207" s="145" t="str">
        <f>"S₇ (class "&amp;'Dataset'!$P$11&amp;")  ·  g = "&amp;'ERDR Characteristics'!$E$11&amp;"  ·  d = "&amp;TEXT('ERDR Characteristics'!$J$11,"0.000")&amp;"  ·  queue "&amp;'ERDR Characteristics'!$K$11</f>
        <v>S₇ (class 1)  ·  g = 2  ·  d = 0.125  ·  queue 5</v>
      </c>
    </row>
    <row r="208" ht="30" customHeight="1">
      <c r="A208" s="147" t="inlineStr">
        <is>
          <t xml:space="preserve">Sⱼ</t>
        </is>
      </c>
      <c r="B208" s="147" t="inlineStr">
        <is>
          <t xml:space="preserve">Class</t>
        </is>
      </c>
      <c r="C208" s="147" t="inlineStr">
        <is>
          <t xml:space="preserve">Rank around Sᵢ (0 = centre)</t>
        </is>
      </c>
      <c r="D208" s="147" t="inlineStr">
        <is>
          <t xml:space="preserve">ρ(Sᵢ, Sⱼ)</t>
        </is>
      </c>
      <c r="E208" s="147" t="inlineStr">
        <is>
          <t xml:space="preserve">Angle θ</t>
        </is>
      </c>
      <c r="F208" s="147" t="inlineStr">
        <is>
          <t xml:space="preserve">x</t>
        </is>
      </c>
      <c r="G208" s="147" t="inlineStr">
        <is>
          <t xml:space="preserve">y</t>
        </is>
      </c>
      <c r="H208" s="147" t="inlineStr">
        <is>
          <t xml:space="preserve">Counted in g(Sᵢ)</t>
        </is>
      </c>
      <c r="I208" s="147" t="inlineStr">
        <is>
          <t xml:space="preserve">K1 counted · x</t>
        </is>
      </c>
      <c r="J208" s="147" t="inlineStr">
        <is>
          <t xml:space="preserve">y</t>
        </is>
      </c>
      <c r="K208" s="147" t="inlineStr">
        <is>
          <t xml:space="preserve">K1 not counted · x</t>
        </is>
      </c>
      <c r="L208" s="147" t="inlineStr">
        <is>
          <t xml:space="preserve">y</t>
        </is>
      </c>
      <c r="M208" s="147" t="inlineStr">
        <is>
          <t xml:space="preserve">K2 counted · x</t>
        </is>
      </c>
      <c r="N208" s="147" t="inlineStr">
        <is>
          <t xml:space="preserve">y</t>
        </is>
      </c>
      <c r="O208" s="147" t="inlineStr">
        <is>
          <t xml:space="preserve">K2 not counted · x</t>
        </is>
      </c>
      <c r="P208" s="147" t="inlineStr">
        <is>
          <t xml:space="preserve">y</t>
        </is>
      </c>
      <c r="Q208" s="147" t="inlineStr">
        <is>
          <t xml:space="preserve">Centre K1 · x</t>
        </is>
      </c>
      <c r="R208" s="147" t="inlineStr">
        <is>
          <t xml:space="preserve">y</t>
        </is>
      </c>
      <c r="S208" s="147" t="inlineStr">
        <is>
          <t xml:space="preserve">Centre K2 · x</t>
        </is>
      </c>
      <c r="T208" s="147" t="inlineStr">
        <is>
          <t xml:space="preserve">y</t>
        </is>
      </c>
      <c r="U208" s="147" t="inlineStr">
        <is>
          <t xml:space="preserve">Label text</t>
        </is>
      </c>
      <c r="Z208" s="147" t="inlineStr">
        <is>
          <t xml:space="preserve">k</t>
        </is>
      </c>
      <c r="AA208" s="147" t="inlineStr">
        <is>
          <t xml:space="preserve">r-sphere · x</t>
        </is>
      </c>
      <c r="AB208" s="147" t="inlineStr">
        <is>
          <t xml:space="preserve">y</t>
        </is>
      </c>
      <c r="AC208" s="147" t="inlineStr">
        <is>
          <t xml:space="preserve">k-sphere · x</t>
        </is>
      </c>
      <c r="AD208" s="147" t="inlineStr">
        <is>
          <t xml:space="preserve">y</t>
        </is>
      </c>
    </row>
    <row r="209">
      <c r="A209" s="62" t="inlineStr">
        <is>
          <t xml:space="preserve">S₁</t>
        </is>
      </c>
      <c r="B209" s="68">
        <f>'Dataset'!$P$5</f>
        <v>2</v>
      </c>
      <c r="C209" s="146">
        <f>'Sorted Neighbors'!B$11</f>
        <v>4</v>
      </c>
      <c r="D209" s="144">
        <f>'Zhuravlev Distances'!B$11</f>
        <v>5.8897935773</v>
      </c>
      <c r="E209" s="144">
        <f>IF(C209=0,0,PI()/2-(C209-1)*$B$6)</f>
        <v>-1.5707963267949</v>
      </c>
      <c r="F209" s="144">
        <f>D209/$B$5*COS(E209)</f>
        <v>3.99675010589605e-17</v>
      </c>
      <c r="G209" s="144">
        <f>D209/$B$5*SIN(E209)</f>
        <v>-0.652718826142974</v>
      </c>
      <c r="H209" s="146">
        <f>IF(AND(C209&gt;0,B209='Dataset'!$P$11,D209&lt;'ERDR Characteristics'!$D$11),1,0)</f>
        <v>0</v>
      </c>
      <c r="I209" s="144" t="e">
        <f>IF(AND(C209&gt;0,B209=1,H209=1),F209,NA())</f>
        <v>#N/A</v>
      </c>
      <c r="J209" s="144" t="e">
        <f>IF(AND(C209&gt;0,B209=1,H209=1),G209,NA())</f>
        <v>#N/A</v>
      </c>
      <c r="K209" s="144" t="e">
        <f>IF(AND(C209&gt;0,B209=1,H209=0),F209,NA())</f>
        <v>#N/A</v>
      </c>
      <c r="L209" s="144" t="e">
        <f>IF(AND(C209&gt;0,B209=1,H209=0),G209,NA())</f>
        <v>#N/A</v>
      </c>
      <c r="M209" s="144" t="e">
        <f>IF(AND(C209&gt;0,B209=2,H209=1),F209,NA())</f>
        <v>#N/A</v>
      </c>
      <c r="N209" s="144" t="e">
        <f>IF(AND(C209&gt;0,B209=2,H209=1),G209,NA())</f>
        <v>#N/A</v>
      </c>
      <c r="O209" s="144">
        <f>IF(AND(C209&gt;0,B209=2,H209=0),F209,NA())</f>
        <v>3.99675010589605e-17</v>
      </c>
      <c r="P209" s="144">
        <f>IF(AND(C209&gt;0,B209=2,H209=0),G209,NA())</f>
        <v>-0.652718826142974</v>
      </c>
      <c r="Q209" s="144" t="e">
        <f>IF(AND(C209=0,B209=1),0,NA())</f>
        <v>#N/A</v>
      </c>
      <c r="R209" s="144" t="e">
        <f>IF(AND(C209=0,B209=1),0,NA())</f>
        <v>#N/A</v>
      </c>
      <c r="S209" s="144" t="e">
        <f>IF(AND(C209=0,B209=2),0,NA())</f>
        <v>#N/A</v>
      </c>
      <c r="T209" s="144" t="e">
        <f>IF(AND(C209=0,B209=2),0,NA())</f>
        <v>#N/A</v>
      </c>
      <c r="U209" s="145" t="str">
        <f>IF(C209=0,A209,A209&amp;"  "&amp;TEXT(D209,"0.00")&amp;IF(C209='ERDR Characteristics'!$F$11,IF(C209=$B$9," (r, z)"," (r)"),IF(C209=$B$9," (z)","")))</f>
        <v>S₁  5.89</v>
      </c>
      <c r="Z209" s="146">
        <v>0</v>
      </c>
      <c r="AA209" s="144">
        <f>'ERDR Characteristics'!$D$11/$B$5*$L$5</f>
        <v>0.433422859119315</v>
      </c>
      <c r="AB209" s="144">
        <f>'ERDR Characteristics'!$D$11/$B$5*$M$5</f>
        <v>0</v>
      </c>
      <c r="AC209" s="144">
        <f>'ERDR Characteristics'!$H$11/$B$5*$L$5</f>
        <v>0.557593405509926</v>
      </c>
      <c r="AD209" s="144">
        <f>'ERDR Characteristics'!$H$11/$B$5*$M$5</f>
        <v>0</v>
      </c>
    </row>
    <row r="210">
      <c r="A210" s="62" t="inlineStr">
        <is>
          <t xml:space="preserve">S₂</t>
        </is>
      </c>
      <c r="B210" s="68">
        <f>'Dataset'!$P$6</f>
        <v>2</v>
      </c>
      <c r="C210" s="146">
        <f>'Sorted Neighbors'!C$11</f>
        <v>6</v>
      </c>
      <c r="D210" s="144">
        <f>'Zhuravlev Distances'!C$11</f>
        <v>7.7855937542</v>
      </c>
      <c r="E210" s="144">
        <f>IF(C210=0,0,PI()/2-(C210-1)*$B$6)</f>
        <v>-3.66519142918809</v>
      </c>
      <c r="F210" s="144">
        <f>D210/$B$5*COS(E210)</f>
        <v>-0.747219910307207</v>
      </c>
      <c r="G210" s="144">
        <f>D210/$B$5*SIN(E210)</f>
        <v>0.431407616359713</v>
      </c>
      <c r="H210" s="146">
        <f>IF(AND(C210&gt;0,B210='Dataset'!$P$11,D210&lt;'ERDR Characteristics'!$D$11),1,0)</f>
        <v>0</v>
      </c>
      <c r="I210" s="144" t="e">
        <f>IF(AND(C210&gt;0,B210=1,H210=1),F210,NA())</f>
        <v>#N/A</v>
      </c>
      <c r="J210" s="144" t="e">
        <f>IF(AND(C210&gt;0,B210=1,H210=1),G210,NA())</f>
        <v>#N/A</v>
      </c>
      <c r="K210" s="144" t="e">
        <f>IF(AND(C210&gt;0,B210=1,H210=0),F210,NA())</f>
        <v>#N/A</v>
      </c>
      <c r="L210" s="144" t="e">
        <f>IF(AND(C210&gt;0,B210=1,H210=0),G210,NA())</f>
        <v>#N/A</v>
      </c>
      <c r="M210" s="144" t="e">
        <f>IF(AND(C210&gt;0,B210=2,H210=1),F210,NA())</f>
        <v>#N/A</v>
      </c>
      <c r="N210" s="144" t="e">
        <f>IF(AND(C210&gt;0,B210=2,H210=1),G210,NA())</f>
        <v>#N/A</v>
      </c>
      <c r="O210" s="144">
        <f>IF(AND(C210&gt;0,B210=2,H210=0),F210,NA())</f>
        <v>-0.747219910307207</v>
      </c>
      <c r="P210" s="144">
        <f>IF(AND(C210&gt;0,B210=2,H210=0),G210,NA())</f>
        <v>0.431407616359713</v>
      </c>
      <c r="Q210" s="144" t="e">
        <f>IF(AND(C210=0,B210=1),0,NA())</f>
        <v>#N/A</v>
      </c>
      <c r="R210" s="144" t="e">
        <f>IF(AND(C210=0,B210=1),0,NA())</f>
        <v>#N/A</v>
      </c>
      <c r="S210" s="144" t="e">
        <f>IF(AND(C210=0,B210=2),0,NA())</f>
        <v>#N/A</v>
      </c>
      <c r="T210" s="144" t="e">
        <f>IF(AND(C210=0,B210=2),0,NA())</f>
        <v>#N/A</v>
      </c>
      <c r="U210" s="145" t="str">
        <f>IF(C210=0,A210,A210&amp;"  "&amp;TEXT(D210,"0.00")&amp;IF(C210='ERDR Characteristics'!$F$11,IF(C210=$B$9," (r, z)"," (r)"),IF(C210=$B$9," (z)","")))</f>
        <v>S₂  7.79</v>
      </c>
      <c r="Z210" s="146">
        <v>1</v>
      </c>
      <c r="AA210" s="144">
        <f>'ERDR Characteristics'!$D$11/$B$5*$L$6</f>
        <v>0.418654333327395</v>
      </c>
      <c r="AB210" s="144">
        <f>'ERDR Characteristics'!$D$11/$B$5*$M$6</f>
        <v>0.112178090522866</v>
      </c>
      <c r="AC210" s="144">
        <f>'ERDR Characteristics'!$H$11/$B$5*$L$6</f>
        <v>0.538593870950511</v>
      </c>
      <c r="AD210" s="144">
        <f>'ERDR Characteristics'!$H$11/$B$5*$M$6</f>
        <v>0.144315792769542</v>
      </c>
    </row>
    <row r="211">
      <c r="A211" s="62" t="inlineStr">
        <is>
          <t xml:space="preserve">S₃</t>
        </is>
      </c>
      <c r="B211" s="68">
        <f>'Dataset'!$P$7</f>
        <v>1</v>
      </c>
      <c r="C211" s="146">
        <f>'Sorted Neighbors'!D$11</f>
        <v>1</v>
      </c>
      <c r="D211" s="144">
        <f>'Zhuravlev Distances'!D$11</f>
        <v>2.7849754107</v>
      </c>
      <c r="E211" s="144">
        <f>IF(C211=0,0,PI()/2-(C211-1)*$B$6)</f>
        <v>1.5707963267949</v>
      </c>
      <c r="F211" s="144">
        <f>D211/$B$5*COS(E211)</f>
        <v>1.8898541386124e-17</v>
      </c>
      <c r="G211" s="144">
        <f>D211/$B$5*SIN(E211)</f>
        <v>0.308636602803059</v>
      </c>
      <c r="H211" s="146">
        <f>IF(AND(C211&gt;0,B211='Dataset'!$P$11,D211&lt;'ERDR Characteristics'!$D$11),1,0)</f>
        <v>1</v>
      </c>
      <c r="I211" s="144">
        <f>IF(AND(C211&gt;0,B211=1,H211=1),F211,NA())</f>
        <v>1.8898541386124e-17</v>
      </c>
      <c r="J211" s="144">
        <f>IF(AND(C211&gt;0,B211=1,H211=1),G211,NA())</f>
        <v>0.308636602803059</v>
      </c>
      <c r="K211" s="144" t="e">
        <f>IF(AND(C211&gt;0,B211=1,H211=0),F211,NA())</f>
        <v>#N/A</v>
      </c>
      <c r="L211" s="144" t="e">
        <f>IF(AND(C211&gt;0,B211=1,H211=0),G211,NA())</f>
        <v>#N/A</v>
      </c>
      <c r="M211" s="144" t="e">
        <f>IF(AND(C211&gt;0,B211=2,H211=1),F211,NA())</f>
        <v>#N/A</v>
      </c>
      <c r="N211" s="144" t="e">
        <f>IF(AND(C211&gt;0,B211=2,H211=1),G211,NA())</f>
        <v>#N/A</v>
      </c>
      <c r="O211" s="144" t="e">
        <f>IF(AND(C211&gt;0,B211=2,H211=0),F211,NA())</f>
        <v>#N/A</v>
      </c>
      <c r="P211" s="144" t="e">
        <f>IF(AND(C211&gt;0,B211=2,H211=0),G211,NA())</f>
        <v>#N/A</v>
      </c>
      <c r="Q211" s="144" t="e">
        <f>IF(AND(C211=0,B211=1),0,NA())</f>
        <v>#N/A</v>
      </c>
      <c r="R211" s="144" t="e">
        <f>IF(AND(C211=0,B211=1),0,NA())</f>
        <v>#N/A</v>
      </c>
      <c r="S211" s="144" t="e">
        <f>IF(AND(C211=0,B211=2),0,NA())</f>
        <v>#N/A</v>
      </c>
      <c r="T211" s="144" t="e">
        <f>IF(AND(C211=0,B211=2),0,NA())</f>
        <v>#N/A</v>
      </c>
      <c r="U211" s="145" t="str">
        <f>IF(C211=0,A211,A211&amp;"  "&amp;TEXT(D211,"0.00")&amp;IF(C211='ERDR Characteristics'!$F$11,IF(C211=$B$9," (r, z)"," (r)"),IF(C211=$B$9," (z)","")))</f>
        <v>S₃  2.78</v>
      </c>
      <c r="Z211" s="146">
        <v>2</v>
      </c>
      <c r="AA211" s="144">
        <f>'ERDR Characteristics'!$D$11/$B$5*$L$7</f>
        <v>0.375355206578211</v>
      </c>
      <c r="AB211" s="144">
        <f>'ERDR Characteristics'!$D$11/$B$5*$M$7</f>
        <v>0.216711429559658</v>
      </c>
      <c r="AC211" s="144">
        <f>'ERDR Characteristics'!$H$11/$B$5*$L$7</f>
        <v>0.482890054154274</v>
      </c>
      <c r="AD211" s="144">
        <f>'ERDR Characteristics'!$H$11/$B$5*$M$7</f>
        <v>0.278796702754963</v>
      </c>
    </row>
    <row r="212">
      <c r="A212" s="62" t="inlineStr">
        <is>
          <t xml:space="preserve">S₄</t>
        </is>
      </c>
      <c r="B212" s="68">
        <f>'Dataset'!$P$8</f>
        <v>2</v>
      </c>
      <c r="C212" s="146">
        <f>'Sorted Neighbors'!E$11</f>
        <v>2</v>
      </c>
      <c r="D212" s="144">
        <f>'Zhuravlev Distances'!E$11</f>
        <v>3.9109813746</v>
      </c>
      <c r="E212" s="144">
        <f>IF(C212=0,0,PI()/2-(C212-1)*$B$6)</f>
        <v>0.523598775598299</v>
      </c>
      <c r="F212" s="144">
        <f>D212/$B$5*COS(E212)</f>
        <v>0.375355206578211</v>
      </c>
      <c r="G212" s="144">
        <f>D212/$B$5*SIN(E212)</f>
        <v>0.216711429559658</v>
      </c>
      <c r="H212" s="146">
        <f>IF(AND(C212&gt;0,B212='Dataset'!$P$11,D212&lt;'ERDR Characteristics'!$D$11),1,0)</f>
        <v>0</v>
      </c>
      <c r="I212" s="144" t="e">
        <f>IF(AND(C212&gt;0,B212=1,H212=1),F212,NA())</f>
        <v>#N/A</v>
      </c>
      <c r="J212" s="144" t="e">
        <f>IF(AND(C212&gt;0,B212=1,H212=1),G212,NA())</f>
        <v>#N/A</v>
      </c>
      <c r="K212" s="144" t="e">
        <f>IF(AND(C212&gt;0,B212=1,H212=0),F212,NA())</f>
        <v>#N/A</v>
      </c>
      <c r="L212" s="144" t="e">
        <f>IF(AND(C212&gt;0,B212=1,H212=0),G212,NA())</f>
        <v>#N/A</v>
      </c>
      <c r="M212" s="144" t="e">
        <f>IF(AND(C212&gt;0,B212=2,H212=1),F212,NA())</f>
        <v>#N/A</v>
      </c>
      <c r="N212" s="144" t="e">
        <f>IF(AND(C212&gt;0,B212=2,H212=1),G212,NA())</f>
        <v>#N/A</v>
      </c>
      <c r="O212" s="144">
        <f>IF(AND(C212&gt;0,B212=2,H212=0),F212,NA())</f>
        <v>0.375355206578211</v>
      </c>
      <c r="P212" s="144">
        <f>IF(AND(C212&gt;0,B212=2,H212=0),G212,NA())</f>
        <v>0.216711429559658</v>
      </c>
      <c r="Q212" s="144" t="e">
        <f>IF(AND(C212=0,B212=1),0,NA())</f>
        <v>#N/A</v>
      </c>
      <c r="R212" s="144" t="e">
        <f>IF(AND(C212=0,B212=1),0,NA())</f>
        <v>#N/A</v>
      </c>
      <c r="S212" s="144" t="e">
        <f>IF(AND(C212=0,B212=2),0,NA())</f>
        <v>#N/A</v>
      </c>
      <c r="T212" s="144" t="e">
        <f>IF(AND(C212=0,B212=2),0,NA())</f>
        <v>#N/A</v>
      </c>
      <c r="U212" s="145" t="str">
        <f>IF(C212=0,A212,A212&amp;"  "&amp;TEXT(D212,"0.00")&amp;IF(C212='ERDR Characteristics'!$F$11,IF(C212=$B$9," (r, z)"," (r)"),IF(C212=$B$9," (z)","")))</f>
        <v>S₄  3.91 (r)</v>
      </c>
      <c r="Z212" s="146">
        <v>3</v>
      </c>
      <c r="AA212" s="144">
        <f>'ERDR Characteristics'!$D$11/$B$5*$L$8</f>
        <v>0.306476242804529</v>
      </c>
      <c r="AB212" s="144">
        <f>'ERDR Characteristics'!$D$11/$B$5*$M$8</f>
        <v>0.306476242804529</v>
      </c>
      <c r="AC212" s="144">
        <f>'ERDR Characteristics'!$H$11/$B$5*$L$8</f>
        <v>0.394278078180969</v>
      </c>
      <c r="AD212" s="144">
        <f>'ERDR Characteristics'!$H$11/$B$5*$M$8</f>
        <v>0.394278078180969</v>
      </c>
    </row>
    <row r="213">
      <c r="A213" s="62" t="inlineStr">
        <is>
          <t xml:space="preserve">S₅</t>
        </is>
      </c>
      <c r="B213" s="68">
        <f>'Dataset'!$P$9</f>
        <v>2</v>
      </c>
      <c r="C213" s="146">
        <f>'Sorted Neighbors'!F$11</f>
        <v>5</v>
      </c>
      <c r="D213" s="144">
        <f>'Zhuravlev Distances'!F$11</f>
        <v>7.1117040273</v>
      </c>
      <c r="E213" s="144">
        <f>IF(C213=0,0,PI()/2-(C213-1)*$B$6)</f>
        <v>-2.61799387799149</v>
      </c>
      <c r="F213" s="144">
        <f>D213/$B$5*COS(E213)</f>
        <v>-0.682543555851964</v>
      </c>
      <c r="G213" s="144">
        <f>D213/$B$5*SIN(E213)</f>
        <v>-0.394066705704776</v>
      </c>
      <c r="H213" s="146">
        <f>IF(AND(C213&gt;0,B213='Dataset'!$P$11,D213&lt;'ERDR Characteristics'!$D$11),1,0)</f>
        <v>0</v>
      </c>
      <c r="I213" s="144" t="e">
        <f>IF(AND(C213&gt;0,B213=1,H213=1),F213,NA())</f>
        <v>#N/A</v>
      </c>
      <c r="J213" s="144" t="e">
        <f>IF(AND(C213&gt;0,B213=1,H213=1),G213,NA())</f>
        <v>#N/A</v>
      </c>
      <c r="K213" s="144" t="e">
        <f>IF(AND(C213&gt;0,B213=1,H213=0),F213,NA())</f>
        <v>#N/A</v>
      </c>
      <c r="L213" s="144" t="e">
        <f>IF(AND(C213&gt;0,B213=1,H213=0),G213,NA())</f>
        <v>#N/A</v>
      </c>
      <c r="M213" s="144" t="e">
        <f>IF(AND(C213&gt;0,B213=2,H213=1),F213,NA())</f>
        <v>#N/A</v>
      </c>
      <c r="N213" s="144" t="e">
        <f>IF(AND(C213&gt;0,B213=2,H213=1),G213,NA())</f>
        <v>#N/A</v>
      </c>
      <c r="O213" s="144">
        <f>IF(AND(C213&gt;0,B213=2,H213=0),F213,NA())</f>
        <v>-0.682543555851964</v>
      </c>
      <c r="P213" s="144">
        <f>IF(AND(C213&gt;0,B213=2,H213=0),G213,NA())</f>
        <v>-0.394066705704776</v>
      </c>
      <c r="Q213" s="144" t="e">
        <f>IF(AND(C213=0,B213=1),0,NA())</f>
        <v>#N/A</v>
      </c>
      <c r="R213" s="144" t="e">
        <f>IF(AND(C213=0,B213=1),0,NA())</f>
        <v>#N/A</v>
      </c>
      <c r="S213" s="144" t="e">
        <f>IF(AND(C213=0,B213=2),0,NA())</f>
        <v>#N/A</v>
      </c>
      <c r="T213" s="144" t="e">
        <f>IF(AND(C213=0,B213=2),0,NA())</f>
        <v>#N/A</v>
      </c>
      <c r="U213" s="145" t="str">
        <f>IF(C213=0,A213,A213&amp;"  "&amp;TEXT(D213,"0.00")&amp;IF(C213='ERDR Characteristics'!$F$11,IF(C213=$B$9," (r, z)"," (r)"),IF(C213=$B$9," (z)","")))</f>
        <v>S₅  7.11</v>
      </c>
      <c r="Z213" s="146">
        <v>4</v>
      </c>
      <c r="AA213" s="144">
        <f>'ERDR Characteristics'!$D$11/$B$5*$L$9</f>
        <v>0.216711429559658</v>
      </c>
      <c r="AB213" s="144">
        <f>'ERDR Characteristics'!$D$11/$B$5*$M$9</f>
        <v>0.375355206578211</v>
      </c>
      <c r="AC213" s="144">
        <f>'ERDR Characteristics'!$H$11/$B$5*$L$9</f>
        <v>0.278796702754963</v>
      </c>
      <c r="AD213" s="144">
        <f>'ERDR Characteristics'!$H$11/$B$5*$M$9</f>
        <v>0.482890054154274</v>
      </c>
    </row>
    <row r="214">
      <c r="A214" s="62" t="inlineStr">
        <is>
          <t xml:space="preserve">S₆</t>
        </is>
      </c>
      <c r="B214" s="68">
        <f>'Dataset'!$P$10</f>
        <v>1</v>
      </c>
      <c r="C214" s="146">
        <f>'Sorted Neighbors'!G$11</f>
        <v>3</v>
      </c>
      <c r="D214" s="144">
        <f>'Zhuravlev Distances'!G$11</f>
        <v>5.0314314939</v>
      </c>
      <c r="E214" s="144">
        <f>IF(C214=0,0,PI()/2-(C214-1)*$B$6)</f>
        <v>-0.523598775598299</v>
      </c>
      <c r="F214" s="144">
        <f>D214/$B$5*COS(E214)</f>
        <v>0.482890054154274</v>
      </c>
      <c r="G214" s="144">
        <f>D214/$B$5*SIN(E214)</f>
        <v>-0.278796702754963</v>
      </c>
      <c r="H214" s="146">
        <f>IF(AND(C214&gt;0,B214='Dataset'!$P$11,D214&lt;'ERDR Characteristics'!$D$11),1,0)</f>
        <v>0</v>
      </c>
      <c r="I214" s="144" t="e">
        <f>IF(AND(C214&gt;0,B214=1,H214=1),F214,NA())</f>
        <v>#N/A</v>
      </c>
      <c r="J214" s="144" t="e">
        <f>IF(AND(C214&gt;0,B214=1,H214=1),G214,NA())</f>
        <v>#N/A</v>
      </c>
      <c r="K214" s="144">
        <f>IF(AND(C214&gt;0,B214=1,H214=0),F214,NA())</f>
        <v>0.482890054154274</v>
      </c>
      <c r="L214" s="144">
        <f>IF(AND(C214&gt;0,B214=1,H214=0),G214,NA())</f>
        <v>-0.278796702754963</v>
      </c>
      <c r="M214" s="144" t="e">
        <f>IF(AND(C214&gt;0,B214=2,H214=1),F214,NA())</f>
        <v>#N/A</v>
      </c>
      <c r="N214" s="144" t="e">
        <f>IF(AND(C214&gt;0,B214=2,H214=1),G214,NA())</f>
        <v>#N/A</v>
      </c>
      <c r="O214" s="144" t="e">
        <f>IF(AND(C214&gt;0,B214=2,H214=0),F214,NA())</f>
        <v>#N/A</v>
      </c>
      <c r="P214" s="144" t="e">
        <f>IF(AND(C214&gt;0,B214=2,H214=0),G214,NA())</f>
        <v>#N/A</v>
      </c>
      <c r="Q214" s="144" t="e">
        <f>IF(AND(C214=0,B214=1),0,NA())</f>
        <v>#N/A</v>
      </c>
      <c r="R214" s="144" t="e">
        <f>IF(AND(C214=0,B214=1),0,NA())</f>
        <v>#N/A</v>
      </c>
      <c r="S214" s="144" t="e">
        <f>IF(AND(C214=0,B214=2),0,NA())</f>
        <v>#N/A</v>
      </c>
      <c r="T214" s="144" t="e">
        <f>IF(AND(C214=0,B214=2),0,NA())</f>
        <v>#N/A</v>
      </c>
      <c r="U214" s="145" t="str">
        <f>IF(C214=0,A214,A214&amp;"  "&amp;TEXT(D214,"0.00")&amp;IF(C214='ERDR Characteristics'!$F$11,IF(C214=$B$9," (r, z)"," (r)"),IF(C214=$B$9," (z)","")))</f>
        <v>S₆  5.03 (z)</v>
      </c>
      <c r="Z214" s="146">
        <v>5</v>
      </c>
      <c r="AA214" s="144">
        <f>'ERDR Characteristics'!$D$11/$B$5*$L$10</f>
        <v>0.112178090522866</v>
      </c>
      <c r="AB214" s="144">
        <f>'ERDR Characteristics'!$D$11/$B$5*$M$10</f>
        <v>0.418654333327395</v>
      </c>
      <c r="AC214" s="144">
        <f>'ERDR Characteristics'!$H$11/$B$5*$L$10</f>
        <v>0.144315792769542</v>
      </c>
      <c r="AD214" s="144">
        <f>'ERDR Characteristics'!$H$11/$B$5*$M$10</f>
        <v>0.538593870950511</v>
      </c>
    </row>
    <row r="215">
      <c r="A215" s="62" t="inlineStr">
        <is>
          <t xml:space="preserve">S₇</t>
        </is>
      </c>
      <c r="B215" s="68">
        <f>'Dataset'!$P$11</f>
        <v>1</v>
      </c>
      <c r="C215" s="146">
        <v>0</v>
      </c>
      <c r="D215" s="144">
        <f>'Zhuravlev Distances'!H$11</f>
        <v>0</v>
      </c>
      <c r="E215" s="144">
        <f>IF(C215=0,0,PI()/2-(C215-1)*$B$6)</f>
        <v>0</v>
      </c>
      <c r="F215" s="144">
        <f>D215/$B$5*COS(E215)</f>
        <v>0</v>
      </c>
      <c r="G215" s="144">
        <f>D215/$B$5*SIN(E215)</f>
        <v>0</v>
      </c>
      <c r="H215" s="146">
        <f>IF(AND(C215&gt;0,B215='Dataset'!$P$11,D215&lt;'ERDR Characteristics'!$D$11),1,0)</f>
        <v>0</v>
      </c>
      <c r="I215" s="144" t="e">
        <f>IF(AND(C215&gt;0,B215=1,H215=1),F215,NA())</f>
        <v>#N/A</v>
      </c>
      <c r="J215" s="144" t="e">
        <f>IF(AND(C215&gt;0,B215=1,H215=1),G215,NA())</f>
        <v>#N/A</v>
      </c>
      <c r="K215" s="144" t="e">
        <f>IF(AND(C215&gt;0,B215=1,H215=0),F215,NA())</f>
        <v>#N/A</v>
      </c>
      <c r="L215" s="144" t="e">
        <f>IF(AND(C215&gt;0,B215=1,H215=0),G215,NA())</f>
        <v>#N/A</v>
      </c>
      <c r="M215" s="144" t="e">
        <f>IF(AND(C215&gt;0,B215=2,H215=1),F215,NA())</f>
        <v>#N/A</v>
      </c>
      <c r="N215" s="144" t="e">
        <f>IF(AND(C215&gt;0,B215=2,H215=1),G215,NA())</f>
        <v>#N/A</v>
      </c>
      <c r="O215" s="144" t="e">
        <f>IF(AND(C215&gt;0,B215=2,H215=0),F215,NA())</f>
        <v>#N/A</v>
      </c>
      <c r="P215" s="144" t="e">
        <f>IF(AND(C215&gt;0,B215=2,H215=0),G215,NA())</f>
        <v>#N/A</v>
      </c>
      <c r="Q215" s="144">
        <f>IF(AND(C215=0,B215=1),0,NA())</f>
        <v>0</v>
      </c>
      <c r="R215" s="144">
        <f>IF(AND(C215=0,B215=1),0,NA())</f>
        <v>0</v>
      </c>
      <c r="S215" s="144" t="e">
        <f>IF(AND(C215=0,B215=2),0,NA())</f>
        <v>#N/A</v>
      </c>
      <c r="T215" s="144" t="e">
        <f>IF(AND(C215=0,B215=2),0,NA())</f>
        <v>#N/A</v>
      </c>
      <c r="U215" s="145" t="str">
        <f>IF(C215=0,A215,A215&amp;"  "&amp;TEXT(D215,"0.00")&amp;IF(C215='ERDR Characteristics'!$F$11,IF(C215=$B$9," (r, z)"," (r)"),IF(C215=$B$9," (z)","")))</f>
        <v>S₇</v>
      </c>
      <c r="Z215" s="146">
        <v>6</v>
      </c>
      <c r="AA215" s="144">
        <f>'ERDR Characteristics'!$D$11/$B$5*$L$11</f>
        <v>2.65394958548882e-17</v>
      </c>
      <c r="AB215" s="144">
        <f>'ERDR Characteristics'!$D$11/$B$5*$M$11</f>
        <v>0.433422859119315</v>
      </c>
      <c r="AC215" s="144">
        <f>'ERDR Characteristics'!$H$11/$B$5*$L$11</f>
        <v>3.41427489641701e-17</v>
      </c>
      <c r="AD215" s="144">
        <f>'ERDR Characteristics'!$H$11/$B$5*$M$11</f>
        <v>0.557593405509926</v>
      </c>
    </row>
    <row r="216">
      <c r="A216" s="63" t="inlineStr">
        <is>
          <t xml:space="preserve">r label</t>
        </is>
      </c>
      <c r="U216" s="145" t="str">
        <f>"r = "&amp;TEXT('ERDR Characteristics'!$D$11,"0.00")</f>
        <v>r = 3.91</v>
      </c>
      <c r="V216" s="144">
        <f>'ERDR Characteristics'!$D$11/$B$5</f>
        <v>0.433422859119315</v>
      </c>
      <c r="W216" s="144">
        <v>0</v>
      </c>
      <c r="Z216" s="146">
        <v>7</v>
      </c>
      <c r="AA216" s="144">
        <f>'ERDR Characteristics'!$D$11/$B$5*$L$12</f>
        <v>-0.112178090522865</v>
      </c>
      <c r="AB216" s="144">
        <f>'ERDR Characteristics'!$D$11/$B$5*$M$12</f>
        <v>0.418654333327395</v>
      </c>
      <c r="AC216" s="144">
        <f>'ERDR Characteristics'!$H$11/$B$5*$L$12</f>
        <v>-0.144315792769542</v>
      </c>
      <c r="AD216" s="144">
        <f>'ERDR Characteristics'!$H$11/$B$5*$M$12</f>
        <v>0.538593870950511</v>
      </c>
    </row>
    <row r="217">
      <c r="A217" s="63" t="inlineStr">
        <is>
          <t xml:space="preserve">z label</t>
        </is>
      </c>
      <c r="U217" s="145" t="str">
        <f>"z = "&amp;TEXT('ERDR Characteristics'!$H$11,"0.00")</f>
        <v>z = 5.03</v>
      </c>
      <c r="V217" s="144">
        <f>-'ERDR Characteristics'!$H$11/$B$5</f>
        <v>-0.557593405509926</v>
      </c>
      <c r="W217" s="144">
        <v>0</v>
      </c>
      <c r="Z217" s="146">
        <v>8</v>
      </c>
      <c r="AA217" s="144">
        <f>'ERDR Characteristics'!$D$11/$B$5*$L$13</f>
        <v>-0.216711429559657</v>
      </c>
      <c r="AB217" s="144">
        <f>'ERDR Characteristics'!$D$11/$B$5*$M$13</f>
        <v>0.375355206578211</v>
      </c>
      <c r="AC217" s="144">
        <f>'ERDR Characteristics'!$H$11/$B$5*$L$13</f>
        <v>-0.278796702754963</v>
      </c>
      <c r="AD217" s="144">
        <f>'ERDR Characteristics'!$H$11/$B$5*$M$13</f>
        <v>0.482890054154274</v>
      </c>
    </row>
    <row r="218">
      <c r="A218" s="147" t="inlineStr">
        <is>
          <t xml:space="preserve">Label slot</t>
        </is>
      </c>
      <c r="B218" s="147" t="inlineStr">
        <is>
          <t xml:space="preserve">Rank t</t>
        </is>
      </c>
      <c r="C218" s="147" t="inlineStr">
        <is>
          <t xml:space="preserve">Object</t>
        </is>
      </c>
      <c r="D218" s="147" t="inlineStr">
        <is>
          <t xml:space="preserve">Label</t>
        </is>
      </c>
      <c r="E218" s="147" t="inlineStr">
        <is>
          <t xml:space="preserve">x</t>
        </is>
      </c>
      <c r="F218" s="147" t="inlineStr">
        <is>
          <t xml:space="preserve">y</t>
        </is>
      </c>
      <c r="Z218" s="146">
        <v>9</v>
      </c>
      <c r="AA218" s="144">
        <f>'ERDR Characteristics'!$D$11/$B$5*$L$14</f>
        <v>-0.306476242804529</v>
      </c>
      <c r="AB218" s="144">
        <f>'ERDR Characteristics'!$D$11/$B$5*$M$14</f>
        <v>0.306476242804529</v>
      </c>
      <c r="AC218" s="144">
        <f>'ERDR Characteristics'!$H$11/$B$5*$L$14</f>
        <v>-0.394278078180969</v>
      </c>
      <c r="AD218" s="144">
        <f>'ERDR Characteristics'!$H$11/$B$5*$M$14</f>
        <v>0.394278078180969</v>
      </c>
    </row>
    <row r="219">
      <c r="A219" s="63" t="inlineStr">
        <is>
          <t xml:space="preserve">slot 1 (t)</t>
        </is>
      </c>
      <c r="B219" s="146">
        <v>1</v>
      </c>
      <c r="C219" s="146">
        <f>IFERROR(MATCH(B219,$C$209:$C$215,0),NA())</f>
        <v>3</v>
      </c>
      <c r="D219" s="145" t="str">
        <f>IFERROR(INDEX($U$209:$U$215,C219),"")</f>
        <v>S₃  2.78</v>
      </c>
      <c r="E219" s="144">
        <f>IFERROR(INDEX($F$209:$F$215,C219),NA())</f>
        <v>1.8898541386124e-17</v>
      </c>
      <c r="F219" s="144">
        <f>IFERROR(INDEX($G$209:$G$215,C219),NA())</f>
        <v>0.308636602803059</v>
      </c>
      <c r="Z219" s="146">
        <v>10</v>
      </c>
      <c r="AA219" s="144">
        <f>'ERDR Characteristics'!$D$11/$B$5*$L$15</f>
        <v>-0.375355206578211</v>
      </c>
      <c r="AB219" s="144">
        <f>'ERDR Characteristics'!$D$11/$B$5*$M$15</f>
        <v>0.216711429559658</v>
      </c>
      <c r="AC219" s="144">
        <f>'ERDR Characteristics'!$H$11/$B$5*$L$15</f>
        <v>-0.482890054154274</v>
      </c>
      <c r="AD219" s="144">
        <f>'ERDR Characteristics'!$H$11/$B$5*$M$15</f>
        <v>0.278796702754963</v>
      </c>
    </row>
    <row r="220">
      <c r="A220" s="63" t="inlineStr">
        <is>
          <t xml:space="preserve">slot 2 (r)</t>
        </is>
      </c>
      <c r="B220" s="146">
        <v>2</v>
      </c>
      <c r="C220" s="146">
        <f>IFERROR(MATCH(B220,$C$209:$C$215,0),NA())</f>
        <v>4</v>
      </c>
      <c r="D220" s="145" t="str">
        <f>IFERROR(INDEX($U$209:$U$215,C220),"")</f>
        <v>S₄  3.91 (r)</v>
      </c>
      <c r="E220" s="144">
        <f>IFERROR(INDEX($F$209:$F$215,C220),NA())</f>
        <v>0.375355206578211</v>
      </c>
      <c r="F220" s="144">
        <f>IFERROR(INDEX($G$209:$G$215,C220),NA())</f>
        <v>0.216711429559658</v>
      </c>
      <c r="Z220" s="146">
        <v>11</v>
      </c>
      <c r="AA220" s="144">
        <f>'ERDR Characteristics'!$D$11/$B$5*$L$16</f>
        <v>-0.418654333327395</v>
      </c>
      <c r="AB220" s="144">
        <f>'ERDR Characteristics'!$D$11/$B$5*$M$16</f>
        <v>0.112178090522866</v>
      </c>
      <c r="AC220" s="144">
        <f>'ERDR Characteristics'!$H$11/$B$5*$L$16</f>
        <v>-0.538593870950511</v>
      </c>
      <c r="AD220" s="144">
        <f>'ERDR Characteristics'!$H$11/$B$5*$M$16</f>
        <v>0.144315792769542</v>
      </c>
    </row>
    <row r="221">
      <c r="A221" s="63" t="inlineStr">
        <is>
          <t xml:space="preserve">slot 3 (r)</t>
        </is>
      </c>
      <c r="B221" s="146">
        <v>3</v>
      </c>
      <c r="C221" s="146">
        <f>IFERROR(MATCH(B221,$C$209:$C$215,0),NA())</f>
        <v>6</v>
      </c>
      <c r="D221" s="145" t="str">
        <f>IFERROR(INDEX($U$209:$U$215,C221),"")</f>
        <v>S₆  5.03 (z)</v>
      </c>
      <c r="E221" s="144">
        <f>IFERROR(INDEX($F$209:$F$215,C221),NA())</f>
        <v>0.482890054154274</v>
      </c>
      <c r="F221" s="144">
        <f>IFERROR(INDEX($G$209:$G$215,C221),NA())</f>
        <v>-0.278796702754963</v>
      </c>
      <c r="Z221" s="146">
        <v>12</v>
      </c>
      <c r="AA221" s="144">
        <f>'ERDR Characteristics'!$D$11/$B$5*$L$17</f>
        <v>-0.433422859119315</v>
      </c>
      <c r="AB221" s="144">
        <f>'ERDR Characteristics'!$D$11/$B$5*$M$17</f>
        <v>5.30789917097763e-17</v>
      </c>
      <c r="AC221" s="144">
        <f>'ERDR Characteristics'!$H$11/$B$5*$L$17</f>
        <v>-0.557593405509926</v>
      </c>
      <c r="AD221" s="144">
        <f>'ERDR Characteristics'!$H$11/$B$5*$M$17</f>
        <v>6.82854979283403e-17</v>
      </c>
    </row>
    <row r="222">
      <c r="A222" s="63" t="inlineStr">
        <is>
          <t xml:space="preserve">slot 4 (b)</t>
        </is>
      </c>
      <c r="B222" s="146">
        <v>4</v>
      </c>
      <c r="C222" s="146">
        <f>IFERROR(MATCH(B222,$C$209:$C$215,0),NA())</f>
        <v>1</v>
      </c>
      <c r="D222" s="145" t="str">
        <f>IFERROR(INDEX($U$209:$U$215,C222),"")</f>
        <v>S₁  5.89</v>
      </c>
      <c r="E222" s="144">
        <f>IFERROR(INDEX($F$209:$F$215,C222),NA())</f>
        <v>3.99675010589605e-17</v>
      </c>
      <c r="F222" s="144">
        <f>IFERROR(INDEX($G$209:$G$215,C222),NA())</f>
        <v>-0.652718826142974</v>
      </c>
      <c r="Z222" s="146">
        <v>13</v>
      </c>
      <c r="AA222" s="144">
        <f>'ERDR Characteristics'!$D$11/$B$5*$L$18</f>
        <v>-0.418654333327395</v>
      </c>
      <c r="AB222" s="144">
        <f>'ERDR Characteristics'!$D$11/$B$5*$M$18</f>
        <v>-0.112178090522866</v>
      </c>
      <c r="AC222" s="144">
        <f>'ERDR Characteristics'!$H$11/$B$5*$L$18</f>
        <v>-0.538593870950511</v>
      </c>
      <c r="AD222" s="144">
        <f>'ERDR Characteristics'!$H$11/$B$5*$M$18</f>
        <v>-0.144315792769542</v>
      </c>
    </row>
    <row r="223">
      <c r="A223" s="63" t="inlineStr">
        <is>
          <t xml:space="preserve">slot 5 (l)</t>
        </is>
      </c>
      <c r="B223" s="146">
        <v>5</v>
      </c>
      <c r="C223" s="146">
        <f>IFERROR(MATCH(B223,$C$209:$C$215,0),NA())</f>
        <v>5</v>
      </c>
      <c r="D223" s="145" t="str">
        <f>IFERROR(INDEX($U$209:$U$215,C223),"")</f>
        <v>S₅  7.11</v>
      </c>
      <c r="E223" s="144">
        <f>IFERROR(INDEX($F$209:$F$215,C223),NA())</f>
        <v>-0.682543555851964</v>
      </c>
      <c r="F223" s="144">
        <f>IFERROR(INDEX($G$209:$G$215,C223),NA())</f>
        <v>-0.394066705704776</v>
      </c>
      <c r="Z223" s="146">
        <v>14</v>
      </c>
      <c r="AA223" s="144">
        <f>'ERDR Characteristics'!$D$11/$B$5*$L$19</f>
        <v>-0.375355206578211</v>
      </c>
      <c r="AB223" s="144">
        <f>'ERDR Characteristics'!$D$11/$B$5*$M$19</f>
        <v>-0.216711429559657</v>
      </c>
      <c r="AC223" s="144">
        <f>'ERDR Characteristics'!$H$11/$B$5*$L$19</f>
        <v>-0.482890054154274</v>
      </c>
      <c r="AD223" s="144">
        <f>'ERDR Characteristics'!$H$11/$B$5*$M$19</f>
        <v>-0.278796702754963</v>
      </c>
    </row>
    <row r="224">
      <c r="A224" s="63" t="inlineStr">
        <is>
          <t xml:space="preserve">slot 6 (l)</t>
        </is>
      </c>
      <c r="B224" s="146">
        <v>6</v>
      </c>
      <c r="C224" s="146">
        <f>IFERROR(MATCH(B224,$C$209:$C$215,0),NA())</f>
        <v>2</v>
      </c>
      <c r="D224" s="145" t="str">
        <f>IFERROR(INDEX($U$209:$U$215,C224),"")</f>
        <v>S₂  7.79</v>
      </c>
      <c r="E224" s="144">
        <f>IFERROR(INDEX($F$209:$F$215,C224),NA())</f>
        <v>-0.747219910307207</v>
      </c>
      <c r="F224" s="144">
        <f>IFERROR(INDEX($G$209:$G$215,C224),NA())</f>
        <v>0.431407616359713</v>
      </c>
      <c r="Z224" s="146">
        <v>15</v>
      </c>
      <c r="AA224" s="144">
        <f>'ERDR Characteristics'!$D$11/$B$5*$L$20</f>
        <v>-0.30647624280453</v>
      </c>
      <c r="AB224" s="144">
        <f>'ERDR Characteristics'!$D$11/$B$5*$M$20</f>
        <v>-0.306476242804529</v>
      </c>
      <c r="AC224" s="144">
        <f>'ERDR Characteristics'!$H$11/$B$5*$L$20</f>
        <v>-0.394278078180969</v>
      </c>
      <c r="AD224" s="144">
        <f>'ERDR Characteristics'!$H$11/$B$5*$M$20</f>
        <v>-0.394278078180969</v>
      </c>
    </row>
    <row r="225">
      <c r="A225" s="63" t="inlineStr">
        <is>
          <t xml:space="preserve">centre (b)</t>
        </is>
      </c>
      <c r="C225" s="146">
        <v>7</v>
      </c>
      <c r="D225" s="145" t="str">
        <f>$A$215</f>
        <v>S₇</v>
      </c>
      <c r="E225" s="144">
        <v>0</v>
      </c>
      <c r="F225" s="144">
        <v>0</v>
      </c>
      <c r="Z225" s="146">
        <v>16</v>
      </c>
      <c r="AA225" s="144">
        <f>'ERDR Characteristics'!$D$11/$B$5*$L$21</f>
        <v>-0.216711429559658</v>
      </c>
      <c r="AB225" s="144">
        <f>'ERDR Characteristics'!$D$11/$B$5*$M$21</f>
        <v>-0.375355206578211</v>
      </c>
      <c r="AC225" s="144">
        <f>'ERDR Characteristics'!$H$11/$B$5*$L$21</f>
        <v>-0.278796702754963</v>
      </c>
      <c r="AD225" s="144">
        <f>'ERDR Characteristics'!$H$11/$B$5*$M$21</f>
        <v>-0.482890054154274</v>
      </c>
    </row>
    <row r="226">
      <c r="A226" s="63" t="inlineStr">
        <is>
          <t xml:space="preserve">caption, top left (r)</t>
        </is>
      </c>
      <c r="D226" s="145" t="str">
        <f>"g = "&amp;'ERDR Characteristics'!$E$11&amp;"  ·  d = "&amp;TEXT('ERDR Characteristics'!$J$11,"0.000")</f>
        <v>g = 2  ·  d = 0.125</v>
      </c>
      <c r="E226" s="144">
        <v>-1.2</v>
      </c>
      <c r="F226" s="144">
        <v>1.18</v>
      </c>
      <c r="Z226" s="146">
        <v>17</v>
      </c>
      <c r="AA226" s="144">
        <f>'ERDR Characteristics'!$D$11/$B$5*$L$22</f>
        <v>-0.112178090522865</v>
      </c>
      <c r="AB226" s="144">
        <f>'ERDR Characteristics'!$D$11/$B$5*$M$22</f>
        <v>-0.418654333327395</v>
      </c>
      <c r="AC226" s="144">
        <f>'ERDR Characteristics'!$H$11/$B$5*$L$22</f>
        <v>-0.144315792769542</v>
      </c>
      <c r="AD226" s="144">
        <f>'ERDR Characteristics'!$H$11/$B$5*$M$22</f>
        <v>-0.538593870950511</v>
      </c>
    </row>
    <row r="227">
      <c r="A227" s="63" t="inlineStr">
        <is>
          <t xml:space="preserve">caption, top right (l)</t>
        </is>
      </c>
      <c r="D227" s="145" t="str">
        <f>"class "&amp;'Dataset'!$P$11&amp;"  ·  queue "&amp;'ERDR Characteristics'!$K$11</f>
        <v>class 1  ·  queue 5</v>
      </c>
      <c r="E227" s="144">
        <v>1.2</v>
      </c>
      <c r="F227" s="144">
        <v>1.18</v>
      </c>
      <c r="Z227" s="146">
        <v>18</v>
      </c>
      <c r="AA227" s="144">
        <f>'ERDR Characteristics'!$D$11/$B$5*$L$23</f>
        <v>-7.96184875646645e-17</v>
      </c>
      <c r="AB227" s="144">
        <f>'ERDR Characteristics'!$D$11/$B$5*$M$23</f>
        <v>-0.433422859119315</v>
      </c>
      <c r="AC227" s="144">
        <f>'ERDR Characteristics'!$H$11/$B$5*$L$23</f>
        <v>-1.0242824689251e-16</v>
      </c>
      <c r="AD227" s="144">
        <f>'ERDR Characteristics'!$H$11/$B$5*$M$23</f>
        <v>-0.557593405509926</v>
      </c>
    </row>
    <row r="228">
      <c r="Z228" s="146">
        <v>19</v>
      </c>
      <c r="AA228" s="144">
        <f>'ERDR Characteristics'!$D$11/$B$5*$L$24</f>
        <v>0.112178090522865</v>
      </c>
      <c r="AB228" s="144">
        <f>'ERDR Characteristics'!$D$11/$B$5*$M$24</f>
        <v>-0.418654333327395</v>
      </c>
      <c r="AC228" s="144">
        <f>'ERDR Characteristics'!$H$11/$B$5*$L$24</f>
        <v>0.144315792769541</v>
      </c>
      <c r="AD228" s="144">
        <f>'ERDR Characteristics'!$H$11/$B$5*$M$24</f>
        <v>-0.538593870950511</v>
      </c>
    </row>
    <row r="229">
      <c r="Z229" s="146">
        <v>20</v>
      </c>
      <c r="AA229" s="144">
        <f>'ERDR Characteristics'!$D$11/$B$5*$L$25</f>
        <v>0.216711429559658</v>
      </c>
      <c r="AB229" s="144">
        <f>'ERDR Characteristics'!$D$11/$B$5*$M$25</f>
        <v>-0.375355206578211</v>
      </c>
      <c r="AC229" s="144">
        <f>'ERDR Characteristics'!$H$11/$B$5*$L$25</f>
        <v>0.278796702754963</v>
      </c>
      <c r="AD229" s="144">
        <f>'ERDR Characteristics'!$H$11/$B$5*$M$25</f>
        <v>-0.482890054154274</v>
      </c>
    </row>
    <row r="230">
      <c r="Z230" s="146">
        <v>21</v>
      </c>
      <c r="AA230" s="144">
        <f>'ERDR Characteristics'!$D$11/$B$5*$L$26</f>
        <v>0.306476242804529</v>
      </c>
      <c r="AB230" s="144">
        <f>'ERDR Characteristics'!$D$11/$B$5*$M$26</f>
        <v>-0.306476242804529</v>
      </c>
      <c r="AC230" s="144">
        <f>'ERDR Characteristics'!$H$11/$B$5*$L$26</f>
        <v>0.394278078180969</v>
      </c>
      <c r="AD230" s="144">
        <f>'ERDR Characteristics'!$H$11/$B$5*$M$26</f>
        <v>-0.394278078180969</v>
      </c>
    </row>
    <row r="231">
      <c r="Z231" s="146">
        <v>22</v>
      </c>
      <c r="AA231" s="144">
        <f>'ERDR Characteristics'!$D$11/$B$5*$L$27</f>
        <v>0.375355206578211</v>
      </c>
      <c r="AB231" s="144">
        <f>'ERDR Characteristics'!$D$11/$B$5*$M$27</f>
        <v>-0.216711429559658</v>
      </c>
      <c r="AC231" s="144">
        <f>'ERDR Characteristics'!$H$11/$B$5*$L$27</f>
        <v>0.482890054154274</v>
      </c>
      <c r="AD231" s="144">
        <f>'ERDR Characteristics'!$H$11/$B$5*$M$27</f>
        <v>-0.278796702754963</v>
      </c>
    </row>
    <row r="232">
      <c r="Z232" s="146">
        <v>23</v>
      </c>
      <c r="AA232" s="144">
        <f>'ERDR Characteristics'!$D$11/$B$5*$L$28</f>
        <v>0.418654333327395</v>
      </c>
      <c r="AB232" s="144">
        <f>'ERDR Characteristics'!$D$11/$B$5*$M$28</f>
        <v>-0.112178090522866</v>
      </c>
      <c r="AC232" s="144">
        <f>'ERDR Characteristics'!$H$11/$B$5*$L$28</f>
        <v>0.538593870950511</v>
      </c>
      <c r="AD232" s="144">
        <f>'ERDR Characteristics'!$H$11/$B$5*$M$28</f>
        <v>-0.144315792769542</v>
      </c>
    </row>
    <row r="233">
      <c r="Z233" s="146">
        <v>24</v>
      </c>
      <c r="AA233" s="144">
        <f>'ERDR Characteristics'!$D$11/$B$5*$L$29</f>
        <v>0.433422859119315</v>
      </c>
      <c r="AB233" s="144">
        <f>'ERDR Characteristics'!$D$11/$B$5*$M$29</f>
        <v>-1.06157983419553e-16</v>
      </c>
      <c r="AC233" s="144">
        <f>'ERDR Characteristics'!$H$11/$B$5*$L$29</f>
        <v>0.557593405509926</v>
      </c>
      <c r="AD233" s="144">
        <f>'ERDR Characteristics'!$H$11/$B$5*$M$29</f>
        <v>-1.36570995856681e-16</v>
      </c>
    </row>
    <row r="234"/>
    <row r="235">
      <c r="A235" s="59" t="inlineStr">
        <is>
          <t xml:space="preserve">Neighbourhood strips on “Hyperspheres (Step 1)” — x = distance from the strip owner Sᵢ, y = strip level (top = first in the Step 2 queue)</t>
        </is>
      </c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</row>
    <row r="236" ht="30" customHeight="1">
      <c r="A236" s="147" t="inlineStr">
        <is>
          <t xml:space="preserve">Sᵢ (strip)</t>
        </is>
      </c>
      <c r="B236" s="147" t="inlineStr">
        <is>
          <t xml:space="preserve">Sⱼ</t>
        </is>
      </c>
      <c r="C236" s="147" t="inlineStr">
        <is>
          <t xml:space="preserve">x = ρ(Sᵢ, Sⱼ)</t>
        </is>
      </c>
      <c r="D236" s="147" t="inlineStr">
        <is>
          <t xml:space="preserve">y = strip level</t>
        </is>
      </c>
      <c r="E236" s="147" t="inlineStr">
        <is>
          <t xml:space="preserve">Class of Sⱼ</t>
        </is>
      </c>
      <c r="F236" s="147" t="inlineStr">
        <is>
          <t xml:space="preserve">Counted in g(Sᵢ)</t>
        </is>
      </c>
      <c r="G236" s="147" t="inlineStr">
        <is>
          <t xml:space="preserve">K1 counted · x</t>
        </is>
      </c>
      <c r="H236" s="147" t="inlineStr">
        <is>
          <t xml:space="preserve">y</t>
        </is>
      </c>
      <c r="I236" s="147" t="inlineStr">
        <is>
          <t xml:space="preserve">K1 not counted · x</t>
        </is>
      </c>
      <c r="J236" s="147" t="inlineStr">
        <is>
          <t xml:space="preserve">y</t>
        </is>
      </c>
      <c r="K236" s="147" t="inlineStr">
        <is>
          <t xml:space="preserve">K2 counted · x</t>
        </is>
      </c>
      <c r="L236" s="147" t="inlineStr">
        <is>
          <t xml:space="preserve">y</t>
        </is>
      </c>
      <c r="M236" s="147" t="inlineStr">
        <is>
          <t xml:space="preserve">K2 not counted · x</t>
        </is>
      </c>
      <c r="N236" s="147" t="inlineStr">
        <is>
          <t xml:space="preserve">y</t>
        </is>
      </c>
      <c r="O236" s="147" t="inlineStr">
        <is>
          <t xml:space="preserve">Centre K1 · x</t>
        </is>
      </c>
      <c r="P236" s="147" t="inlineStr">
        <is>
          <t xml:space="preserve">y</t>
        </is>
      </c>
      <c r="Q236" s="147" t="inlineStr">
        <is>
          <t xml:space="preserve">Centre K2 · x</t>
        </is>
      </c>
      <c r="R236" s="147" t="inlineStr">
        <is>
          <t xml:space="preserve">y</t>
        </is>
      </c>
      <c r="T236" s="147" t="inlineStr">
        <is>
          <t xml:space="preserve">Sᵢ</t>
        </is>
      </c>
      <c r="U236" s="147" t="inlineStr">
        <is>
          <t xml:space="preserve">r line · x</t>
        </is>
      </c>
      <c r="V236" s="147" t="inlineStr">
        <is>
          <t xml:space="preserve">y</t>
        </is>
      </c>
      <c r="W236" s="147" t="inlineStr">
        <is>
          <t xml:space="preserve">z line · x</t>
        </is>
      </c>
      <c r="X236" s="147" t="inlineStr">
        <is>
          <t xml:space="preserve">y</t>
        </is>
      </c>
      <c r="Z236" s="147" t="inlineStr">
        <is>
          <t xml:space="preserve">Sᵢ</t>
        </is>
      </c>
      <c r="AA236" s="147" t="inlineStr">
        <is>
          <t xml:space="preserve">Label</t>
        </is>
      </c>
      <c r="AB236" s="147" t="inlineStr">
        <is>
          <t xml:space="preserve">x</t>
        </is>
      </c>
      <c r="AC236" s="147" t="inlineStr">
        <is>
          <t xml:space="preserve">y</t>
        </is>
      </c>
    </row>
    <row r="237">
      <c r="A237" s="62" t="inlineStr">
        <is>
          <t xml:space="preserve">S₁</t>
        </is>
      </c>
      <c r="B237" s="62" t="inlineStr">
        <is>
          <t xml:space="preserve">S₁</t>
        </is>
      </c>
      <c r="C237" s="144">
        <v>0</v>
      </c>
      <c r="D237" s="144">
        <f>'Parameters'!$B$5+1-'ERDR Characteristics'!$K$5</f>
        <v>7</v>
      </c>
      <c r="E237" s="68">
        <f>'Dataset'!$P$5</f>
        <v>2</v>
      </c>
      <c r="F237" s="146">
        <v>0</v>
      </c>
      <c r="G237" s="144" t="e">
        <f>NA()</f>
        <v>#N/A</v>
      </c>
      <c r="H237" s="144" t="e">
        <f>NA()</f>
        <v>#N/A</v>
      </c>
      <c r="I237" s="144" t="e">
        <f>NA()</f>
        <v>#N/A</v>
      </c>
      <c r="J237" s="144" t="e">
        <f>NA()</f>
        <v>#N/A</v>
      </c>
      <c r="K237" s="144" t="e">
        <f>NA()</f>
        <v>#N/A</v>
      </c>
      <c r="L237" s="144" t="e">
        <f>NA()</f>
        <v>#N/A</v>
      </c>
      <c r="M237" s="144" t="e">
        <f>NA()</f>
        <v>#N/A</v>
      </c>
      <c r="N237" s="144" t="e">
        <f>NA()</f>
        <v>#N/A</v>
      </c>
      <c r="O237" s="144" t="e">
        <f>IF(E237=1,0,NA())</f>
        <v>#N/A</v>
      </c>
      <c r="P237" s="144" t="e">
        <f>IF(E237=1,D237,NA())</f>
        <v>#N/A</v>
      </c>
      <c r="Q237" s="144">
        <f>IF(E237=2,0,NA())</f>
        <v>0</v>
      </c>
      <c r="R237" s="144">
        <f>IF(E237=2,D237,NA())</f>
        <v>7</v>
      </c>
      <c r="T237" s="62" t="inlineStr">
        <is>
          <t xml:space="preserve">S₁</t>
        </is>
      </c>
      <c r="U237" s="144">
        <f>0</f>
        <v>0</v>
      </c>
      <c r="V237" s="144">
        <f>$D$237+$B$10</f>
        <v>7.22</v>
      </c>
      <c r="W237" s="144">
        <f>0</f>
        <v>0</v>
      </c>
      <c r="X237" s="144">
        <f>$D$237-$B$10</f>
        <v>6.78</v>
      </c>
      <c r="Z237" s="62" t="inlineStr">
        <is>
          <t xml:space="preserve">S₁</t>
        </is>
      </c>
      <c r="AA237" s="145" t="str">
        <f>"S₁  ·  d "&amp;TEXT('ERDR Characteristics'!$J$5,"0.000")</f>
        <v>S₁  ·  d 0.000</v>
      </c>
      <c r="AB237" s="144">
        <v>-0.25</v>
      </c>
      <c r="AC237" s="144">
        <f>$D$237</f>
        <v>7</v>
      </c>
    </row>
    <row r="238">
      <c r="A238" s="62" t="inlineStr">
        <is>
          <t xml:space="preserve">S₁</t>
        </is>
      </c>
      <c r="B238" s="62" t="inlineStr">
        <is>
          <t xml:space="preserve">S₂</t>
        </is>
      </c>
      <c r="C238" s="144">
        <f>'Zhuravlev Distances'!C$5</f>
        <v>4.6606100796</v>
      </c>
      <c r="D238" s="144">
        <f>'Parameters'!$B$5+1-'ERDR Characteristics'!$K$5</f>
        <v>7</v>
      </c>
      <c r="E238" s="68">
        <f>'Dataset'!$P$6</f>
        <v>2</v>
      </c>
      <c r="F238" s="146">
        <f>IF(AND(E238='Dataset'!$P$5,C238&lt;'ERDR Characteristics'!$D$5),1,0)</f>
        <v>1</v>
      </c>
      <c r="G238" s="144" t="e">
        <f>IF(AND(E238=1,F238=1),C238,NA())</f>
        <v>#N/A</v>
      </c>
      <c r="H238" s="144" t="e">
        <f>IF(AND(E238=1,F238=1),D238,NA())</f>
        <v>#N/A</v>
      </c>
      <c r="I238" s="144" t="e">
        <f>IF(AND(E238=1,F238=0),C238,NA())</f>
        <v>#N/A</v>
      </c>
      <c r="J238" s="144" t="e">
        <f>IF(AND(E238=1,F238=0),D238,NA())</f>
        <v>#N/A</v>
      </c>
      <c r="K238" s="144">
        <f>IF(AND(E238=2,F238=1),C238,NA())</f>
        <v>4.6606100796</v>
      </c>
      <c r="L238" s="144">
        <f>IF(AND(E238=2,F238=1),D238,NA())</f>
        <v>7</v>
      </c>
      <c r="M238" s="144" t="e">
        <f>IF(AND(E238=2,F238=0),C238,NA())</f>
        <v>#N/A</v>
      </c>
      <c r="N238" s="144" t="e">
        <f>IF(AND(E238=2,F238=0),D238,NA())</f>
        <v>#N/A</v>
      </c>
      <c r="O238" s="144" t="e">
        <f>NA()</f>
        <v>#N/A</v>
      </c>
      <c r="P238" s="144" t="e">
        <f>NA()</f>
        <v>#N/A</v>
      </c>
      <c r="Q238" s="144" t="e">
        <f>NA()</f>
        <v>#N/A</v>
      </c>
      <c r="R238" s="144" t="e">
        <f>NA()</f>
        <v>#N/A</v>
      </c>
      <c r="T238" s="62" t="inlineStr">
        <is>
          <t xml:space="preserve">S₁</t>
        </is>
      </c>
      <c r="U238" s="144">
        <f>'ERDR Characteristics'!$D$5</f>
        <v>5.60708061</v>
      </c>
      <c r="V238" s="144">
        <f>$D$237+$B$10</f>
        <v>7.22</v>
      </c>
      <c r="W238" s="144">
        <f>'ERDR Characteristics'!$H$5</f>
        <v>5.60708061</v>
      </c>
      <c r="X238" s="144">
        <f>$D$237-$B$10</f>
        <v>6.78</v>
      </c>
      <c r="Z238" s="62" t="inlineStr">
        <is>
          <t xml:space="preserve">S₂</t>
        </is>
      </c>
      <c r="AA238" s="145" t="str">
        <f>"S₂  ·  d "&amp;TEXT('ERDR Characteristics'!$J$6,"0.000")</f>
        <v>S₂  ·  d 0.080</v>
      </c>
      <c r="AB238" s="144">
        <v>-0.25</v>
      </c>
      <c r="AC238" s="144">
        <f>$D$245</f>
        <v>4</v>
      </c>
    </row>
    <row r="239">
      <c r="A239" s="62" t="inlineStr">
        <is>
          <t xml:space="preserve">S₁</t>
        </is>
      </c>
      <c r="B239" s="62" t="inlineStr">
        <is>
          <t xml:space="preserve">S₃</t>
        </is>
      </c>
      <c r="C239" s="144">
        <f>'Zhuravlev Distances'!D$5</f>
        <v>5.60708061</v>
      </c>
      <c r="D239" s="144">
        <f>'Parameters'!$B$5+1-'ERDR Characteristics'!$K$5</f>
        <v>7</v>
      </c>
      <c r="E239" s="68">
        <f>'Dataset'!$P$7</f>
        <v>1</v>
      </c>
      <c r="F239" s="146">
        <f>IF(AND(E239='Dataset'!$P$5,C239&lt;'ERDR Characteristics'!$D$5),1,0)</f>
        <v>0</v>
      </c>
      <c r="G239" s="144" t="e">
        <f>IF(AND(E239=1,F239=1),C239,NA())</f>
        <v>#N/A</v>
      </c>
      <c r="H239" s="144" t="e">
        <f>IF(AND(E239=1,F239=1),D239,NA())</f>
        <v>#N/A</v>
      </c>
      <c r="I239" s="144">
        <f>IF(AND(E239=1,F239=0),C239,NA())</f>
        <v>5.60708061</v>
      </c>
      <c r="J239" s="144">
        <f>IF(AND(E239=1,F239=0),D239,NA())</f>
        <v>7</v>
      </c>
      <c r="K239" s="144" t="e">
        <f>IF(AND(E239=2,F239=1),C239,NA())</f>
        <v>#N/A</v>
      </c>
      <c r="L239" s="144" t="e">
        <f>IF(AND(E239=2,F239=1),D239,NA())</f>
        <v>#N/A</v>
      </c>
      <c r="M239" s="144" t="e">
        <f>IF(AND(E239=2,F239=0),C239,NA())</f>
        <v>#N/A</v>
      </c>
      <c r="N239" s="144" t="e">
        <f>IF(AND(E239=2,F239=0),D239,NA())</f>
        <v>#N/A</v>
      </c>
      <c r="O239" s="144" t="e">
        <f>NA()</f>
        <v>#N/A</v>
      </c>
      <c r="P239" s="144" t="e">
        <f>NA()</f>
        <v>#N/A</v>
      </c>
      <c r="Q239" s="144" t="e">
        <f>NA()</f>
        <v>#N/A</v>
      </c>
      <c r="R239" s="144" t="e">
        <f>NA()</f>
        <v>#N/A</v>
      </c>
      <c r="T239" s="62" t="inlineStr">
        <is>
          <t xml:space="preserve">S₂</t>
        </is>
      </c>
      <c r="U239" s="144">
        <f>0</f>
        <v>0</v>
      </c>
      <c r="V239" s="144">
        <f>$D$245+$B$10</f>
        <v>4.22</v>
      </c>
      <c r="W239" s="144">
        <f>0</f>
        <v>0</v>
      </c>
      <c r="X239" s="144">
        <f>$D$245-$B$10</f>
        <v>3.78</v>
      </c>
      <c r="Z239" s="62" t="inlineStr">
        <is>
          <t xml:space="preserve">S₃</t>
        </is>
      </c>
      <c r="AA239" s="145" t="str">
        <f>"S₃  ·  d "&amp;TEXT('ERDR Characteristics'!$J$7,"0.000")</f>
        <v>S₃  ·  d 0.000</v>
      </c>
      <c r="AB239" s="144">
        <v>-0.25</v>
      </c>
      <c r="AC239" s="144">
        <f>$D$253</f>
        <v>6</v>
      </c>
    </row>
    <row r="240">
      <c r="A240" s="62" t="inlineStr">
        <is>
          <t xml:space="preserve">S₁</t>
        </is>
      </c>
      <c r="B240" s="62" t="inlineStr">
        <is>
          <t xml:space="preserve">S₄</t>
        </is>
      </c>
      <c r="C240" s="144">
        <f>'Zhuravlev Distances'!E$5</f>
        <v>6.6272117335</v>
      </c>
      <c r="D240" s="144">
        <f>'Parameters'!$B$5+1-'ERDR Characteristics'!$K$5</f>
        <v>7</v>
      </c>
      <c r="E240" s="68">
        <f>'Dataset'!$P$8</f>
        <v>2</v>
      </c>
      <c r="F240" s="146">
        <f>IF(AND(E240='Dataset'!$P$5,C240&lt;'ERDR Characteristics'!$D$5),1,0)</f>
        <v>0</v>
      </c>
      <c r="G240" s="144" t="e">
        <f>IF(AND(E240=1,F240=1),C240,NA())</f>
        <v>#N/A</v>
      </c>
      <c r="H240" s="144" t="e">
        <f>IF(AND(E240=1,F240=1),D240,NA())</f>
        <v>#N/A</v>
      </c>
      <c r="I240" s="144" t="e">
        <f>IF(AND(E240=1,F240=0),C240,NA())</f>
        <v>#N/A</v>
      </c>
      <c r="J240" s="144" t="e">
        <f>IF(AND(E240=1,F240=0),D240,NA())</f>
        <v>#N/A</v>
      </c>
      <c r="K240" s="144" t="e">
        <f>IF(AND(E240=2,F240=1),C240,NA())</f>
        <v>#N/A</v>
      </c>
      <c r="L240" s="144" t="e">
        <f>IF(AND(E240=2,F240=1),D240,NA())</f>
        <v>#N/A</v>
      </c>
      <c r="M240" s="144">
        <f>IF(AND(E240=2,F240=0),C240,NA())</f>
        <v>6.6272117335</v>
      </c>
      <c r="N240" s="144">
        <f>IF(AND(E240=2,F240=0),D240,NA())</f>
        <v>7</v>
      </c>
      <c r="O240" s="144" t="e">
        <f>NA()</f>
        <v>#N/A</v>
      </c>
      <c r="P240" s="144" t="e">
        <f>NA()</f>
        <v>#N/A</v>
      </c>
      <c r="Q240" s="144" t="e">
        <f>NA()</f>
        <v>#N/A</v>
      </c>
      <c r="R240" s="144" t="e">
        <f>NA()</f>
        <v>#N/A</v>
      </c>
      <c r="T240" s="62" t="inlineStr">
        <is>
          <t xml:space="preserve">S₂</t>
        </is>
      </c>
      <c r="U240" s="144">
        <f>'ERDR Characteristics'!$D$6</f>
        <v>7.4699698919</v>
      </c>
      <c r="V240" s="144">
        <f>$D$245+$B$10</f>
        <v>4.22</v>
      </c>
      <c r="W240" s="144">
        <f>'ERDR Characteristics'!$H$6</f>
        <v>6.3691657565</v>
      </c>
      <c r="X240" s="144">
        <f>$D$245-$B$10</f>
        <v>3.78</v>
      </c>
      <c r="Z240" s="62" t="inlineStr">
        <is>
          <t xml:space="preserve">S₄</t>
        </is>
      </c>
      <c r="AA240" s="145" t="str">
        <f>"S₄  ·  d "&amp;TEXT('ERDR Characteristics'!$J$8,"0.000")</f>
        <v>S₄  ·  d 0.253</v>
      </c>
      <c r="AB240" s="144">
        <v>-0.25</v>
      </c>
      <c r="AC240" s="144">
        <f>$D$261</f>
        <v>1</v>
      </c>
    </row>
    <row r="241">
      <c r="A241" s="62" t="inlineStr">
        <is>
          <t xml:space="preserve">S₁</t>
        </is>
      </c>
      <c r="B241" s="62" t="inlineStr">
        <is>
          <t xml:space="preserve">S₅</t>
        </is>
      </c>
      <c r="C241" s="144">
        <f>'Zhuravlev Distances'!F$5</f>
        <v>4.8565209225</v>
      </c>
      <c r="D241" s="144">
        <f>'Parameters'!$B$5+1-'ERDR Characteristics'!$K$5</f>
        <v>7</v>
      </c>
      <c r="E241" s="68">
        <f>'Dataset'!$P$9</f>
        <v>2</v>
      </c>
      <c r="F241" s="146">
        <f>IF(AND(E241='Dataset'!$P$5,C241&lt;'ERDR Characteristics'!$D$5),1,0)</f>
        <v>1</v>
      </c>
      <c r="G241" s="144" t="e">
        <f>IF(AND(E241=1,F241=1),C241,NA())</f>
        <v>#N/A</v>
      </c>
      <c r="H241" s="144" t="e">
        <f>IF(AND(E241=1,F241=1),D241,NA())</f>
        <v>#N/A</v>
      </c>
      <c r="I241" s="144" t="e">
        <f>IF(AND(E241=1,F241=0),C241,NA())</f>
        <v>#N/A</v>
      </c>
      <c r="J241" s="144" t="e">
        <f>IF(AND(E241=1,F241=0),D241,NA())</f>
        <v>#N/A</v>
      </c>
      <c r="K241" s="144">
        <f>IF(AND(E241=2,F241=1),C241,NA())</f>
        <v>4.8565209225</v>
      </c>
      <c r="L241" s="144">
        <f>IF(AND(E241=2,F241=1),D241,NA())</f>
        <v>7</v>
      </c>
      <c r="M241" s="144" t="e">
        <f>IF(AND(E241=2,F241=0),C241,NA())</f>
        <v>#N/A</v>
      </c>
      <c r="N241" s="144" t="e">
        <f>IF(AND(E241=2,F241=0),D241,NA())</f>
        <v>#N/A</v>
      </c>
      <c r="O241" s="144" t="e">
        <f>NA()</f>
        <v>#N/A</v>
      </c>
      <c r="P241" s="144" t="e">
        <f>NA()</f>
        <v>#N/A</v>
      </c>
      <c r="Q241" s="144" t="e">
        <f>NA()</f>
        <v>#N/A</v>
      </c>
      <c r="R241" s="144" t="e">
        <f>NA()</f>
        <v>#N/A</v>
      </c>
      <c r="T241" s="62" t="inlineStr">
        <is>
          <t xml:space="preserve">S₃</t>
        </is>
      </c>
      <c r="U241" s="144">
        <f>0</f>
        <v>0</v>
      </c>
      <c r="V241" s="144">
        <f>$D$253+$B$10</f>
        <v>6.22</v>
      </c>
      <c r="W241" s="144">
        <f>0</f>
        <v>0</v>
      </c>
      <c r="X241" s="144">
        <f>$D$253-$B$10</f>
        <v>5.78</v>
      </c>
      <c r="Z241" s="62" t="inlineStr">
        <is>
          <t xml:space="preserve">S₅</t>
        </is>
      </c>
      <c r="AA241" s="145" t="str">
        <f>"S₅  ·  d "&amp;TEXT('ERDR Characteristics'!$J$9,"0.000")</f>
        <v>S₅  ·  d 0.000</v>
      </c>
      <c r="AB241" s="144">
        <v>-0.25</v>
      </c>
      <c r="AC241" s="144">
        <f>$D$269</f>
        <v>5</v>
      </c>
    </row>
    <row r="242">
      <c r="A242" s="62" t="inlineStr">
        <is>
          <t xml:space="preserve">S₁</t>
        </is>
      </c>
      <c r="B242" s="62" t="inlineStr">
        <is>
          <t xml:space="preserve">S₆</t>
        </is>
      </c>
      <c r="C242" s="144">
        <f>'Zhuravlev Distances'!G$5</f>
        <v>6.8015669516</v>
      </c>
      <c r="D242" s="144">
        <f>'Parameters'!$B$5+1-'ERDR Characteristics'!$K$5</f>
        <v>7</v>
      </c>
      <c r="E242" s="68">
        <f>'Dataset'!$P$10</f>
        <v>1</v>
      </c>
      <c r="F242" s="146">
        <f>IF(AND(E242='Dataset'!$P$5,C242&lt;'ERDR Characteristics'!$D$5),1,0)</f>
        <v>0</v>
      </c>
      <c r="G242" s="144" t="e">
        <f>IF(AND(E242=1,F242=1),C242,NA())</f>
        <v>#N/A</v>
      </c>
      <c r="H242" s="144" t="e">
        <f>IF(AND(E242=1,F242=1),D242,NA())</f>
        <v>#N/A</v>
      </c>
      <c r="I242" s="144">
        <f>IF(AND(E242=1,F242=0),C242,NA())</f>
        <v>6.8015669516</v>
      </c>
      <c r="J242" s="144">
        <f>IF(AND(E242=1,F242=0),D242,NA())</f>
        <v>7</v>
      </c>
      <c r="K242" s="144" t="e">
        <f>IF(AND(E242=2,F242=1),C242,NA())</f>
        <v>#N/A</v>
      </c>
      <c r="L242" s="144" t="e">
        <f>IF(AND(E242=2,F242=1),D242,NA())</f>
        <v>#N/A</v>
      </c>
      <c r="M242" s="144" t="e">
        <f>IF(AND(E242=2,F242=0),C242,NA())</f>
        <v>#N/A</v>
      </c>
      <c r="N242" s="144" t="e">
        <f>IF(AND(E242=2,F242=0),D242,NA())</f>
        <v>#N/A</v>
      </c>
      <c r="O242" s="144" t="e">
        <f>NA()</f>
        <v>#N/A</v>
      </c>
      <c r="P242" s="144" t="e">
        <f>NA()</f>
        <v>#N/A</v>
      </c>
      <c r="Q242" s="144" t="e">
        <f>NA()</f>
        <v>#N/A</v>
      </c>
      <c r="R242" s="144" t="e">
        <f>NA()</f>
        <v>#N/A</v>
      </c>
      <c r="T242" s="62" t="inlineStr">
        <is>
          <t xml:space="preserve">S₃</t>
        </is>
      </c>
      <c r="U242" s="144">
        <f>'ERDR Characteristics'!$D$7</f>
        <v>5.60708061</v>
      </c>
      <c r="V242" s="144">
        <f>$D$253+$B$10</f>
        <v>6.22</v>
      </c>
      <c r="W242" s="144">
        <f>'ERDR Characteristics'!$H$7</f>
        <v>5.60708061</v>
      </c>
      <c r="X242" s="144">
        <f>$D$253-$B$10</f>
        <v>5.78</v>
      </c>
      <c r="Z242" s="62" t="inlineStr">
        <is>
          <t xml:space="preserve">S₆</t>
        </is>
      </c>
      <c r="AA242" s="145" t="str">
        <f>"S₆  ·  d "&amp;TEXT('ERDR Characteristics'!$J$10,"0.000")</f>
        <v>S₆  ·  d 0.169</v>
      </c>
      <c r="AB242" s="144">
        <v>-0.25</v>
      </c>
      <c r="AC242" s="144">
        <f>$D$277</f>
        <v>2</v>
      </c>
    </row>
    <row r="243">
      <c r="A243" s="62" t="inlineStr">
        <is>
          <t xml:space="preserve">S₁</t>
        </is>
      </c>
      <c r="B243" s="62" t="inlineStr">
        <is>
          <t xml:space="preserve">S₇</t>
        </is>
      </c>
      <c r="C243" s="144">
        <f>'Zhuravlev Distances'!H$5</f>
        <v>5.8897935773</v>
      </c>
      <c r="D243" s="144">
        <f>'Parameters'!$B$5+1-'ERDR Characteristics'!$K$5</f>
        <v>7</v>
      </c>
      <c r="E243" s="68">
        <f>'Dataset'!$P$11</f>
        <v>1</v>
      </c>
      <c r="F243" s="146">
        <f>IF(AND(E243='Dataset'!$P$5,C243&lt;'ERDR Characteristics'!$D$5),1,0)</f>
        <v>0</v>
      </c>
      <c r="G243" s="144" t="e">
        <f>IF(AND(E243=1,F243=1),C243,NA())</f>
        <v>#N/A</v>
      </c>
      <c r="H243" s="144" t="e">
        <f>IF(AND(E243=1,F243=1),D243,NA())</f>
        <v>#N/A</v>
      </c>
      <c r="I243" s="144">
        <f>IF(AND(E243=1,F243=0),C243,NA())</f>
        <v>5.8897935773</v>
      </c>
      <c r="J243" s="144">
        <f>IF(AND(E243=1,F243=0),D243,NA())</f>
        <v>7</v>
      </c>
      <c r="K243" s="144" t="e">
        <f>IF(AND(E243=2,F243=1),C243,NA())</f>
        <v>#N/A</v>
      </c>
      <c r="L243" s="144" t="e">
        <f>IF(AND(E243=2,F243=1),D243,NA())</f>
        <v>#N/A</v>
      </c>
      <c r="M243" s="144" t="e">
        <f>IF(AND(E243=2,F243=0),C243,NA())</f>
        <v>#N/A</v>
      </c>
      <c r="N243" s="144" t="e">
        <f>IF(AND(E243=2,F243=0),D243,NA())</f>
        <v>#N/A</v>
      </c>
      <c r="O243" s="144" t="e">
        <f>NA()</f>
        <v>#N/A</v>
      </c>
      <c r="P243" s="144" t="e">
        <f>NA()</f>
        <v>#N/A</v>
      </c>
      <c r="Q243" s="144" t="e">
        <f>NA()</f>
        <v>#N/A</v>
      </c>
      <c r="R243" s="144" t="e">
        <f>NA()</f>
        <v>#N/A</v>
      </c>
      <c r="T243" s="62" t="inlineStr">
        <is>
          <t xml:space="preserve">S₄</t>
        </is>
      </c>
      <c r="U243" s="144">
        <f>0</f>
        <v>0</v>
      </c>
      <c r="V243" s="144">
        <f>$D$261+$B$10</f>
        <v>1.22</v>
      </c>
      <c r="W243" s="144">
        <f>0</f>
        <v>0</v>
      </c>
      <c r="X243" s="144">
        <f>$D$261-$B$10</f>
        <v>0.78</v>
      </c>
      <c r="Z243" s="62" t="inlineStr">
        <is>
          <t xml:space="preserve">S₇</t>
        </is>
      </c>
      <c r="AA243" s="145" t="str">
        <f>"S₇  ·  d "&amp;TEXT('ERDR Characteristics'!$J$11,"0.000")</f>
        <v>S₇  ·  d 0.125</v>
      </c>
      <c r="AB243" s="144">
        <v>-0.25</v>
      </c>
      <c r="AC243" s="144">
        <f>$D$285</f>
        <v>3</v>
      </c>
    </row>
    <row r="244">
      <c r="A244" s="62" t="inlineStr">
        <is>
          <t xml:space="preserve">S₂</t>
        </is>
      </c>
      <c r="B244" s="62" t="inlineStr">
        <is>
          <t xml:space="preserve">S₁</t>
        </is>
      </c>
      <c r="C244" s="144">
        <f>'Zhuravlev Distances'!B$6</f>
        <v>4.6606100796</v>
      </c>
      <c r="D244" s="144">
        <f>'Parameters'!$B$5+1-'ERDR Characteristics'!$K$6</f>
        <v>4</v>
      </c>
      <c r="E244" s="68">
        <f>'Dataset'!$P$5</f>
        <v>2</v>
      </c>
      <c r="F244" s="146">
        <f>IF(AND(E244='Dataset'!$P$6,C244&lt;'ERDR Characteristics'!$D$6),1,0)</f>
        <v>1</v>
      </c>
      <c r="G244" s="144" t="e">
        <f>IF(AND(E244=1,F244=1),C244,NA())</f>
        <v>#N/A</v>
      </c>
      <c r="H244" s="144" t="e">
        <f>IF(AND(E244=1,F244=1),D244,NA())</f>
        <v>#N/A</v>
      </c>
      <c r="I244" s="144" t="e">
        <f>IF(AND(E244=1,F244=0),C244,NA())</f>
        <v>#N/A</v>
      </c>
      <c r="J244" s="144" t="e">
        <f>IF(AND(E244=1,F244=0),D244,NA())</f>
        <v>#N/A</v>
      </c>
      <c r="K244" s="144">
        <f>IF(AND(E244=2,F244=1),C244,NA())</f>
        <v>4.6606100796</v>
      </c>
      <c r="L244" s="144">
        <f>IF(AND(E244=2,F244=1),D244,NA())</f>
        <v>4</v>
      </c>
      <c r="M244" s="144" t="e">
        <f>IF(AND(E244=2,F244=0),C244,NA())</f>
        <v>#N/A</v>
      </c>
      <c r="N244" s="144" t="e">
        <f>IF(AND(E244=2,F244=0),D244,NA())</f>
        <v>#N/A</v>
      </c>
      <c r="O244" s="144" t="e">
        <f>NA()</f>
        <v>#N/A</v>
      </c>
      <c r="P244" s="144" t="e">
        <f>NA()</f>
        <v>#N/A</v>
      </c>
      <c r="Q244" s="144" t="e">
        <f>NA()</f>
        <v>#N/A</v>
      </c>
      <c r="R244" s="144" t="e">
        <f>NA()</f>
        <v>#N/A</v>
      </c>
      <c r="T244" s="62" t="inlineStr">
        <is>
          <t xml:space="preserve">S₄</t>
        </is>
      </c>
      <c r="U244" s="144">
        <f>'ERDR Characteristics'!$D$8</f>
        <v>3.7071187508</v>
      </c>
      <c r="V244" s="144">
        <f>$D$261+$B$10</f>
        <v>1.22</v>
      </c>
      <c r="W244" s="144">
        <f>'ERDR Characteristics'!$H$8</f>
        <v>6.2175670209</v>
      </c>
      <c r="X244" s="144">
        <f>$D$261-$B$10</f>
        <v>0.78</v>
      </c>
    </row>
    <row r="245">
      <c r="A245" s="62" t="inlineStr">
        <is>
          <t xml:space="preserve">S₂</t>
        </is>
      </c>
      <c r="B245" s="62" t="inlineStr">
        <is>
          <t xml:space="preserve">S₂</t>
        </is>
      </c>
      <c r="C245" s="144">
        <v>0</v>
      </c>
      <c r="D245" s="144">
        <f>'Parameters'!$B$5+1-'ERDR Characteristics'!$K$6</f>
        <v>4</v>
      </c>
      <c r="E245" s="68">
        <f>'Dataset'!$P$6</f>
        <v>2</v>
      </c>
      <c r="F245" s="146">
        <v>0</v>
      </c>
      <c r="G245" s="144" t="e">
        <f>NA()</f>
        <v>#N/A</v>
      </c>
      <c r="H245" s="144" t="e">
        <f>NA()</f>
        <v>#N/A</v>
      </c>
      <c r="I245" s="144" t="e">
        <f>NA()</f>
        <v>#N/A</v>
      </c>
      <c r="J245" s="144" t="e">
        <f>NA()</f>
        <v>#N/A</v>
      </c>
      <c r="K245" s="144" t="e">
        <f>NA()</f>
        <v>#N/A</v>
      </c>
      <c r="L245" s="144" t="e">
        <f>NA()</f>
        <v>#N/A</v>
      </c>
      <c r="M245" s="144" t="e">
        <f>NA()</f>
        <v>#N/A</v>
      </c>
      <c r="N245" s="144" t="e">
        <f>NA()</f>
        <v>#N/A</v>
      </c>
      <c r="O245" s="144" t="e">
        <f>IF(E245=1,0,NA())</f>
        <v>#N/A</v>
      </c>
      <c r="P245" s="144" t="e">
        <f>IF(E245=1,D245,NA())</f>
        <v>#N/A</v>
      </c>
      <c r="Q245" s="144">
        <f>IF(E245=2,0,NA())</f>
        <v>0</v>
      </c>
      <c r="R245" s="144">
        <f>IF(E245=2,D245,NA())</f>
        <v>4</v>
      </c>
      <c r="T245" s="62" t="inlineStr">
        <is>
          <t xml:space="preserve">S₅</t>
        </is>
      </c>
      <c r="U245" s="144">
        <f>0</f>
        <v>0</v>
      </c>
      <c r="V245" s="144">
        <f>$D$269+$B$10</f>
        <v>5.22</v>
      </c>
      <c r="W245" s="144">
        <f>0</f>
        <v>0</v>
      </c>
      <c r="X245" s="144">
        <f>$D$269-$B$10</f>
        <v>4.78</v>
      </c>
    </row>
    <row r="246">
      <c r="A246" s="62" t="inlineStr">
        <is>
          <t xml:space="preserve">S₂</t>
        </is>
      </c>
      <c r="B246" s="62" t="inlineStr">
        <is>
          <t xml:space="preserve">S₃</t>
        </is>
      </c>
      <c r="C246" s="144">
        <f>'Zhuravlev Distances'!D$6</f>
        <v>7.4699698919</v>
      </c>
      <c r="D246" s="144">
        <f>'Parameters'!$B$5+1-'ERDR Characteristics'!$K$6</f>
        <v>4</v>
      </c>
      <c r="E246" s="68">
        <f>'Dataset'!$P$7</f>
        <v>1</v>
      </c>
      <c r="F246" s="146">
        <f>IF(AND(E246='Dataset'!$P$6,C246&lt;'ERDR Characteristics'!$D$6),1,0)</f>
        <v>0</v>
      </c>
      <c r="G246" s="144" t="e">
        <f>IF(AND(E246=1,F246=1),C246,NA())</f>
        <v>#N/A</v>
      </c>
      <c r="H246" s="144" t="e">
        <f>IF(AND(E246=1,F246=1),D246,NA())</f>
        <v>#N/A</v>
      </c>
      <c r="I246" s="144">
        <f>IF(AND(E246=1,F246=0),C246,NA())</f>
        <v>7.4699698919</v>
      </c>
      <c r="J246" s="144">
        <f>IF(AND(E246=1,F246=0),D246,NA())</f>
        <v>4</v>
      </c>
      <c r="K246" s="144" t="e">
        <f>IF(AND(E246=2,F246=1),C246,NA())</f>
        <v>#N/A</v>
      </c>
      <c r="L246" s="144" t="e">
        <f>IF(AND(E246=2,F246=1),D246,NA())</f>
        <v>#N/A</v>
      </c>
      <c r="M246" s="144" t="e">
        <f>IF(AND(E246=2,F246=0),C246,NA())</f>
        <v>#N/A</v>
      </c>
      <c r="N246" s="144" t="e">
        <f>IF(AND(E246=2,F246=0),D246,NA())</f>
        <v>#N/A</v>
      </c>
      <c r="O246" s="144" t="e">
        <f>NA()</f>
        <v>#N/A</v>
      </c>
      <c r="P246" s="144" t="e">
        <f>NA()</f>
        <v>#N/A</v>
      </c>
      <c r="Q246" s="144" t="e">
        <f>NA()</f>
        <v>#N/A</v>
      </c>
      <c r="R246" s="144" t="e">
        <f>NA()</f>
        <v>#N/A</v>
      </c>
      <c r="T246" s="62" t="inlineStr">
        <is>
          <t xml:space="preserve">S₅</t>
        </is>
      </c>
      <c r="U246" s="144">
        <f>'ERDR Characteristics'!$D$9</f>
        <v>7.1117040273</v>
      </c>
      <c r="V246" s="144">
        <f>$D$269+$B$10</f>
        <v>5.22</v>
      </c>
      <c r="W246" s="144">
        <f>'ERDR Characteristics'!$H$9</f>
        <v>7.1117040273</v>
      </c>
      <c r="X246" s="144">
        <f>$D$269-$B$10</f>
        <v>4.78</v>
      </c>
    </row>
    <row r="247">
      <c r="A247" s="62" t="inlineStr">
        <is>
          <t xml:space="preserve">S₂</t>
        </is>
      </c>
      <c r="B247" s="62" t="inlineStr">
        <is>
          <t xml:space="preserve">S₄</t>
        </is>
      </c>
      <c r="C247" s="144">
        <f>'Zhuravlev Distances'!E$6</f>
        <v>6.3691657565</v>
      </c>
      <c r="D247" s="144">
        <f>'Parameters'!$B$5+1-'ERDR Characteristics'!$K$6</f>
        <v>4</v>
      </c>
      <c r="E247" s="68">
        <f>'Dataset'!$P$8</f>
        <v>2</v>
      </c>
      <c r="F247" s="146">
        <f>IF(AND(E247='Dataset'!$P$6,C247&lt;'ERDR Characteristics'!$D$6),1,0)</f>
        <v>1</v>
      </c>
      <c r="G247" s="144" t="e">
        <f>IF(AND(E247=1,F247=1),C247,NA())</f>
        <v>#N/A</v>
      </c>
      <c r="H247" s="144" t="e">
        <f>IF(AND(E247=1,F247=1),D247,NA())</f>
        <v>#N/A</v>
      </c>
      <c r="I247" s="144" t="e">
        <f>IF(AND(E247=1,F247=0),C247,NA())</f>
        <v>#N/A</v>
      </c>
      <c r="J247" s="144" t="e">
        <f>IF(AND(E247=1,F247=0),D247,NA())</f>
        <v>#N/A</v>
      </c>
      <c r="K247" s="144">
        <f>IF(AND(E247=2,F247=1),C247,NA())</f>
        <v>6.3691657565</v>
      </c>
      <c r="L247" s="144">
        <f>IF(AND(E247=2,F247=1),D247,NA())</f>
        <v>4</v>
      </c>
      <c r="M247" s="144" t="e">
        <f>IF(AND(E247=2,F247=0),C247,NA())</f>
        <v>#N/A</v>
      </c>
      <c r="N247" s="144" t="e">
        <f>IF(AND(E247=2,F247=0),D247,NA())</f>
        <v>#N/A</v>
      </c>
      <c r="O247" s="144" t="e">
        <f>NA()</f>
        <v>#N/A</v>
      </c>
      <c r="P247" s="144" t="e">
        <f>NA()</f>
        <v>#N/A</v>
      </c>
      <c r="Q247" s="144" t="e">
        <f>NA()</f>
        <v>#N/A</v>
      </c>
      <c r="R247" s="144" t="e">
        <f>NA()</f>
        <v>#N/A</v>
      </c>
      <c r="T247" s="62" t="inlineStr">
        <is>
          <t xml:space="preserve">S₆</t>
        </is>
      </c>
      <c r="U247" s="144">
        <f>0</f>
        <v>0</v>
      </c>
      <c r="V247" s="144">
        <f>$D$277+$B$10</f>
        <v>2.22</v>
      </c>
      <c r="W247" s="144">
        <f>0</f>
        <v>0</v>
      </c>
      <c r="X247" s="144">
        <f>$D$277-$B$10</f>
        <v>1.78</v>
      </c>
    </row>
    <row r="248">
      <c r="A248" s="62" t="inlineStr">
        <is>
          <t xml:space="preserve">S₂</t>
        </is>
      </c>
      <c r="B248" s="62" t="inlineStr">
        <is>
          <t xml:space="preserve">S₅</t>
        </is>
      </c>
      <c r="C248" s="144">
        <f>'Zhuravlev Distances'!F$6</f>
        <v>6.104089157</v>
      </c>
      <c r="D248" s="144">
        <f>'Parameters'!$B$5+1-'ERDR Characteristics'!$K$6</f>
        <v>4</v>
      </c>
      <c r="E248" s="68">
        <f>'Dataset'!$P$9</f>
        <v>2</v>
      </c>
      <c r="F248" s="146">
        <f>IF(AND(E248='Dataset'!$P$6,C248&lt;'ERDR Characteristics'!$D$6),1,0)</f>
        <v>1</v>
      </c>
      <c r="G248" s="144" t="e">
        <f>IF(AND(E248=1,F248=1),C248,NA())</f>
        <v>#N/A</v>
      </c>
      <c r="H248" s="144" t="e">
        <f>IF(AND(E248=1,F248=1),D248,NA())</f>
        <v>#N/A</v>
      </c>
      <c r="I248" s="144" t="e">
        <f>IF(AND(E248=1,F248=0),C248,NA())</f>
        <v>#N/A</v>
      </c>
      <c r="J248" s="144" t="e">
        <f>IF(AND(E248=1,F248=0),D248,NA())</f>
        <v>#N/A</v>
      </c>
      <c r="K248" s="144">
        <f>IF(AND(E248=2,F248=1),C248,NA())</f>
        <v>6.104089157</v>
      </c>
      <c r="L248" s="144">
        <f>IF(AND(E248=2,F248=1),D248,NA())</f>
        <v>4</v>
      </c>
      <c r="M248" s="144" t="e">
        <f>IF(AND(E248=2,F248=0),C248,NA())</f>
        <v>#N/A</v>
      </c>
      <c r="N248" s="144" t="e">
        <f>IF(AND(E248=2,F248=0),D248,NA())</f>
        <v>#N/A</v>
      </c>
      <c r="O248" s="144" t="e">
        <f>NA()</f>
        <v>#N/A</v>
      </c>
      <c r="P248" s="144" t="e">
        <f>NA()</f>
        <v>#N/A</v>
      </c>
      <c r="Q248" s="144" t="e">
        <f>NA()</f>
        <v>#N/A</v>
      </c>
      <c r="R248" s="144" t="e">
        <f>NA()</f>
        <v>#N/A</v>
      </c>
      <c r="T248" s="62" t="inlineStr">
        <is>
          <t xml:space="preserve">S₆</t>
        </is>
      </c>
      <c r="U248" s="144">
        <f>'ERDR Characteristics'!$D$10</f>
        <v>3.7071187508</v>
      </c>
      <c r="V248" s="144">
        <f>$D$277+$B$10</f>
        <v>2.22</v>
      </c>
      <c r="W248" s="144">
        <f>'ERDR Characteristics'!$H$10</f>
        <v>5.2172783643</v>
      </c>
      <c r="X248" s="144">
        <f>$D$277-$B$10</f>
        <v>1.78</v>
      </c>
    </row>
    <row r="249">
      <c r="A249" s="62" t="inlineStr">
        <is>
          <t xml:space="preserve">S₂</t>
        </is>
      </c>
      <c r="B249" s="62" t="inlineStr">
        <is>
          <t xml:space="preserve">S₆</t>
        </is>
      </c>
      <c r="C249" s="144">
        <f>'Zhuravlev Distances'!G$6</f>
        <v>8.742951174</v>
      </c>
      <c r="D249" s="144">
        <f>'Parameters'!$B$5+1-'ERDR Characteristics'!$K$6</f>
        <v>4</v>
      </c>
      <c r="E249" s="68">
        <f>'Dataset'!$P$10</f>
        <v>1</v>
      </c>
      <c r="F249" s="146">
        <f>IF(AND(E249='Dataset'!$P$6,C249&lt;'ERDR Characteristics'!$D$6),1,0)</f>
        <v>0</v>
      </c>
      <c r="G249" s="144" t="e">
        <f>IF(AND(E249=1,F249=1),C249,NA())</f>
        <v>#N/A</v>
      </c>
      <c r="H249" s="144" t="e">
        <f>IF(AND(E249=1,F249=1),D249,NA())</f>
        <v>#N/A</v>
      </c>
      <c r="I249" s="144">
        <f>IF(AND(E249=1,F249=0),C249,NA())</f>
        <v>8.742951174</v>
      </c>
      <c r="J249" s="144">
        <f>IF(AND(E249=1,F249=0),D249,NA())</f>
        <v>4</v>
      </c>
      <c r="K249" s="144" t="e">
        <f>IF(AND(E249=2,F249=1),C249,NA())</f>
        <v>#N/A</v>
      </c>
      <c r="L249" s="144" t="e">
        <f>IF(AND(E249=2,F249=1),D249,NA())</f>
        <v>#N/A</v>
      </c>
      <c r="M249" s="144" t="e">
        <f>IF(AND(E249=2,F249=0),C249,NA())</f>
        <v>#N/A</v>
      </c>
      <c r="N249" s="144" t="e">
        <f>IF(AND(E249=2,F249=0),D249,NA())</f>
        <v>#N/A</v>
      </c>
      <c r="O249" s="144" t="e">
        <f>NA()</f>
        <v>#N/A</v>
      </c>
      <c r="P249" s="144" t="e">
        <f>NA()</f>
        <v>#N/A</v>
      </c>
      <c r="Q249" s="144" t="e">
        <f>NA()</f>
        <v>#N/A</v>
      </c>
      <c r="R249" s="144" t="e">
        <f>NA()</f>
        <v>#N/A</v>
      </c>
      <c r="T249" s="62" t="inlineStr">
        <is>
          <t xml:space="preserve">S₇</t>
        </is>
      </c>
      <c r="U249" s="144">
        <f>0</f>
        <v>0</v>
      </c>
      <c r="V249" s="144">
        <f>$D$285+$B$10</f>
        <v>3.22</v>
      </c>
      <c r="W249" s="144">
        <f>0</f>
        <v>0</v>
      </c>
      <c r="X249" s="144">
        <f>$D$285-$B$10</f>
        <v>2.78</v>
      </c>
    </row>
    <row r="250">
      <c r="A250" s="62" t="inlineStr">
        <is>
          <t xml:space="preserve">S₂</t>
        </is>
      </c>
      <c r="B250" s="62" t="inlineStr">
        <is>
          <t xml:space="preserve">S₇</t>
        </is>
      </c>
      <c r="C250" s="144">
        <f>'Zhuravlev Distances'!H$6</f>
        <v>7.7855937542</v>
      </c>
      <c r="D250" s="144">
        <f>'Parameters'!$B$5+1-'ERDR Characteristics'!$K$6</f>
        <v>4</v>
      </c>
      <c r="E250" s="68">
        <f>'Dataset'!$P$11</f>
        <v>1</v>
      </c>
      <c r="F250" s="146">
        <f>IF(AND(E250='Dataset'!$P$6,C250&lt;'ERDR Characteristics'!$D$6),1,0)</f>
        <v>0</v>
      </c>
      <c r="G250" s="144" t="e">
        <f>IF(AND(E250=1,F250=1),C250,NA())</f>
        <v>#N/A</v>
      </c>
      <c r="H250" s="144" t="e">
        <f>IF(AND(E250=1,F250=1),D250,NA())</f>
        <v>#N/A</v>
      </c>
      <c r="I250" s="144">
        <f>IF(AND(E250=1,F250=0),C250,NA())</f>
        <v>7.7855937542</v>
      </c>
      <c r="J250" s="144">
        <f>IF(AND(E250=1,F250=0),D250,NA())</f>
        <v>4</v>
      </c>
      <c r="K250" s="144" t="e">
        <f>IF(AND(E250=2,F250=1),C250,NA())</f>
        <v>#N/A</v>
      </c>
      <c r="L250" s="144" t="e">
        <f>IF(AND(E250=2,F250=1),D250,NA())</f>
        <v>#N/A</v>
      </c>
      <c r="M250" s="144" t="e">
        <f>IF(AND(E250=2,F250=0),C250,NA())</f>
        <v>#N/A</v>
      </c>
      <c r="N250" s="144" t="e">
        <f>IF(AND(E250=2,F250=0),D250,NA())</f>
        <v>#N/A</v>
      </c>
      <c r="O250" s="144" t="e">
        <f>NA()</f>
        <v>#N/A</v>
      </c>
      <c r="P250" s="144" t="e">
        <f>NA()</f>
        <v>#N/A</v>
      </c>
      <c r="Q250" s="144" t="e">
        <f>NA()</f>
        <v>#N/A</v>
      </c>
      <c r="R250" s="144" t="e">
        <f>NA()</f>
        <v>#N/A</v>
      </c>
      <c r="T250" s="62" t="inlineStr">
        <is>
          <t xml:space="preserve">S₇</t>
        </is>
      </c>
      <c r="U250" s="144">
        <f>'ERDR Characteristics'!$D$11</f>
        <v>3.9109813746</v>
      </c>
      <c r="V250" s="144">
        <f>$D$285+$B$10</f>
        <v>3.22</v>
      </c>
      <c r="W250" s="144">
        <f>'ERDR Characteristics'!$H$11</f>
        <v>5.0314314939</v>
      </c>
      <c r="X250" s="144">
        <f>$D$285-$B$10</f>
        <v>2.78</v>
      </c>
    </row>
    <row r="251">
      <c r="A251" s="62" t="inlineStr">
        <is>
          <t xml:space="preserve">S₃</t>
        </is>
      </c>
      <c r="B251" s="62" t="inlineStr">
        <is>
          <t xml:space="preserve">S₁</t>
        </is>
      </c>
      <c r="C251" s="144">
        <f>'Zhuravlev Distances'!B$7</f>
        <v>5.60708061</v>
      </c>
      <c r="D251" s="144">
        <f>'Parameters'!$B$5+1-'ERDR Characteristics'!$K$7</f>
        <v>6</v>
      </c>
      <c r="E251" s="68">
        <f>'Dataset'!$P$5</f>
        <v>2</v>
      </c>
      <c r="F251" s="146">
        <f>IF(AND(E251='Dataset'!$P$7,C251&lt;'ERDR Characteristics'!$D$7),1,0)</f>
        <v>0</v>
      </c>
      <c r="G251" s="144" t="e">
        <f>IF(AND(E251=1,F251=1),C251,NA())</f>
        <v>#N/A</v>
      </c>
      <c r="H251" s="144" t="e">
        <f>IF(AND(E251=1,F251=1),D251,NA())</f>
        <v>#N/A</v>
      </c>
      <c r="I251" s="144" t="e">
        <f>IF(AND(E251=1,F251=0),C251,NA())</f>
        <v>#N/A</v>
      </c>
      <c r="J251" s="144" t="e">
        <f>IF(AND(E251=1,F251=0),D251,NA())</f>
        <v>#N/A</v>
      </c>
      <c r="K251" s="144" t="e">
        <f>IF(AND(E251=2,F251=1),C251,NA())</f>
        <v>#N/A</v>
      </c>
      <c r="L251" s="144" t="e">
        <f>IF(AND(E251=2,F251=1),D251,NA())</f>
        <v>#N/A</v>
      </c>
      <c r="M251" s="144">
        <f>IF(AND(E251=2,F251=0),C251,NA())</f>
        <v>5.60708061</v>
      </c>
      <c r="N251" s="144">
        <f>IF(AND(E251=2,F251=0),D251,NA())</f>
        <v>6</v>
      </c>
      <c r="O251" s="144" t="e">
        <f>NA()</f>
        <v>#N/A</v>
      </c>
      <c r="P251" s="144" t="e">
        <f>NA()</f>
        <v>#N/A</v>
      </c>
      <c r="Q251" s="144" t="e">
        <f>NA()</f>
        <v>#N/A</v>
      </c>
      <c r="R251" s="144" t="e">
        <f>NA()</f>
        <v>#N/A</v>
      </c>
    </row>
    <row r="252">
      <c r="A252" s="62" t="inlineStr">
        <is>
          <t xml:space="preserve">S₃</t>
        </is>
      </c>
      <c r="B252" s="62" t="inlineStr">
        <is>
          <t xml:space="preserve">S₂</t>
        </is>
      </c>
      <c r="C252" s="144">
        <f>'Zhuravlev Distances'!C$7</f>
        <v>7.4699698919</v>
      </c>
      <c r="D252" s="144">
        <f>'Parameters'!$B$5+1-'ERDR Characteristics'!$K$7</f>
        <v>6</v>
      </c>
      <c r="E252" s="68">
        <f>'Dataset'!$P$6</f>
        <v>2</v>
      </c>
      <c r="F252" s="146">
        <f>IF(AND(E252='Dataset'!$P$7,C252&lt;'ERDR Characteristics'!$D$7),1,0)</f>
        <v>0</v>
      </c>
      <c r="G252" s="144" t="e">
        <f>IF(AND(E252=1,F252=1),C252,NA())</f>
        <v>#N/A</v>
      </c>
      <c r="H252" s="144" t="e">
        <f>IF(AND(E252=1,F252=1),D252,NA())</f>
        <v>#N/A</v>
      </c>
      <c r="I252" s="144" t="e">
        <f>IF(AND(E252=1,F252=0),C252,NA())</f>
        <v>#N/A</v>
      </c>
      <c r="J252" s="144" t="e">
        <f>IF(AND(E252=1,F252=0),D252,NA())</f>
        <v>#N/A</v>
      </c>
      <c r="K252" s="144" t="e">
        <f>IF(AND(E252=2,F252=1),C252,NA())</f>
        <v>#N/A</v>
      </c>
      <c r="L252" s="144" t="e">
        <f>IF(AND(E252=2,F252=1),D252,NA())</f>
        <v>#N/A</v>
      </c>
      <c r="M252" s="144">
        <f>IF(AND(E252=2,F252=0),C252,NA())</f>
        <v>7.4699698919</v>
      </c>
      <c r="N252" s="144">
        <f>IF(AND(E252=2,F252=0),D252,NA())</f>
        <v>6</v>
      </c>
      <c r="O252" s="144" t="e">
        <f>NA()</f>
        <v>#N/A</v>
      </c>
      <c r="P252" s="144" t="e">
        <f>NA()</f>
        <v>#N/A</v>
      </c>
      <c r="Q252" s="144" t="e">
        <f>NA()</f>
        <v>#N/A</v>
      </c>
      <c r="R252" s="144" t="e">
        <f>NA()</f>
        <v>#N/A</v>
      </c>
    </row>
    <row r="253">
      <c r="A253" s="62" t="inlineStr">
        <is>
          <t xml:space="preserve">S₃</t>
        </is>
      </c>
      <c r="B253" s="62" t="inlineStr">
        <is>
          <t xml:space="preserve">S₃</t>
        </is>
      </c>
      <c r="C253" s="144">
        <v>0</v>
      </c>
      <c r="D253" s="144">
        <f>'Parameters'!$B$5+1-'ERDR Characteristics'!$K$7</f>
        <v>6</v>
      </c>
      <c r="E253" s="68">
        <f>'Dataset'!$P$7</f>
        <v>1</v>
      </c>
      <c r="F253" s="146">
        <v>0</v>
      </c>
      <c r="G253" s="144" t="e">
        <f>NA()</f>
        <v>#N/A</v>
      </c>
      <c r="H253" s="144" t="e">
        <f>NA()</f>
        <v>#N/A</v>
      </c>
      <c r="I253" s="144" t="e">
        <f>NA()</f>
        <v>#N/A</v>
      </c>
      <c r="J253" s="144" t="e">
        <f>NA()</f>
        <v>#N/A</v>
      </c>
      <c r="K253" s="144" t="e">
        <f>NA()</f>
        <v>#N/A</v>
      </c>
      <c r="L253" s="144" t="e">
        <f>NA()</f>
        <v>#N/A</v>
      </c>
      <c r="M253" s="144" t="e">
        <f>NA()</f>
        <v>#N/A</v>
      </c>
      <c r="N253" s="144" t="e">
        <f>NA()</f>
        <v>#N/A</v>
      </c>
      <c r="O253" s="144">
        <f>IF(E253=1,0,NA())</f>
        <v>0</v>
      </c>
      <c r="P253" s="144">
        <f>IF(E253=1,D253,NA())</f>
        <v>6</v>
      </c>
      <c r="Q253" s="144" t="e">
        <f>IF(E253=2,0,NA())</f>
        <v>#N/A</v>
      </c>
      <c r="R253" s="144" t="e">
        <f>IF(E253=2,D253,NA())</f>
        <v>#N/A</v>
      </c>
    </row>
    <row r="254">
      <c r="A254" s="62" t="inlineStr">
        <is>
          <t xml:space="preserve">S₃</t>
        </is>
      </c>
      <c r="B254" s="62" t="inlineStr">
        <is>
          <t xml:space="preserve">S₄</t>
        </is>
      </c>
      <c r="C254" s="144">
        <f>'Zhuravlev Distances'!E$7</f>
        <v>6.2175670209</v>
      </c>
      <c r="D254" s="144">
        <f>'Parameters'!$B$5+1-'ERDR Characteristics'!$K$7</f>
        <v>6</v>
      </c>
      <c r="E254" s="68">
        <f>'Dataset'!$P$8</f>
        <v>2</v>
      </c>
      <c r="F254" s="146">
        <f>IF(AND(E254='Dataset'!$P$7,C254&lt;'ERDR Characteristics'!$D$7),1,0)</f>
        <v>0</v>
      </c>
      <c r="G254" s="144" t="e">
        <f>IF(AND(E254=1,F254=1),C254,NA())</f>
        <v>#N/A</v>
      </c>
      <c r="H254" s="144" t="e">
        <f>IF(AND(E254=1,F254=1),D254,NA())</f>
        <v>#N/A</v>
      </c>
      <c r="I254" s="144" t="e">
        <f>IF(AND(E254=1,F254=0),C254,NA())</f>
        <v>#N/A</v>
      </c>
      <c r="J254" s="144" t="e">
        <f>IF(AND(E254=1,F254=0),D254,NA())</f>
        <v>#N/A</v>
      </c>
      <c r="K254" s="144" t="e">
        <f>IF(AND(E254=2,F254=1),C254,NA())</f>
        <v>#N/A</v>
      </c>
      <c r="L254" s="144" t="e">
        <f>IF(AND(E254=2,F254=1),D254,NA())</f>
        <v>#N/A</v>
      </c>
      <c r="M254" s="144">
        <f>IF(AND(E254=2,F254=0),C254,NA())</f>
        <v>6.2175670209</v>
      </c>
      <c r="N254" s="144">
        <f>IF(AND(E254=2,F254=0),D254,NA())</f>
        <v>6</v>
      </c>
      <c r="O254" s="144" t="e">
        <f>NA()</f>
        <v>#N/A</v>
      </c>
      <c r="P254" s="144" t="e">
        <f>NA()</f>
        <v>#N/A</v>
      </c>
      <c r="Q254" s="144" t="e">
        <f>NA()</f>
        <v>#N/A</v>
      </c>
      <c r="R254" s="144" t="e">
        <f>NA()</f>
        <v>#N/A</v>
      </c>
    </row>
    <row r="255">
      <c r="A255" s="62" t="inlineStr">
        <is>
          <t xml:space="preserve">S₃</t>
        </is>
      </c>
      <c r="B255" s="62" t="inlineStr">
        <is>
          <t xml:space="preserve">S₅</t>
        </is>
      </c>
      <c r="C255" s="144">
        <f>'Zhuravlev Distances'!F$7</f>
        <v>7.3117496807</v>
      </c>
      <c r="D255" s="144">
        <f>'Parameters'!$B$5+1-'ERDR Characteristics'!$K$7</f>
        <v>6</v>
      </c>
      <c r="E255" s="68">
        <f>'Dataset'!$P$9</f>
        <v>2</v>
      </c>
      <c r="F255" s="146">
        <f>IF(AND(E255='Dataset'!$P$7,C255&lt;'ERDR Characteristics'!$D$7),1,0)</f>
        <v>0</v>
      </c>
      <c r="G255" s="144" t="e">
        <f>IF(AND(E255=1,F255=1),C255,NA())</f>
        <v>#N/A</v>
      </c>
      <c r="H255" s="144" t="e">
        <f>IF(AND(E255=1,F255=1),D255,NA())</f>
        <v>#N/A</v>
      </c>
      <c r="I255" s="144" t="e">
        <f>IF(AND(E255=1,F255=0),C255,NA())</f>
        <v>#N/A</v>
      </c>
      <c r="J255" s="144" t="e">
        <f>IF(AND(E255=1,F255=0),D255,NA())</f>
        <v>#N/A</v>
      </c>
      <c r="K255" s="144" t="e">
        <f>IF(AND(E255=2,F255=1),C255,NA())</f>
        <v>#N/A</v>
      </c>
      <c r="L255" s="144" t="e">
        <f>IF(AND(E255=2,F255=1),D255,NA())</f>
        <v>#N/A</v>
      </c>
      <c r="M255" s="144">
        <f>IF(AND(E255=2,F255=0),C255,NA())</f>
        <v>7.3117496807</v>
      </c>
      <c r="N255" s="144">
        <f>IF(AND(E255=2,F255=0),D255,NA())</f>
        <v>6</v>
      </c>
      <c r="O255" s="144" t="e">
        <f>NA()</f>
        <v>#N/A</v>
      </c>
      <c r="P255" s="144" t="e">
        <f>NA()</f>
        <v>#N/A</v>
      </c>
      <c r="Q255" s="144" t="e">
        <f>NA()</f>
        <v>#N/A</v>
      </c>
      <c r="R255" s="144" t="e">
        <f>NA()</f>
        <v>#N/A</v>
      </c>
    </row>
    <row r="256">
      <c r="A256" s="62" t="inlineStr">
        <is>
          <t xml:space="preserve">S₃</t>
        </is>
      </c>
      <c r="B256" s="62" t="inlineStr">
        <is>
          <t xml:space="preserve">S₆</t>
        </is>
      </c>
      <c r="C256" s="144">
        <f>'Zhuravlev Distances'!G$7</f>
        <v>5.2172783643</v>
      </c>
      <c r="D256" s="144">
        <f>'Parameters'!$B$5+1-'ERDR Characteristics'!$K$7</f>
        <v>6</v>
      </c>
      <c r="E256" s="68">
        <f>'Dataset'!$P$10</f>
        <v>1</v>
      </c>
      <c r="F256" s="146">
        <f>IF(AND(E256='Dataset'!$P$7,C256&lt;'ERDR Characteristics'!$D$7),1,0)</f>
        <v>1</v>
      </c>
      <c r="G256" s="144">
        <f>IF(AND(E256=1,F256=1),C256,NA())</f>
        <v>5.2172783643</v>
      </c>
      <c r="H256" s="144">
        <f>IF(AND(E256=1,F256=1),D256,NA())</f>
        <v>6</v>
      </c>
      <c r="I256" s="144" t="e">
        <f>IF(AND(E256=1,F256=0),C256,NA())</f>
        <v>#N/A</v>
      </c>
      <c r="J256" s="144" t="e">
        <f>IF(AND(E256=1,F256=0),D256,NA())</f>
        <v>#N/A</v>
      </c>
      <c r="K256" s="144" t="e">
        <f>IF(AND(E256=2,F256=1),C256,NA())</f>
        <v>#N/A</v>
      </c>
      <c r="L256" s="144" t="e">
        <f>IF(AND(E256=2,F256=1),D256,NA())</f>
        <v>#N/A</v>
      </c>
      <c r="M256" s="144" t="e">
        <f>IF(AND(E256=2,F256=0),C256,NA())</f>
        <v>#N/A</v>
      </c>
      <c r="N256" s="144" t="e">
        <f>IF(AND(E256=2,F256=0),D256,NA())</f>
        <v>#N/A</v>
      </c>
      <c r="O256" s="144" t="e">
        <f>NA()</f>
        <v>#N/A</v>
      </c>
      <c r="P256" s="144" t="e">
        <f>NA()</f>
        <v>#N/A</v>
      </c>
      <c r="Q256" s="144" t="e">
        <f>NA()</f>
        <v>#N/A</v>
      </c>
      <c r="R256" s="144" t="e">
        <f>NA()</f>
        <v>#N/A</v>
      </c>
    </row>
    <row r="257">
      <c r="A257" s="62" t="inlineStr">
        <is>
          <t xml:space="preserve">S₃</t>
        </is>
      </c>
      <c r="B257" s="62" t="inlineStr">
        <is>
          <t xml:space="preserve">S₇</t>
        </is>
      </c>
      <c r="C257" s="144">
        <f>'Zhuravlev Distances'!H$7</f>
        <v>2.7849754107</v>
      </c>
      <c r="D257" s="144">
        <f>'Parameters'!$B$5+1-'ERDR Characteristics'!$K$7</f>
        <v>6</v>
      </c>
      <c r="E257" s="68">
        <f>'Dataset'!$P$11</f>
        <v>1</v>
      </c>
      <c r="F257" s="146">
        <f>IF(AND(E257='Dataset'!$P$7,C257&lt;'ERDR Characteristics'!$D$7),1,0)</f>
        <v>1</v>
      </c>
      <c r="G257" s="144">
        <f>IF(AND(E257=1,F257=1),C257,NA())</f>
        <v>2.7849754107</v>
      </c>
      <c r="H257" s="144">
        <f>IF(AND(E257=1,F257=1),D257,NA())</f>
        <v>6</v>
      </c>
      <c r="I257" s="144" t="e">
        <f>IF(AND(E257=1,F257=0),C257,NA())</f>
        <v>#N/A</v>
      </c>
      <c r="J257" s="144" t="e">
        <f>IF(AND(E257=1,F257=0),D257,NA())</f>
        <v>#N/A</v>
      </c>
      <c r="K257" s="144" t="e">
        <f>IF(AND(E257=2,F257=1),C257,NA())</f>
        <v>#N/A</v>
      </c>
      <c r="L257" s="144" t="e">
        <f>IF(AND(E257=2,F257=1),D257,NA())</f>
        <v>#N/A</v>
      </c>
      <c r="M257" s="144" t="e">
        <f>IF(AND(E257=2,F257=0),C257,NA())</f>
        <v>#N/A</v>
      </c>
      <c r="N257" s="144" t="e">
        <f>IF(AND(E257=2,F257=0),D257,NA())</f>
        <v>#N/A</v>
      </c>
      <c r="O257" s="144" t="e">
        <f>NA()</f>
        <v>#N/A</v>
      </c>
      <c r="P257" s="144" t="e">
        <f>NA()</f>
        <v>#N/A</v>
      </c>
      <c r="Q257" s="144" t="e">
        <f>NA()</f>
        <v>#N/A</v>
      </c>
      <c r="R257" s="144" t="e">
        <f>NA()</f>
        <v>#N/A</v>
      </c>
    </row>
    <row r="258">
      <c r="A258" s="62" t="inlineStr">
        <is>
          <t xml:space="preserve">S₄</t>
        </is>
      </c>
      <c r="B258" s="62" t="inlineStr">
        <is>
          <t xml:space="preserve">S₁</t>
        </is>
      </c>
      <c r="C258" s="144">
        <f>'Zhuravlev Distances'!B$8</f>
        <v>6.6272117335</v>
      </c>
      <c r="D258" s="144">
        <f>'Parameters'!$B$5+1-'ERDR Characteristics'!$K$8</f>
        <v>1</v>
      </c>
      <c r="E258" s="68">
        <f>'Dataset'!$P$5</f>
        <v>2</v>
      </c>
      <c r="F258" s="146">
        <f>IF(AND(E258='Dataset'!$P$8,C258&lt;'ERDR Characteristics'!$D$8),1,0)</f>
        <v>0</v>
      </c>
      <c r="G258" s="144" t="e">
        <f>IF(AND(E258=1,F258=1),C258,NA())</f>
        <v>#N/A</v>
      </c>
      <c r="H258" s="144" t="e">
        <f>IF(AND(E258=1,F258=1),D258,NA())</f>
        <v>#N/A</v>
      </c>
      <c r="I258" s="144" t="e">
        <f>IF(AND(E258=1,F258=0),C258,NA())</f>
        <v>#N/A</v>
      </c>
      <c r="J258" s="144" t="e">
        <f>IF(AND(E258=1,F258=0),D258,NA())</f>
        <v>#N/A</v>
      </c>
      <c r="K258" s="144" t="e">
        <f>IF(AND(E258=2,F258=1),C258,NA())</f>
        <v>#N/A</v>
      </c>
      <c r="L258" s="144" t="e">
        <f>IF(AND(E258=2,F258=1),D258,NA())</f>
        <v>#N/A</v>
      </c>
      <c r="M258" s="144">
        <f>IF(AND(E258=2,F258=0),C258,NA())</f>
        <v>6.6272117335</v>
      </c>
      <c r="N258" s="144">
        <f>IF(AND(E258=2,F258=0),D258,NA())</f>
        <v>1</v>
      </c>
      <c r="O258" s="144" t="e">
        <f>NA()</f>
        <v>#N/A</v>
      </c>
      <c r="P258" s="144" t="e">
        <f>NA()</f>
        <v>#N/A</v>
      </c>
      <c r="Q258" s="144" t="e">
        <f>NA()</f>
        <v>#N/A</v>
      </c>
      <c r="R258" s="144" t="e">
        <f>NA()</f>
        <v>#N/A</v>
      </c>
    </row>
    <row r="259">
      <c r="A259" s="62" t="inlineStr">
        <is>
          <t xml:space="preserve">S₄</t>
        </is>
      </c>
      <c r="B259" s="62" t="inlineStr">
        <is>
          <t xml:space="preserve">S₂</t>
        </is>
      </c>
      <c r="C259" s="144">
        <f>'Zhuravlev Distances'!C$8</f>
        <v>6.3691657565</v>
      </c>
      <c r="D259" s="144">
        <f>'Parameters'!$B$5+1-'ERDR Characteristics'!$K$8</f>
        <v>1</v>
      </c>
      <c r="E259" s="68">
        <f>'Dataset'!$P$6</f>
        <v>2</v>
      </c>
      <c r="F259" s="146">
        <f>IF(AND(E259='Dataset'!$P$8,C259&lt;'ERDR Characteristics'!$D$8),1,0)</f>
        <v>0</v>
      </c>
      <c r="G259" s="144" t="e">
        <f>IF(AND(E259=1,F259=1),C259,NA())</f>
        <v>#N/A</v>
      </c>
      <c r="H259" s="144" t="e">
        <f>IF(AND(E259=1,F259=1),D259,NA())</f>
        <v>#N/A</v>
      </c>
      <c r="I259" s="144" t="e">
        <f>IF(AND(E259=1,F259=0),C259,NA())</f>
        <v>#N/A</v>
      </c>
      <c r="J259" s="144" t="e">
        <f>IF(AND(E259=1,F259=0),D259,NA())</f>
        <v>#N/A</v>
      </c>
      <c r="K259" s="144" t="e">
        <f>IF(AND(E259=2,F259=1),C259,NA())</f>
        <v>#N/A</v>
      </c>
      <c r="L259" s="144" t="e">
        <f>IF(AND(E259=2,F259=1),D259,NA())</f>
        <v>#N/A</v>
      </c>
      <c r="M259" s="144">
        <f>IF(AND(E259=2,F259=0),C259,NA())</f>
        <v>6.3691657565</v>
      </c>
      <c r="N259" s="144">
        <f>IF(AND(E259=2,F259=0),D259,NA())</f>
        <v>1</v>
      </c>
      <c r="O259" s="144" t="e">
        <f>NA()</f>
        <v>#N/A</v>
      </c>
      <c r="P259" s="144" t="e">
        <f>NA()</f>
        <v>#N/A</v>
      </c>
      <c r="Q259" s="144" t="e">
        <f>NA()</f>
        <v>#N/A</v>
      </c>
      <c r="R259" s="144" t="e">
        <f>NA()</f>
        <v>#N/A</v>
      </c>
    </row>
    <row r="260">
      <c r="A260" s="62" t="inlineStr">
        <is>
          <t xml:space="preserve">S₄</t>
        </is>
      </c>
      <c r="B260" s="62" t="inlineStr">
        <is>
          <t xml:space="preserve">S₃</t>
        </is>
      </c>
      <c r="C260" s="144">
        <f>'Zhuravlev Distances'!D$8</f>
        <v>6.2175670209</v>
      </c>
      <c r="D260" s="144">
        <f>'Parameters'!$B$5+1-'ERDR Characteristics'!$K$8</f>
        <v>1</v>
      </c>
      <c r="E260" s="68">
        <f>'Dataset'!$P$7</f>
        <v>1</v>
      </c>
      <c r="F260" s="146">
        <f>IF(AND(E260='Dataset'!$P$8,C260&lt;'ERDR Characteristics'!$D$8),1,0)</f>
        <v>0</v>
      </c>
      <c r="G260" s="144" t="e">
        <f>IF(AND(E260=1,F260=1),C260,NA())</f>
        <v>#N/A</v>
      </c>
      <c r="H260" s="144" t="e">
        <f>IF(AND(E260=1,F260=1),D260,NA())</f>
        <v>#N/A</v>
      </c>
      <c r="I260" s="144">
        <f>IF(AND(E260=1,F260=0),C260,NA())</f>
        <v>6.2175670209</v>
      </c>
      <c r="J260" s="144">
        <f>IF(AND(E260=1,F260=0),D260,NA())</f>
        <v>1</v>
      </c>
      <c r="K260" s="144" t="e">
        <f>IF(AND(E260=2,F260=1),C260,NA())</f>
        <v>#N/A</v>
      </c>
      <c r="L260" s="144" t="e">
        <f>IF(AND(E260=2,F260=1),D260,NA())</f>
        <v>#N/A</v>
      </c>
      <c r="M260" s="144" t="e">
        <f>IF(AND(E260=2,F260=0),C260,NA())</f>
        <v>#N/A</v>
      </c>
      <c r="N260" s="144" t="e">
        <f>IF(AND(E260=2,F260=0),D260,NA())</f>
        <v>#N/A</v>
      </c>
      <c r="O260" s="144" t="e">
        <f>NA()</f>
        <v>#N/A</v>
      </c>
      <c r="P260" s="144" t="e">
        <f>NA()</f>
        <v>#N/A</v>
      </c>
      <c r="Q260" s="144" t="e">
        <f>NA()</f>
        <v>#N/A</v>
      </c>
      <c r="R260" s="144" t="e">
        <f>NA()</f>
        <v>#N/A</v>
      </c>
    </row>
    <row r="261">
      <c r="A261" s="62" t="inlineStr">
        <is>
          <t xml:space="preserve">S₄</t>
        </is>
      </c>
      <c r="B261" s="62" t="inlineStr">
        <is>
          <t xml:space="preserve">S₄</t>
        </is>
      </c>
      <c r="C261" s="144">
        <v>0</v>
      </c>
      <c r="D261" s="144">
        <f>'Parameters'!$B$5+1-'ERDR Characteristics'!$K$8</f>
        <v>1</v>
      </c>
      <c r="E261" s="68">
        <f>'Dataset'!$P$8</f>
        <v>2</v>
      </c>
      <c r="F261" s="146">
        <v>0</v>
      </c>
      <c r="G261" s="144" t="e">
        <f>NA()</f>
        <v>#N/A</v>
      </c>
      <c r="H261" s="144" t="e">
        <f>NA()</f>
        <v>#N/A</v>
      </c>
      <c r="I261" s="144" t="e">
        <f>NA()</f>
        <v>#N/A</v>
      </c>
      <c r="J261" s="144" t="e">
        <f>NA()</f>
        <v>#N/A</v>
      </c>
      <c r="K261" s="144" t="e">
        <f>NA()</f>
        <v>#N/A</v>
      </c>
      <c r="L261" s="144" t="e">
        <f>NA()</f>
        <v>#N/A</v>
      </c>
      <c r="M261" s="144" t="e">
        <f>NA()</f>
        <v>#N/A</v>
      </c>
      <c r="N261" s="144" t="e">
        <f>NA()</f>
        <v>#N/A</v>
      </c>
      <c r="O261" s="144" t="e">
        <f>IF(E261=1,0,NA())</f>
        <v>#N/A</v>
      </c>
      <c r="P261" s="144" t="e">
        <f>IF(E261=1,D261,NA())</f>
        <v>#N/A</v>
      </c>
      <c r="Q261" s="144">
        <f>IF(E261=2,0,NA())</f>
        <v>0</v>
      </c>
      <c r="R261" s="144">
        <f>IF(E261=2,D261,NA())</f>
        <v>1</v>
      </c>
    </row>
    <row r="262">
      <c r="A262" s="62" t="inlineStr">
        <is>
          <t xml:space="preserve">S₄</t>
        </is>
      </c>
      <c r="B262" s="62" t="inlineStr">
        <is>
          <t xml:space="preserve">S₅</t>
        </is>
      </c>
      <c r="C262" s="144">
        <f>'Zhuravlev Distances'!F$8</f>
        <v>7.8491221835</v>
      </c>
      <c r="D262" s="144">
        <f>'Parameters'!$B$5+1-'ERDR Characteristics'!$K$8</f>
        <v>1</v>
      </c>
      <c r="E262" s="68">
        <f>'Dataset'!$P$9</f>
        <v>2</v>
      </c>
      <c r="F262" s="146">
        <f>IF(AND(E262='Dataset'!$P$8,C262&lt;'ERDR Characteristics'!$D$8),1,0)</f>
        <v>0</v>
      </c>
      <c r="G262" s="144" t="e">
        <f>IF(AND(E262=1,F262=1),C262,NA())</f>
        <v>#N/A</v>
      </c>
      <c r="H262" s="144" t="e">
        <f>IF(AND(E262=1,F262=1),D262,NA())</f>
        <v>#N/A</v>
      </c>
      <c r="I262" s="144" t="e">
        <f>IF(AND(E262=1,F262=0),C262,NA())</f>
        <v>#N/A</v>
      </c>
      <c r="J262" s="144" t="e">
        <f>IF(AND(E262=1,F262=0),D262,NA())</f>
        <v>#N/A</v>
      </c>
      <c r="K262" s="144" t="e">
        <f>IF(AND(E262=2,F262=1),C262,NA())</f>
        <v>#N/A</v>
      </c>
      <c r="L262" s="144" t="e">
        <f>IF(AND(E262=2,F262=1),D262,NA())</f>
        <v>#N/A</v>
      </c>
      <c r="M262" s="144">
        <f>IF(AND(E262=2,F262=0),C262,NA())</f>
        <v>7.8491221835</v>
      </c>
      <c r="N262" s="144">
        <f>IF(AND(E262=2,F262=0),D262,NA())</f>
        <v>1</v>
      </c>
      <c r="O262" s="144" t="e">
        <f>NA()</f>
        <v>#N/A</v>
      </c>
      <c r="P262" s="144" t="e">
        <f>NA()</f>
        <v>#N/A</v>
      </c>
      <c r="Q262" s="144" t="e">
        <f>NA()</f>
        <v>#N/A</v>
      </c>
      <c r="R262" s="144" t="e">
        <f>NA()</f>
        <v>#N/A</v>
      </c>
    </row>
    <row r="263">
      <c r="A263" s="62" t="inlineStr">
        <is>
          <t xml:space="preserve">S₄</t>
        </is>
      </c>
      <c r="B263" s="62" t="inlineStr">
        <is>
          <t xml:space="preserve">S₆</t>
        </is>
      </c>
      <c r="C263" s="144">
        <f>'Zhuravlev Distances'!G$8</f>
        <v>3.7071187508</v>
      </c>
      <c r="D263" s="144">
        <f>'Parameters'!$B$5+1-'ERDR Characteristics'!$K$8</f>
        <v>1</v>
      </c>
      <c r="E263" s="68">
        <f>'Dataset'!$P$10</f>
        <v>1</v>
      </c>
      <c r="F263" s="146">
        <f>IF(AND(E263='Dataset'!$P$8,C263&lt;'ERDR Characteristics'!$D$8),1,0)</f>
        <v>0</v>
      </c>
      <c r="G263" s="144" t="e">
        <f>IF(AND(E263=1,F263=1),C263,NA())</f>
        <v>#N/A</v>
      </c>
      <c r="H263" s="144" t="e">
        <f>IF(AND(E263=1,F263=1),D263,NA())</f>
        <v>#N/A</v>
      </c>
      <c r="I263" s="144">
        <f>IF(AND(E263=1,F263=0),C263,NA())</f>
        <v>3.7071187508</v>
      </c>
      <c r="J263" s="144">
        <f>IF(AND(E263=1,F263=0),D263,NA())</f>
        <v>1</v>
      </c>
      <c r="K263" s="144" t="e">
        <f>IF(AND(E263=2,F263=1),C263,NA())</f>
        <v>#N/A</v>
      </c>
      <c r="L263" s="144" t="e">
        <f>IF(AND(E263=2,F263=1),D263,NA())</f>
        <v>#N/A</v>
      </c>
      <c r="M263" s="144" t="e">
        <f>IF(AND(E263=2,F263=0),C263,NA())</f>
        <v>#N/A</v>
      </c>
      <c r="N263" s="144" t="e">
        <f>IF(AND(E263=2,F263=0),D263,NA())</f>
        <v>#N/A</v>
      </c>
      <c r="O263" s="144" t="e">
        <f>NA()</f>
        <v>#N/A</v>
      </c>
      <c r="P263" s="144" t="e">
        <f>NA()</f>
        <v>#N/A</v>
      </c>
      <c r="Q263" s="144" t="e">
        <f>NA()</f>
        <v>#N/A</v>
      </c>
      <c r="R263" s="144" t="e">
        <f>NA()</f>
        <v>#N/A</v>
      </c>
    </row>
    <row r="264">
      <c r="A264" s="62" t="inlineStr">
        <is>
          <t xml:space="preserve">S₄</t>
        </is>
      </c>
      <c r="B264" s="62" t="inlineStr">
        <is>
          <t xml:space="preserve">S₇</t>
        </is>
      </c>
      <c r="C264" s="144">
        <f>'Zhuravlev Distances'!H$8</f>
        <v>3.9109813746</v>
      </c>
      <c r="D264" s="144">
        <f>'Parameters'!$B$5+1-'ERDR Characteristics'!$K$8</f>
        <v>1</v>
      </c>
      <c r="E264" s="68">
        <f>'Dataset'!$P$11</f>
        <v>1</v>
      </c>
      <c r="F264" s="146">
        <f>IF(AND(E264='Dataset'!$P$8,C264&lt;'ERDR Characteristics'!$D$8),1,0)</f>
        <v>0</v>
      </c>
      <c r="G264" s="144" t="e">
        <f>IF(AND(E264=1,F264=1),C264,NA())</f>
        <v>#N/A</v>
      </c>
      <c r="H264" s="144" t="e">
        <f>IF(AND(E264=1,F264=1),D264,NA())</f>
        <v>#N/A</v>
      </c>
      <c r="I264" s="144">
        <f>IF(AND(E264=1,F264=0),C264,NA())</f>
        <v>3.9109813746</v>
      </c>
      <c r="J264" s="144">
        <f>IF(AND(E264=1,F264=0),D264,NA())</f>
        <v>1</v>
      </c>
      <c r="K264" s="144" t="e">
        <f>IF(AND(E264=2,F264=1),C264,NA())</f>
        <v>#N/A</v>
      </c>
      <c r="L264" s="144" t="e">
        <f>IF(AND(E264=2,F264=1),D264,NA())</f>
        <v>#N/A</v>
      </c>
      <c r="M264" s="144" t="e">
        <f>IF(AND(E264=2,F264=0),C264,NA())</f>
        <v>#N/A</v>
      </c>
      <c r="N264" s="144" t="e">
        <f>IF(AND(E264=2,F264=0),D264,NA())</f>
        <v>#N/A</v>
      </c>
      <c r="O264" s="144" t="e">
        <f>NA()</f>
        <v>#N/A</v>
      </c>
      <c r="P264" s="144" t="e">
        <f>NA()</f>
        <v>#N/A</v>
      </c>
      <c r="Q264" s="144" t="e">
        <f>NA()</f>
        <v>#N/A</v>
      </c>
      <c r="R264" s="144" t="e">
        <f>NA()</f>
        <v>#N/A</v>
      </c>
    </row>
    <row r="265">
      <c r="A265" s="62" t="inlineStr">
        <is>
          <t xml:space="preserve">S₅</t>
        </is>
      </c>
      <c r="B265" s="62" t="inlineStr">
        <is>
          <t xml:space="preserve">S₁</t>
        </is>
      </c>
      <c r="C265" s="144">
        <f>'Zhuravlev Distances'!B$9</f>
        <v>4.8565209225</v>
      </c>
      <c r="D265" s="144">
        <f>'Parameters'!$B$5+1-'ERDR Characteristics'!$K$9</f>
        <v>5</v>
      </c>
      <c r="E265" s="68">
        <f>'Dataset'!$P$5</f>
        <v>2</v>
      </c>
      <c r="F265" s="146">
        <f>IF(AND(E265='Dataset'!$P$9,C265&lt;'ERDR Characteristics'!$D$9),1,0)</f>
        <v>1</v>
      </c>
      <c r="G265" s="144" t="e">
        <f>IF(AND(E265=1,F265=1),C265,NA())</f>
        <v>#N/A</v>
      </c>
      <c r="H265" s="144" t="e">
        <f>IF(AND(E265=1,F265=1),D265,NA())</f>
        <v>#N/A</v>
      </c>
      <c r="I265" s="144" t="e">
        <f>IF(AND(E265=1,F265=0),C265,NA())</f>
        <v>#N/A</v>
      </c>
      <c r="J265" s="144" t="e">
        <f>IF(AND(E265=1,F265=0),D265,NA())</f>
        <v>#N/A</v>
      </c>
      <c r="K265" s="144">
        <f>IF(AND(E265=2,F265=1),C265,NA())</f>
        <v>4.8565209225</v>
      </c>
      <c r="L265" s="144">
        <f>IF(AND(E265=2,F265=1),D265,NA())</f>
        <v>5</v>
      </c>
      <c r="M265" s="144" t="e">
        <f>IF(AND(E265=2,F265=0),C265,NA())</f>
        <v>#N/A</v>
      </c>
      <c r="N265" s="144" t="e">
        <f>IF(AND(E265=2,F265=0),D265,NA())</f>
        <v>#N/A</v>
      </c>
      <c r="O265" s="144" t="e">
        <f>NA()</f>
        <v>#N/A</v>
      </c>
      <c r="P265" s="144" t="e">
        <f>NA()</f>
        <v>#N/A</v>
      </c>
      <c r="Q265" s="144" t="e">
        <f>NA()</f>
        <v>#N/A</v>
      </c>
      <c r="R265" s="144" t="e">
        <f>NA()</f>
        <v>#N/A</v>
      </c>
    </row>
    <row r="266">
      <c r="A266" s="62" t="inlineStr">
        <is>
          <t xml:space="preserve">S₅</t>
        </is>
      </c>
      <c r="B266" s="62" t="inlineStr">
        <is>
          <t xml:space="preserve">S₂</t>
        </is>
      </c>
      <c r="C266" s="144">
        <f>'Zhuravlev Distances'!C$9</f>
        <v>6.104089157</v>
      </c>
      <c r="D266" s="144">
        <f>'Parameters'!$B$5+1-'ERDR Characteristics'!$K$9</f>
        <v>5</v>
      </c>
      <c r="E266" s="68">
        <f>'Dataset'!$P$6</f>
        <v>2</v>
      </c>
      <c r="F266" s="146">
        <f>IF(AND(E266='Dataset'!$P$9,C266&lt;'ERDR Characteristics'!$D$9),1,0)</f>
        <v>1</v>
      </c>
      <c r="G266" s="144" t="e">
        <f>IF(AND(E266=1,F266=1),C266,NA())</f>
        <v>#N/A</v>
      </c>
      <c r="H266" s="144" t="e">
        <f>IF(AND(E266=1,F266=1),D266,NA())</f>
        <v>#N/A</v>
      </c>
      <c r="I266" s="144" t="e">
        <f>IF(AND(E266=1,F266=0),C266,NA())</f>
        <v>#N/A</v>
      </c>
      <c r="J266" s="144" t="e">
        <f>IF(AND(E266=1,F266=0),D266,NA())</f>
        <v>#N/A</v>
      </c>
      <c r="K266" s="144">
        <f>IF(AND(E266=2,F266=1),C266,NA())</f>
        <v>6.104089157</v>
      </c>
      <c r="L266" s="144">
        <f>IF(AND(E266=2,F266=1),D266,NA())</f>
        <v>5</v>
      </c>
      <c r="M266" s="144" t="e">
        <f>IF(AND(E266=2,F266=0),C266,NA())</f>
        <v>#N/A</v>
      </c>
      <c r="N266" s="144" t="e">
        <f>IF(AND(E266=2,F266=0),D266,NA())</f>
        <v>#N/A</v>
      </c>
      <c r="O266" s="144" t="e">
        <f>NA()</f>
        <v>#N/A</v>
      </c>
      <c r="P266" s="144" t="e">
        <f>NA()</f>
        <v>#N/A</v>
      </c>
      <c r="Q266" s="144" t="e">
        <f>NA()</f>
        <v>#N/A</v>
      </c>
      <c r="R266" s="144" t="e">
        <f>NA()</f>
        <v>#N/A</v>
      </c>
    </row>
    <row r="267">
      <c r="A267" s="62" t="inlineStr">
        <is>
          <t xml:space="preserve">S₅</t>
        </is>
      </c>
      <c r="B267" s="62" t="inlineStr">
        <is>
          <t xml:space="preserve">S₃</t>
        </is>
      </c>
      <c r="C267" s="144">
        <f>'Zhuravlev Distances'!D$9</f>
        <v>7.3117496807</v>
      </c>
      <c r="D267" s="144">
        <f>'Parameters'!$B$5+1-'ERDR Characteristics'!$K$9</f>
        <v>5</v>
      </c>
      <c r="E267" s="68">
        <f>'Dataset'!$P$7</f>
        <v>1</v>
      </c>
      <c r="F267" s="146">
        <f>IF(AND(E267='Dataset'!$P$9,C267&lt;'ERDR Characteristics'!$D$9),1,0)</f>
        <v>0</v>
      </c>
      <c r="G267" s="144" t="e">
        <f>IF(AND(E267=1,F267=1),C267,NA())</f>
        <v>#N/A</v>
      </c>
      <c r="H267" s="144" t="e">
        <f>IF(AND(E267=1,F267=1),D267,NA())</f>
        <v>#N/A</v>
      </c>
      <c r="I267" s="144">
        <f>IF(AND(E267=1,F267=0),C267,NA())</f>
        <v>7.3117496807</v>
      </c>
      <c r="J267" s="144">
        <f>IF(AND(E267=1,F267=0),D267,NA())</f>
        <v>5</v>
      </c>
      <c r="K267" s="144" t="e">
        <f>IF(AND(E267=2,F267=1),C267,NA())</f>
        <v>#N/A</v>
      </c>
      <c r="L267" s="144" t="e">
        <f>IF(AND(E267=2,F267=1),D267,NA())</f>
        <v>#N/A</v>
      </c>
      <c r="M267" s="144" t="e">
        <f>IF(AND(E267=2,F267=0),C267,NA())</f>
        <v>#N/A</v>
      </c>
      <c r="N267" s="144" t="e">
        <f>IF(AND(E267=2,F267=0),D267,NA())</f>
        <v>#N/A</v>
      </c>
      <c r="O267" s="144" t="e">
        <f>NA()</f>
        <v>#N/A</v>
      </c>
      <c r="P267" s="144" t="e">
        <f>NA()</f>
        <v>#N/A</v>
      </c>
      <c r="Q267" s="144" t="e">
        <f>NA()</f>
        <v>#N/A</v>
      </c>
      <c r="R267" s="144" t="e">
        <f>NA()</f>
        <v>#N/A</v>
      </c>
    </row>
    <row r="268">
      <c r="A268" s="62" t="inlineStr">
        <is>
          <t xml:space="preserve">S₅</t>
        </is>
      </c>
      <c r="B268" s="62" t="inlineStr">
        <is>
          <t xml:space="preserve">S₄</t>
        </is>
      </c>
      <c r="C268" s="144">
        <f>'Zhuravlev Distances'!E$9</f>
        <v>7.8491221835</v>
      </c>
      <c r="D268" s="144">
        <f>'Parameters'!$B$5+1-'ERDR Characteristics'!$K$9</f>
        <v>5</v>
      </c>
      <c r="E268" s="68">
        <f>'Dataset'!$P$8</f>
        <v>2</v>
      </c>
      <c r="F268" s="146">
        <f>IF(AND(E268='Dataset'!$P$9,C268&lt;'ERDR Characteristics'!$D$9),1,0)</f>
        <v>0</v>
      </c>
      <c r="G268" s="144" t="e">
        <f>IF(AND(E268=1,F268=1),C268,NA())</f>
        <v>#N/A</v>
      </c>
      <c r="H268" s="144" t="e">
        <f>IF(AND(E268=1,F268=1),D268,NA())</f>
        <v>#N/A</v>
      </c>
      <c r="I268" s="144" t="e">
        <f>IF(AND(E268=1,F268=0),C268,NA())</f>
        <v>#N/A</v>
      </c>
      <c r="J268" s="144" t="e">
        <f>IF(AND(E268=1,F268=0),D268,NA())</f>
        <v>#N/A</v>
      </c>
      <c r="K268" s="144" t="e">
        <f>IF(AND(E268=2,F268=1),C268,NA())</f>
        <v>#N/A</v>
      </c>
      <c r="L268" s="144" t="e">
        <f>IF(AND(E268=2,F268=1),D268,NA())</f>
        <v>#N/A</v>
      </c>
      <c r="M268" s="144">
        <f>IF(AND(E268=2,F268=0),C268,NA())</f>
        <v>7.8491221835</v>
      </c>
      <c r="N268" s="144">
        <f>IF(AND(E268=2,F268=0),D268,NA())</f>
        <v>5</v>
      </c>
      <c r="O268" s="144" t="e">
        <f>NA()</f>
        <v>#N/A</v>
      </c>
      <c r="P268" s="144" t="e">
        <f>NA()</f>
        <v>#N/A</v>
      </c>
      <c r="Q268" s="144" t="e">
        <f>NA()</f>
        <v>#N/A</v>
      </c>
      <c r="R268" s="144" t="e">
        <f>NA()</f>
        <v>#N/A</v>
      </c>
    </row>
    <row r="269">
      <c r="A269" s="62" t="inlineStr">
        <is>
          <t xml:space="preserve">S₅</t>
        </is>
      </c>
      <c r="B269" s="62" t="inlineStr">
        <is>
          <t xml:space="preserve">S₅</t>
        </is>
      </c>
      <c r="C269" s="144">
        <v>0</v>
      </c>
      <c r="D269" s="144">
        <f>'Parameters'!$B$5+1-'ERDR Characteristics'!$K$9</f>
        <v>5</v>
      </c>
      <c r="E269" s="68">
        <f>'Dataset'!$P$9</f>
        <v>2</v>
      </c>
      <c r="F269" s="146">
        <v>0</v>
      </c>
      <c r="G269" s="144" t="e">
        <f>NA()</f>
        <v>#N/A</v>
      </c>
      <c r="H269" s="144" t="e">
        <f>NA()</f>
        <v>#N/A</v>
      </c>
      <c r="I269" s="144" t="e">
        <f>NA()</f>
        <v>#N/A</v>
      </c>
      <c r="J269" s="144" t="e">
        <f>NA()</f>
        <v>#N/A</v>
      </c>
      <c r="K269" s="144" t="e">
        <f>NA()</f>
        <v>#N/A</v>
      </c>
      <c r="L269" s="144" t="e">
        <f>NA()</f>
        <v>#N/A</v>
      </c>
      <c r="M269" s="144" t="e">
        <f>NA()</f>
        <v>#N/A</v>
      </c>
      <c r="N269" s="144" t="e">
        <f>NA()</f>
        <v>#N/A</v>
      </c>
      <c r="O269" s="144" t="e">
        <f>IF(E269=1,0,NA())</f>
        <v>#N/A</v>
      </c>
      <c r="P269" s="144" t="e">
        <f>IF(E269=1,D269,NA())</f>
        <v>#N/A</v>
      </c>
      <c r="Q269" s="144">
        <f>IF(E269=2,0,NA())</f>
        <v>0</v>
      </c>
      <c r="R269" s="144">
        <f>IF(E269=2,D269,NA())</f>
        <v>5</v>
      </c>
    </row>
    <row r="270">
      <c r="A270" s="62" t="inlineStr">
        <is>
          <t xml:space="preserve">S₅</t>
        </is>
      </c>
      <c r="B270" s="62" t="inlineStr">
        <is>
          <t xml:space="preserve">S₆</t>
        </is>
      </c>
      <c r="C270" s="144">
        <f>'Zhuravlev Distances'!G$9</f>
        <v>9.0234774016</v>
      </c>
      <c r="D270" s="144">
        <f>'Parameters'!$B$5+1-'ERDR Characteristics'!$K$9</f>
        <v>5</v>
      </c>
      <c r="E270" s="68">
        <f>'Dataset'!$P$10</f>
        <v>1</v>
      </c>
      <c r="F270" s="146">
        <f>IF(AND(E270='Dataset'!$P$9,C270&lt;'ERDR Characteristics'!$D$9),1,0)</f>
        <v>0</v>
      </c>
      <c r="G270" s="144" t="e">
        <f>IF(AND(E270=1,F270=1),C270,NA())</f>
        <v>#N/A</v>
      </c>
      <c r="H270" s="144" t="e">
        <f>IF(AND(E270=1,F270=1),D270,NA())</f>
        <v>#N/A</v>
      </c>
      <c r="I270" s="144">
        <f>IF(AND(E270=1,F270=0),C270,NA())</f>
        <v>9.0234774016</v>
      </c>
      <c r="J270" s="144">
        <f>IF(AND(E270=1,F270=0),D270,NA())</f>
        <v>5</v>
      </c>
      <c r="K270" s="144" t="e">
        <f>IF(AND(E270=2,F270=1),C270,NA())</f>
        <v>#N/A</v>
      </c>
      <c r="L270" s="144" t="e">
        <f>IF(AND(E270=2,F270=1),D270,NA())</f>
        <v>#N/A</v>
      </c>
      <c r="M270" s="144" t="e">
        <f>IF(AND(E270=2,F270=0),C270,NA())</f>
        <v>#N/A</v>
      </c>
      <c r="N270" s="144" t="e">
        <f>IF(AND(E270=2,F270=0),D270,NA())</f>
        <v>#N/A</v>
      </c>
      <c r="O270" s="144" t="e">
        <f>NA()</f>
        <v>#N/A</v>
      </c>
      <c r="P270" s="144" t="e">
        <f>NA()</f>
        <v>#N/A</v>
      </c>
      <c r="Q270" s="144" t="e">
        <f>NA()</f>
        <v>#N/A</v>
      </c>
      <c r="R270" s="144" t="e">
        <f>NA()</f>
        <v>#N/A</v>
      </c>
    </row>
    <row r="271">
      <c r="A271" s="62" t="inlineStr">
        <is>
          <t xml:space="preserve">S₅</t>
        </is>
      </c>
      <c r="B271" s="62" t="inlineStr">
        <is>
          <t xml:space="preserve">S₇</t>
        </is>
      </c>
      <c r="C271" s="144">
        <f>'Zhuravlev Distances'!H$9</f>
        <v>7.1117040273</v>
      </c>
      <c r="D271" s="144">
        <f>'Parameters'!$B$5+1-'ERDR Characteristics'!$K$9</f>
        <v>5</v>
      </c>
      <c r="E271" s="68">
        <f>'Dataset'!$P$11</f>
        <v>1</v>
      </c>
      <c r="F271" s="146">
        <f>IF(AND(E271='Dataset'!$P$9,C271&lt;'ERDR Characteristics'!$D$9),1,0)</f>
        <v>0</v>
      </c>
      <c r="G271" s="144" t="e">
        <f>IF(AND(E271=1,F271=1),C271,NA())</f>
        <v>#N/A</v>
      </c>
      <c r="H271" s="144" t="e">
        <f>IF(AND(E271=1,F271=1),D271,NA())</f>
        <v>#N/A</v>
      </c>
      <c r="I271" s="144">
        <f>IF(AND(E271=1,F271=0),C271,NA())</f>
        <v>7.1117040273</v>
      </c>
      <c r="J271" s="144">
        <f>IF(AND(E271=1,F271=0),D271,NA())</f>
        <v>5</v>
      </c>
      <c r="K271" s="144" t="e">
        <f>IF(AND(E271=2,F271=1),C271,NA())</f>
        <v>#N/A</v>
      </c>
      <c r="L271" s="144" t="e">
        <f>IF(AND(E271=2,F271=1),D271,NA())</f>
        <v>#N/A</v>
      </c>
      <c r="M271" s="144" t="e">
        <f>IF(AND(E271=2,F271=0),C271,NA())</f>
        <v>#N/A</v>
      </c>
      <c r="N271" s="144" t="e">
        <f>IF(AND(E271=2,F271=0),D271,NA())</f>
        <v>#N/A</v>
      </c>
      <c r="O271" s="144" t="e">
        <f>NA()</f>
        <v>#N/A</v>
      </c>
      <c r="P271" s="144" t="e">
        <f>NA()</f>
        <v>#N/A</v>
      </c>
      <c r="Q271" s="144" t="e">
        <f>NA()</f>
        <v>#N/A</v>
      </c>
      <c r="R271" s="144" t="e">
        <f>NA()</f>
        <v>#N/A</v>
      </c>
    </row>
    <row r="272">
      <c r="A272" s="62" t="inlineStr">
        <is>
          <t xml:space="preserve">S₆</t>
        </is>
      </c>
      <c r="B272" s="62" t="inlineStr">
        <is>
          <t xml:space="preserve">S₁</t>
        </is>
      </c>
      <c r="C272" s="144">
        <f>'Zhuravlev Distances'!B$10</f>
        <v>6.8015669516</v>
      </c>
      <c r="D272" s="144">
        <f>'Parameters'!$B$5+1-'ERDR Characteristics'!$K$10</f>
        <v>2</v>
      </c>
      <c r="E272" s="68">
        <f>'Dataset'!$P$5</f>
        <v>2</v>
      </c>
      <c r="F272" s="146">
        <f>IF(AND(E272='Dataset'!$P$10,C272&lt;'ERDR Characteristics'!$D$10),1,0)</f>
        <v>0</v>
      </c>
      <c r="G272" s="144" t="e">
        <f>IF(AND(E272=1,F272=1),C272,NA())</f>
        <v>#N/A</v>
      </c>
      <c r="H272" s="144" t="e">
        <f>IF(AND(E272=1,F272=1),D272,NA())</f>
        <v>#N/A</v>
      </c>
      <c r="I272" s="144" t="e">
        <f>IF(AND(E272=1,F272=0),C272,NA())</f>
        <v>#N/A</v>
      </c>
      <c r="J272" s="144" t="e">
        <f>IF(AND(E272=1,F272=0),D272,NA())</f>
        <v>#N/A</v>
      </c>
      <c r="K272" s="144" t="e">
        <f>IF(AND(E272=2,F272=1),C272,NA())</f>
        <v>#N/A</v>
      </c>
      <c r="L272" s="144" t="e">
        <f>IF(AND(E272=2,F272=1),D272,NA())</f>
        <v>#N/A</v>
      </c>
      <c r="M272" s="144">
        <f>IF(AND(E272=2,F272=0),C272,NA())</f>
        <v>6.8015669516</v>
      </c>
      <c r="N272" s="144">
        <f>IF(AND(E272=2,F272=0),D272,NA())</f>
        <v>2</v>
      </c>
      <c r="O272" s="144" t="e">
        <f>NA()</f>
        <v>#N/A</v>
      </c>
      <c r="P272" s="144" t="e">
        <f>NA()</f>
        <v>#N/A</v>
      </c>
      <c r="Q272" s="144" t="e">
        <f>NA()</f>
        <v>#N/A</v>
      </c>
      <c r="R272" s="144" t="e">
        <f>NA()</f>
        <v>#N/A</v>
      </c>
    </row>
    <row r="273">
      <c r="A273" s="62" t="inlineStr">
        <is>
          <t xml:space="preserve">S₆</t>
        </is>
      </c>
      <c r="B273" s="62" t="inlineStr">
        <is>
          <t xml:space="preserve">S₂</t>
        </is>
      </c>
      <c r="C273" s="144">
        <f>'Zhuravlev Distances'!C$10</f>
        <v>8.742951174</v>
      </c>
      <c r="D273" s="144">
        <f>'Parameters'!$B$5+1-'ERDR Characteristics'!$K$10</f>
        <v>2</v>
      </c>
      <c r="E273" s="68">
        <f>'Dataset'!$P$6</f>
        <v>2</v>
      </c>
      <c r="F273" s="146">
        <f>IF(AND(E273='Dataset'!$P$10,C273&lt;'ERDR Characteristics'!$D$10),1,0)</f>
        <v>0</v>
      </c>
      <c r="G273" s="144" t="e">
        <f>IF(AND(E273=1,F273=1),C273,NA())</f>
        <v>#N/A</v>
      </c>
      <c r="H273" s="144" t="e">
        <f>IF(AND(E273=1,F273=1),D273,NA())</f>
        <v>#N/A</v>
      </c>
      <c r="I273" s="144" t="e">
        <f>IF(AND(E273=1,F273=0),C273,NA())</f>
        <v>#N/A</v>
      </c>
      <c r="J273" s="144" t="e">
        <f>IF(AND(E273=1,F273=0),D273,NA())</f>
        <v>#N/A</v>
      </c>
      <c r="K273" s="144" t="e">
        <f>IF(AND(E273=2,F273=1),C273,NA())</f>
        <v>#N/A</v>
      </c>
      <c r="L273" s="144" t="e">
        <f>IF(AND(E273=2,F273=1),D273,NA())</f>
        <v>#N/A</v>
      </c>
      <c r="M273" s="144">
        <f>IF(AND(E273=2,F273=0),C273,NA())</f>
        <v>8.742951174</v>
      </c>
      <c r="N273" s="144">
        <f>IF(AND(E273=2,F273=0),D273,NA())</f>
        <v>2</v>
      </c>
      <c r="O273" s="144" t="e">
        <f>NA()</f>
        <v>#N/A</v>
      </c>
      <c r="P273" s="144" t="e">
        <f>NA()</f>
        <v>#N/A</v>
      </c>
      <c r="Q273" s="144" t="e">
        <f>NA()</f>
        <v>#N/A</v>
      </c>
      <c r="R273" s="144" t="e">
        <f>NA()</f>
        <v>#N/A</v>
      </c>
    </row>
    <row r="274">
      <c r="A274" s="62" t="inlineStr">
        <is>
          <t xml:space="preserve">S₆</t>
        </is>
      </c>
      <c r="B274" s="62" t="inlineStr">
        <is>
          <t xml:space="preserve">S₃</t>
        </is>
      </c>
      <c r="C274" s="144">
        <f>'Zhuravlev Distances'!D$10</f>
        <v>5.2172783643</v>
      </c>
      <c r="D274" s="144">
        <f>'Parameters'!$B$5+1-'ERDR Characteristics'!$K$10</f>
        <v>2</v>
      </c>
      <c r="E274" s="68">
        <f>'Dataset'!$P$7</f>
        <v>1</v>
      </c>
      <c r="F274" s="146">
        <f>IF(AND(E274='Dataset'!$P$10,C274&lt;'ERDR Characteristics'!$D$10),1,0)</f>
        <v>0</v>
      </c>
      <c r="G274" s="144" t="e">
        <f>IF(AND(E274=1,F274=1),C274,NA())</f>
        <v>#N/A</v>
      </c>
      <c r="H274" s="144" t="e">
        <f>IF(AND(E274=1,F274=1),D274,NA())</f>
        <v>#N/A</v>
      </c>
      <c r="I274" s="144">
        <f>IF(AND(E274=1,F274=0),C274,NA())</f>
        <v>5.2172783643</v>
      </c>
      <c r="J274" s="144">
        <f>IF(AND(E274=1,F274=0),D274,NA())</f>
        <v>2</v>
      </c>
      <c r="K274" s="144" t="e">
        <f>IF(AND(E274=2,F274=1),C274,NA())</f>
        <v>#N/A</v>
      </c>
      <c r="L274" s="144" t="e">
        <f>IF(AND(E274=2,F274=1),D274,NA())</f>
        <v>#N/A</v>
      </c>
      <c r="M274" s="144" t="e">
        <f>IF(AND(E274=2,F274=0),C274,NA())</f>
        <v>#N/A</v>
      </c>
      <c r="N274" s="144" t="e">
        <f>IF(AND(E274=2,F274=0),D274,NA())</f>
        <v>#N/A</v>
      </c>
      <c r="O274" s="144" t="e">
        <f>NA()</f>
        <v>#N/A</v>
      </c>
      <c r="P274" s="144" t="e">
        <f>NA()</f>
        <v>#N/A</v>
      </c>
      <c r="Q274" s="144" t="e">
        <f>NA()</f>
        <v>#N/A</v>
      </c>
      <c r="R274" s="144" t="e">
        <f>NA()</f>
        <v>#N/A</v>
      </c>
    </row>
    <row r="275">
      <c r="A275" s="62" t="inlineStr">
        <is>
          <t xml:space="preserve">S₆</t>
        </is>
      </c>
      <c r="B275" s="62" t="inlineStr">
        <is>
          <t xml:space="preserve">S₄</t>
        </is>
      </c>
      <c r="C275" s="144">
        <f>'Zhuravlev Distances'!E$10</f>
        <v>3.7071187508</v>
      </c>
      <c r="D275" s="144">
        <f>'Parameters'!$B$5+1-'ERDR Characteristics'!$K$10</f>
        <v>2</v>
      </c>
      <c r="E275" s="68">
        <f>'Dataset'!$P$8</f>
        <v>2</v>
      </c>
      <c r="F275" s="146">
        <f>IF(AND(E275='Dataset'!$P$10,C275&lt;'ERDR Characteristics'!$D$10),1,0)</f>
        <v>0</v>
      </c>
      <c r="G275" s="144" t="e">
        <f>IF(AND(E275=1,F275=1),C275,NA())</f>
        <v>#N/A</v>
      </c>
      <c r="H275" s="144" t="e">
        <f>IF(AND(E275=1,F275=1),D275,NA())</f>
        <v>#N/A</v>
      </c>
      <c r="I275" s="144" t="e">
        <f>IF(AND(E275=1,F275=0),C275,NA())</f>
        <v>#N/A</v>
      </c>
      <c r="J275" s="144" t="e">
        <f>IF(AND(E275=1,F275=0),D275,NA())</f>
        <v>#N/A</v>
      </c>
      <c r="K275" s="144" t="e">
        <f>IF(AND(E275=2,F275=1),C275,NA())</f>
        <v>#N/A</v>
      </c>
      <c r="L275" s="144" t="e">
        <f>IF(AND(E275=2,F275=1),D275,NA())</f>
        <v>#N/A</v>
      </c>
      <c r="M275" s="144">
        <f>IF(AND(E275=2,F275=0),C275,NA())</f>
        <v>3.7071187508</v>
      </c>
      <c r="N275" s="144">
        <f>IF(AND(E275=2,F275=0),D275,NA())</f>
        <v>2</v>
      </c>
      <c r="O275" s="144" t="e">
        <f>NA()</f>
        <v>#N/A</v>
      </c>
      <c r="P275" s="144" t="e">
        <f>NA()</f>
        <v>#N/A</v>
      </c>
      <c r="Q275" s="144" t="e">
        <f>NA()</f>
        <v>#N/A</v>
      </c>
      <c r="R275" s="144" t="e">
        <f>NA()</f>
        <v>#N/A</v>
      </c>
    </row>
    <row r="276">
      <c r="A276" s="62" t="inlineStr">
        <is>
          <t xml:space="preserve">S₆</t>
        </is>
      </c>
      <c r="B276" s="62" t="inlineStr">
        <is>
          <t xml:space="preserve">S₅</t>
        </is>
      </c>
      <c r="C276" s="144">
        <f>'Zhuravlev Distances'!F$10</f>
        <v>9.0234774016</v>
      </c>
      <c r="D276" s="144">
        <f>'Parameters'!$B$5+1-'ERDR Characteristics'!$K$10</f>
        <v>2</v>
      </c>
      <c r="E276" s="68">
        <f>'Dataset'!$P$9</f>
        <v>2</v>
      </c>
      <c r="F276" s="146">
        <f>IF(AND(E276='Dataset'!$P$10,C276&lt;'ERDR Characteristics'!$D$10),1,0)</f>
        <v>0</v>
      </c>
      <c r="G276" s="144" t="e">
        <f>IF(AND(E276=1,F276=1),C276,NA())</f>
        <v>#N/A</v>
      </c>
      <c r="H276" s="144" t="e">
        <f>IF(AND(E276=1,F276=1),D276,NA())</f>
        <v>#N/A</v>
      </c>
      <c r="I276" s="144" t="e">
        <f>IF(AND(E276=1,F276=0),C276,NA())</f>
        <v>#N/A</v>
      </c>
      <c r="J276" s="144" t="e">
        <f>IF(AND(E276=1,F276=0),D276,NA())</f>
        <v>#N/A</v>
      </c>
      <c r="K276" s="144" t="e">
        <f>IF(AND(E276=2,F276=1),C276,NA())</f>
        <v>#N/A</v>
      </c>
      <c r="L276" s="144" t="e">
        <f>IF(AND(E276=2,F276=1),D276,NA())</f>
        <v>#N/A</v>
      </c>
      <c r="M276" s="144">
        <f>IF(AND(E276=2,F276=0),C276,NA())</f>
        <v>9.0234774016</v>
      </c>
      <c r="N276" s="144">
        <f>IF(AND(E276=2,F276=0),D276,NA())</f>
        <v>2</v>
      </c>
      <c r="O276" s="144" t="e">
        <f>NA()</f>
        <v>#N/A</v>
      </c>
      <c r="P276" s="144" t="e">
        <f>NA()</f>
        <v>#N/A</v>
      </c>
      <c r="Q276" s="144" t="e">
        <f>NA()</f>
        <v>#N/A</v>
      </c>
      <c r="R276" s="144" t="e">
        <f>NA()</f>
        <v>#N/A</v>
      </c>
    </row>
    <row r="277">
      <c r="A277" s="62" t="inlineStr">
        <is>
          <t xml:space="preserve">S₆</t>
        </is>
      </c>
      <c r="B277" s="62" t="inlineStr">
        <is>
          <t xml:space="preserve">S₆</t>
        </is>
      </c>
      <c r="C277" s="144">
        <v>0</v>
      </c>
      <c r="D277" s="144">
        <f>'Parameters'!$B$5+1-'ERDR Characteristics'!$K$10</f>
        <v>2</v>
      </c>
      <c r="E277" s="68">
        <f>'Dataset'!$P$10</f>
        <v>1</v>
      </c>
      <c r="F277" s="146">
        <v>0</v>
      </c>
      <c r="G277" s="144" t="e">
        <f>NA()</f>
        <v>#N/A</v>
      </c>
      <c r="H277" s="144" t="e">
        <f>NA()</f>
        <v>#N/A</v>
      </c>
      <c r="I277" s="144" t="e">
        <f>NA()</f>
        <v>#N/A</v>
      </c>
      <c r="J277" s="144" t="e">
        <f>NA()</f>
        <v>#N/A</v>
      </c>
      <c r="K277" s="144" t="e">
        <f>NA()</f>
        <v>#N/A</v>
      </c>
      <c r="L277" s="144" t="e">
        <f>NA()</f>
        <v>#N/A</v>
      </c>
      <c r="M277" s="144" t="e">
        <f>NA()</f>
        <v>#N/A</v>
      </c>
      <c r="N277" s="144" t="e">
        <f>NA()</f>
        <v>#N/A</v>
      </c>
      <c r="O277" s="144">
        <f>IF(E277=1,0,NA())</f>
        <v>0</v>
      </c>
      <c r="P277" s="144">
        <f>IF(E277=1,D277,NA())</f>
        <v>2</v>
      </c>
      <c r="Q277" s="144" t="e">
        <f>IF(E277=2,0,NA())</f>
        <v>#N/A</v>
      </c>
      <c r="R277" s="144" t="e">
        <f>IF(E277=2,D277,NA())</f>
        <v>#N/A</v>
      </c>
    </row>
    <row r="278">
      <c r="A278" s="62" t="inlineStr">
        <is>
          <t xml:space="preserve">S₆</t>
        </is>
      </c>
      <c r="B278" s="62" t="inlineStr">
        <is>
          <t xml:space="preserve">S₇</t>
        </is>
      </c>
      <c r="C278" s="144">
        <f>'Zhuravlev Distances'!H$10</f>
        <v>5.0314314939</v>
      </c>
      <c r="D278" s="144">
        <f>'Parameters'!$B$5+1-'ERDR Characteristics'!$K$10</f>
        <v>2</v>
      </c>
      <c r="E278" s="68">
        <f>'Dataset'!$P$11</f>
        <v>1</v>
      </c>
      <c r="F278" s="146">
        <f>IF(AND(E278='Dataset'!$P$10,C278&lt;'ERDR Characteristics'!$D$10),1,0)</f>
        <v>0</v>
      </c>
      <c r="G278" s="144" t="e">
        <f>IF(AND(E278=1,F278=1),C278,NA())</f>
        <v>#N/A</v>
      </c>
      <c r="H278" s="144" t="e">
        <f>IF(AND(E278=1,F278=1),D278,NA())</f>
        <v>#N/A</v>
      </c>
      <c r="I278" s="144">
        <f>IF(AND(E278=1,F278=0),C278,NA())</f>
        <v>5.0314314939</v>
      </c>
      <c r="J278" s="144">
        <f>IF(AND(E278=1,F278=0),D278,NA())</f>
        <v>2</v>
      </c>
      <c r="K278" s="144" t="e">
        <f>IF(AND(E278=2,F278=1),C278,NA())</f>
        <v>#N/A</v>
      </c>
      <c r="L278" s="144" t="e">
        <f>IF(AND(E278=2,F278=1),D278,NA())</f>
        <v>#N/A</v>
      </c>
      <c r="M278" s="144" t="e">
        <f>IF(AND(E278=2,F278=0),C278,NA())</f>
        <v>#N/A</v>
      </c>
      <c r="N278" s="144" t="e">
        <f>IF(AND(E278=2,F278=0),D278,NA())</f>
        <v>#N/A</v>
      </c>
      <c r="O278" s="144" t="e">
        <f>NA()</f>
        <v>#N/A</v>
      </c>
      <c r="P278" s="144" t="e">
        <f>NA()</f>
        <v>#N/A</v>
      </c>
      <c r="Q278" s="144" t="e">
        <f>NA()</f>
        <v>#N/A</v>
      </c>
      <c r="R278" s="144" t="e">
        <f>NA()</f>
        <v>#N/A</v>
      </c>
    </row>
    <row r="279">
      <c r="A279" s="62" t="inlineStr">
        <is>
          <t xml:space="preserve">S₇</t>
        </is>
      </c>
      <c r="B279" s="62" t="inlineStr">
        <is>
          <t xml:space="preserve">S₁</t>
        </is>
      </c>
      <c r="C279" s="144">
        <f>'Zhuravlev Distances'!B$11</f>
        <v>5.8897935773</v>
      </c>
      <c r="D279" s="144">
        <f>'Parameters'!$B$5+1-'ERDR Characteristics'!$K$11</f>
        <v>3</v>
      </c>
      <c r="E279" s="68">
        <f>'Dataset'!$P$5</f>
        <v>2</v>
      </c>
      <c r="F279" s="146">
        <f>IF(AND(E279='Dataset'!$P$11,C279&lt;'ERDR Characteristics'!$D$11),1,0)</f>
        <v>0</v>
      </c>
      <c r="G279" s="144" t="e">
        <f>IF(AND(E279=1,F279=1),C279,NA())</f>
        <v>#N/A</v>
      </c>
      <c r="H279" s="144" t="e">
        <f>IF(AND(E279=1,F279=1),D279,NA())</f>
        <v>#N/A</v>
      </c>
      <c r="I279" s="144" t="e">
        <f>IF(AND(E279=1,F279=0),C279,NA())</f>
        <v>#N/A</v>
      </c>
      <c r="J279" s="144" t="e">
        <f>IF(AND(E279=1,F279=0),D279,NA())</f>
        <v>#N/A</v>
      </c>
      <c r="K279" s="144" t="e">
        <f>IF(AND(E279=2,F279=1),C279,NA())</f>
        <v>#N/A</v>
      </c>
      <c r="L279" s="144" t="e">
        <f>IF(AND(E279=2,F279=1),D279,NA())</f>
        <v>#N/A</v>
      </c>
      <c r="M279" s="144">
        <f>IF(AND(E279=2,F279=0),C279,NA())</f>
        <v>5.8897935773</v>
      </c>
      <c r="N279" s="144">
        <f>IF(AND(E279=2,F279=0),D279,NA())</f>
        <v>3</v>
      </c>
      <c r="O279" s="144" t="e">
        <f>NA()</f>
        <v>#N/A</v>
      </c>
      <c r="P279" s="144" t="e">
        <f>NA()</f>
        <v>#N/A</v>
      </c>
      <c r="Q279" s="144" t="e">
        <f>NA()</f>
        <v>#N/A</v>
      </c>
      <c r="R279" s="144" t="e">
        <f>NA()</f>
        <v>#N/A</v>
      </c>
    </row>
    <row r="280">
      <c r="A280" s="62" t="inlineStr">
        <is>
          <t xml:space="preserve">S₇</t>
        </is>
      </c>
      <c r="B280" s="62" t="inlineStr">
        <is>
          <t xml:space="preserve">S₂</t>
        </is>
      </c>
      <c r="C280" s="144">
        <f>'Zhuravlev Distances'!C$11</f>
        <v>7.7855937542</v>
      </c>
      <c r="D280" s="144">
        <f>'Parameters'!$B$5+1-'ERDR Characteristics'!$K$11</f>
        <v>3</v>
      </c>
      <c r="E280" s="68">
        <f>'Dataset'!$P$6</f>
        <v>2</v>
      </c>
      <c r="F280" s="146">
        <f>IF(AND(E280='Dataset'!$P$11,C280&lt;'ERDR Characteristics'!$D$11),1,0)</f>
        <v>0</v>
      </c>
      <c r="G280" s="144" t="e">
        <f>IF(AND(E280=1,F280=1),C280,NA())</f>
        <v>#N/A</v>
      </c>
      <c r="H280" s="144" t="e">
        <f>IF(AND(E280=1,F280=1),D280,NA())</f>
        <v>#N/A</v>
      </c>
      <c r="I280" s="144" t="e">
        <f>IF(AND(E280=1,F280=0),C280,NA())</f>
        <v>#N/A</v>
      </c>
      <c r="J280" s="144" t="e">
        <f>IF(AND(E280=1,F280=0),D280,NA())</f>
        <v>#N/A</v>
      </c>
      <c r="K280" s="144" t="e">
        <f>IF(AND(E280=2,F280=1),C280,NA())</f>
        <v>#N/A</v>
      </c>
      <c r="L280" s="144" t="e">
        <f>IF(AND(E280=2,F280=1),D280,NA())</f>
        <v>#N/A</v>
      </c>
      <c r="M280" s="144">
        <f>IF(AND(E280=2,F280=0),C280,NA())</f>
        <v>7.7855937542</v>
      </c>
      <c r="N280" s="144">
        <f>IF(AND(E280=2,F280=0),D280,NA())</f>
        <v>3</v>
      </c>
      <c r="O280" s="144" t="e">
        <f>NA()</f>
        <v>#N/A</v>
      </c>
      <c r="P280" s="144" t="e">
        <f>NA()</f>
        <v>#N/A</v>
      </c>
      <c r="Q280" s="144" t="e">
        <f>NA()</f>
        <v>#N/A</v>
      </c>
      <c r="R280" s="144" t="e">
        <f>NA()</f>
        <v>#N/A</v>
      </c>
    </row>
    <row r="281">
      <c r="A281" s="62" t="inlineStr">
        <is>
          <t xml:space="preserve">S₇</t>
        </is>
      </c>
      <c r="B281" s="62" t="inlineStr">
        <is>
          <t xml:space="preserve">S₃</t>
        </is>
      </c>
      <c r="C281" s="144">
        <f>'Zhuravlev Distances'!D$11</f>
        <v>2.7849754107</v>
      </c>
      <c r="D281" s="144">
        <f>'Parameters'!$B$5+1-'ERDR Characteristics'!$K$11</f>
        <v>3</v>
      </c>
      <c r="E281" s="68">
        <f>'Dataset'!$P$7</f>
        <v>1</v>
      </c>
      <c r="F281" s="146">
        <f>IF(AND(E281='Dataset'!$P$11,C281&lt;'ERDR Characteristics'!$D$11),1,0)</f>
        <v>1</v>
      </c>
      <c r="G281" s="144">
        <f>IF(AND(E281=1,F281=1),C281,NA())</f>
        <v>2.7849754107</v>
      </c>
      <c r="H281" s="144">
        <f>IF(AND(E281=1,F281=1),D281,NA())</f>
        <v>3</v>
      </c>
      <c r="I281" s="144" t="e">
        <f>IF(AND(E281=1,F281=0),C281,NA())</f>
        <v>#N/A</v>
      </c>
      <c r="J281" s="144" t="e">
        <f>IF(AND(E281=1,F281=0),D281,NA())</f>
        <v>#N/A</v>
      </c>
      <c r="K281" s="144" t="e">
        <f>IF(AND(E281=2,F281=1),C281,NA())</f>
        <v>#N/A</v>
      </c>
      <c r="L281" s="144" t="e">
        <f>IF(AND(E281=2,F281=1),D281,NA())</f>
        <v>#N/A</v>
      </c>
      <c r="M281" s="144" t="e">
        <f>IF(AND(E281=2,F281=0),C281,NA())</f>
        <v>#N/A</v>
      </c>
      <c r="N281" s="144" t="e">
        <f>IF(AND(E281=2,F281=0),D281,NA())</f>
        <v>#N/A</v>
      </c>
      <c r="O281" s="144" t="e">
        <f>NA()</f>
        <v>#N/A</v>
      </c>
      <c r="P281" s="144" t="e">
        <f>NA()</f>
        <v>#N/A</v>
      </c>
      <c r="Q281" s="144" t="e">
        <f>NA()</f>
        <v>#N/A</v>
      </c>
      <c r="R281" s="144" t="e">
        <f>NA()</f>
        <v>#N/A</v>
      </c>
    </row>
    <row r="282">
      <c r="A282" s="62" t="inlineStr">
        <is>
          <t xml:space="preserve">S₇</t>
        </is>
      </c>
      <c r="B282" s="62" t="inlineStr">
        <is>
          <t xml:space="preserve">S₄</t>
        </is>
      </c>
      <c r="C282" s="144">
        <f>'Zhuravlev Distances'!E$11</f>
        <v>3.9109813746</v>
      </c>
      <c r="D282" s="144">
        <f>'Parameters'!$B$5+1-'ERDR Characteristics'!$K$11</f>
        <v>3</v>
      </c>
      <c r="E282" s="68">
        <f>'Dataset'!$P$8</f>
        <v>2</v>
      </c>
      <c r="F282" s="146">
        <f>IF(AND(E282='Dataset'!$P$11,C282&lt;'ERDR Characteristics'!$D$11),1,0)</f>
        <v>0</v>
      </c>
      <c r="G282" s="144" t="e">
        <f>IF(AND(E282=1,F282=1),C282,NA())</f>
        <v>#N/A</v>
      </c>
      <c r="H282" s="144" t="e">
        <f>IF(AND(E282=1,F282=1),D282,NA())</f>
        <v>#N/A</v>
      </c>
      <c r="I282" s="144" t="e">
        <f>IF(AND(E282=1,F282=0),C282,NA())</f>
        <v>#N/A</v>
      </c>
      <c r="J282" s="144" t="e">
        <f>IF(AND(E282=1,F282=0),D282,NA())</f>
        <v>#N/A</v>
      </c>
      <c r="K282" s="144" t="e">
        <f>IF(AND(E282=2,F282=1),C282,NA())</f>
        <v>#N/A</v>
      </c>
      <c r="L282" s="144" t="e">
        <f>IF(AND(E282=2,F282=1),D282,NA())</f>
        <v>#N/A</v>
      </c>
      <c r="M282" s="144">
        <f>IF(AND(E282=2,F282=0),C282,NA())</f>
        <v>3.9109813746</v>
      </c>
      <c r="N282" s="144">
        <f>IF(AND(E282=2,F282=0),D282,NA())</f>
        <v>3</v>
      </c>
      <c r="O282" s="144" t="e">
        <f>NA()</f>
        <v>#N/A</v>
      </c>
      <c r="P282" s="144" t="e">
        <f>NA()</f>
        <v>#N/A</v>
      </c>
      <c r="Q282" s="144" t="e">
        <f>NA()</f>
        <v>#N/A</v>
      </c>
      <c r="R282" s="144" t="e">
        <f>NA()</f>
        <v>#N/A</v>
      </c>
    </row>
    <row r="283">
      <c r="A283" s="62" t="inlineStr">
        <is>
          <t xml:space="preserve">S₇</t>
        </is>
      </c>
      <c r="B283" s="62" t="inlineStr">
        <is>
          <t xml:space="preserve">S₅</t>
        </is>
      </c>
      <c r="C283" s="144">
        <f>'Zhuravlev Distances'!F$11</f>
        <v>7.1117040273</v>
      </c>
      <c r="D283" s="144">
        <f>'Parameters'!$B$5+1-'ERDR Characteristics'!$K$11</f>
        <v>3</v>
      </c>
      <c r="E283" s="68">
        <f>'Dataset'!$P$9</f>
        <v>2</v>
      </c>
      <c r="F283" s="146">
        <f>IF(AND(E283='Dataset'!$P$11,C283&lt;'ERDR Characteristics'!$D$11),1,0)</f>
        <v>0</v>
      </c>
      <c r="G283" s="144" t="e">
        <f>IF(AND(E283=1,F283=1),C283,NA())</f>
        <v>#N/A</v>
      </c>
      <c r="H283" s="144" t="e">
        <f>IF(AND(E283=1,F283=1),D283,NA())</f>
        <v>#N/A</v>
      </c>
      <c r="I283" s="144" t="e">
        <f>IF(AND(E283=1,F283=0),C283,NA())</f>
        <v>#N/A</v>
      </c>
      <c r="J283" s="144" t="e">
        <f>IF(AND(E283=1,F283=0),D283,NA())</f>
        <v>#N/A</v>
      </c>
      <c r="K283" s="144" t="e">
        <f>IF(AND(E283=2,F283=1),C283,NA())</f>
        <v>#N/A</v>
      </c>
      <c r="L283" s="144" t="e">
        <f>IF(AND(E283=2,F283=1),D283,NA())</f>
        <v>#N/A</v>
      </c>
      <c r="M283" s="144">
        <f>IF(AND(E283=2,F283=0),C283,NA())</f>
        <v>7.1117040273</v>
      </c>
      <c r="N283" s="144">
        <f>IF(AND(E283=2,F283=0),D283,NA())</f>
        <v>3</v>
      </c>
      <c r="O283" s="144" t="e">
        <f>NA()</f>
        <v>#N/A</v>
      </c>
      <c r="P283" s="144" t="e">
        <f>NA()</f>
        <v>#N/A</v>
      </c>
      <c r="Q283" s="144" t="e">
        <f>NA()</f>
        <v>#N/A</v>
      </c>
      <c r="R283" s="144" t="e">
        <f>NA()</f>
        <v>#N/A</v>
      </c>
    </row>
    <row r="284">
      <c r="A284" s="62" t="inlineStr">
        <is>
          <t xml:space="preserve">S₇</t>
        </is>
      </c>
      <c r="B284" s="62" t="inlineStr">
        <is>
          <t xml:space="preserve">S₆</t>
        </is>
      </c>
      <c r="C284" s="144">
        <f>'Zhuravlev Distances'!G$11</f>
        <v>5.0314314939</v>
      </c>
      <c r="D284" s="144">
        <f>'Parameters'!$B$5+1-'ERDR Characteristics'!$K$11</f>
        <v>3</v>
      </c>
      <c r="E284" s="68">
        <f>'Dataset'!$P$10</f>
        <v>1</v>
      </c>
      <c r="F284" s="146">
        <f>IF(AND(E284='Dataset'!$P$11,C284&lt;'ERDR Characteristics'!$D$11),1,0)</f>
        <v>0</v>
      </c>
      <c r="G284" s="144" t="e">
        <f>IF(AND(E284=1,F284=1),C284,NA())</f>
        <v>#N/A</v>
      </c>
      <c r="H284" s="144" t="e">
        <f>IF(AND(E284=1,F284=1),D284,NA())</f>
        <v>#N/A</v>
      </c>
      <c r="I284" s="144">
        <f>IF(AND(E284=1,F284=0),C284,NA())</f>
        <v>5.0314314939</v>
      </c>
      <c r="J284" s="144">
        <f>IF(AND(E284=1,F284=0),D284,NA())</f>
        <v>3</v>
      </c>
      <c r="K284" s="144" t="e">
        <f>IF(AND(E284=2,F284=1),C284,NA())</f>
        <v>#N/A</v>
      </c>
      <c r="L284" s="144" t="e">
        <f>IF(AND(E284=2,F284=1),D284,NA())</f>
        <v>#N/A</v>
      </c>
      <c r="M284" s="144" t="e">
        <f>IF(AND(E284=2,F284=0),C284,NA())</f>
        <v>#N/A</v>
      </c>
      <c r="N284" s="144" t="e">
        <f>IF(AND(E284=2,F284=0),D284,NA())</f>
        <v>#N/A</v>
      </c>
      <c r="O284" s="144" t="e">
        <f>NA()</f>
        <v>#N/A</v>
      </c>
      <c r="P284" s="144" t="e">
        <f>NA()</f>
        <v>#N/A</v>
      </c>
      <c r="Q284" s="144" t="e">
        <f>NA()</f>
        <v>#N/A</v>
      </c>
      <c r="R284" s="144" t="e">
        <f>NA()</f>
        <v>#N/A</v>
      </c>
    </row>
    <row r="285">
      <c r="A285" s="62" t="inlineStr">
        <is>
          <t xml:space="preserve">S₇</t>
        </is>
      </c>
      <c r="B285" s="62" t="inlineStr">
        <is>
          <t xml:space="preserve">S₇</t>
        </is>
      </c>
      <c r="C285" s="144">
        <v>0</v>
      </c>
      <c r="D285" s="144">
        <f>'Parameters'!$B$5+1-'ERDR Characteristics'!$K$11</f>
        <v>3</v>
      </c>
      <c r="E285" s="68">
        <f>'Dataset'!$P$11</f>
        <v>1</v>
      </c>
      <c r="F285" s="146">
        <v>0</v>
      </c>
      <c r="G285" s="144" t="e">
        <f>NA()</f>
        <v>#N/A</v>
      </c>
      <c r="H285" s="144" t="e">
        <f>NA()</f>
        <v>#N/A</v>
      </c>
      <c r="I285" s="144" t="e">
        <f>NA()</f>
        <v>#N/A</v>
      </c>
      <c r="J285" s="144" t="e">
        <f>NA()</f>
        <v>#N/A</v>
      </c>
      <c r="K285" s="144" t="e">
        <f>NA()</f>
        <v>#N/A</v>
      </c>
      <c r="L285" s="144" t="e">
        <f>NA()</f>
        <v>#N/A</v>
      </c>
      <c r="M285" s="144" t="e">
        <f>NA()</f>
        <v>#N/A</v>
      </c>
      <c r="N285" s="144" t="e">
        <f>NA()</f>
        <v>#N/A</v>
      </c>
      <c r="O285" s="144">
        <f>IF(E285=1,0,NA())</f>
        <v>0</v>
      </c>
      <c r="P285" s="144">
        <f>IF(E285=1,D285,NA())</f>
        <v>3</v>
      </c>
      <c r="Q285" s="144" t="e">
        <f>IF(E285=2,0,NA())</f>
        <v>#N/A</v>
      </c>
      <c r="R285" s="144" t="e">
        <f>IF(E285=2,D285,NA())</f>
        <v>#N/A</v>
      </c>
    </row>
    <row r="286"/>
    <row r="287"/>
    <row r="288">
      <c r="A288" s="59" t="inlineStr">
        <is>
          <t xml:space="preserve">Radius plane on “Hyperspheres (Step 1)” — x = r(Sᵢ), y = z(Sᵢ, k); d is constant along every line through the origin</t>
        </is>
      </c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</row>
    <row r="289" ht="30" customHeight="1">
      <c r="A289" s="147" t="inlineStr">
        <is>
          <t xml:space="preserve">Sᵢ</t>
        </is>
      </c>
      <c r="B289" s="147" t="inlineStr">
        <is>
          <t xml:space="preserve">r(Sᵢ)</t>
        </is>
      </c>
      <c r="C289" s="147" t="inlineStr">
        <is>
          <t xml:space="preserve">z(Sᵢ, k)</t>
        </is>
      </c>
      <c r="D289" s="147" t="inlineStr">
        <is>
          <t xml:space="preserve">Class</t>
        </is>
      </c>
      <c r="E289" s="147" t="inlineStr">
        <is>
          <t xml:space="preserve">Queue position</t>
        </is>
      </c>
      <c r="F289" s="147" t="inlineStr">
        <is>
          <t xml:space="preserve">K1 · x</t>
        </is>
      </c>
      <c r="G289" s="147" t="inlineStr">
        <is>
          <t xml:space="preserve">y</t>
        </is>
      </c>
      <c r="H289" s="147" t="inlineStr">
        <is>
          <t xml:space="preserve">K2 · x</t>
        </is>
      </c>
      <c r="I289" s="147" t="inlineStr">
        <is>
          <t xml:space="preserve">y</t>
        </is>
      </c>
      <c r="J289" s="147" t="inlineStr">
        <is>
          <t xml:space="preserve">First object at this point</t>
        </is>
      </c>
      <c r="K289" s="147" t="inlineStr">
        <is>
          <t xml:space="preserve">Label (all objects at the point)</t>
        </is>
      </c>
      <c r="L289" s="147" t="inlineStr">
        <is>
          <t xml:space="preserve">Label x</t>
        </is>
      </c>
      <c r="M289" s="147" t="inlineStr">
        <is>
          <t xml:space="preserve">Label y</t>
        </is>
      </c>
      <c r="O289" s="147" t="inlineStr">
        <is>
          <t xml:space="preserve">Line</t>
        </is>
      </c>
      <c r="P289" s="147" t="inlineStr">
        <is>
          <t xml:space="preserve">z / r</t>
        </is>
      </c>
      <c r="Q289" s="147" t="inlineStr">
        <is>
          <t xml:space="preserve">x</t>
        </is>
      </c>
      <c r="R289" s="147" t="inlineStr">
        <is>
          <t xml:space="preserve">y</t>
        </is>
      </c>
      <c r="T289" s="147" t="inlineStr">
        <is>
          <t xml:space="preserve">Line label</t>
        </is>
      </c>
      <c r="U289" s="147" t="inlineStr">
        <is>
          <t xml:space="preserve">x</t>
        </is>
      </c>
      <c r="V289" s="147" t="inlineStr">
        <is>
          <t xml:space="preserve">y</t>
        </is>
      </c>
    </row>
    <row r="290">
      <c r="A290" s="62" t="inlineStr">
        <is>
          <t xml:space="preserve">S₁</t>
        </is>
      </c>
      <c r="B290" s="144">
        <f>'ERDR Characteristics'!$D$5</f>
        <v>5.60708061</v>
      </c>
      <c r="C290" s="144">
        <f>'ERDR Characteristics'!$H$5</f>
        <v>5.60708061</v>
      </c>
      <c r="D290" s="68">
        <f>'Dataset'!$P$5</f>
        <v>2</v>
      </c>
      <c r="E290" s="146">
        <f>'ERDR Characteristics'!$K$5</f>
        <v>1</v>
      </c>
      <c r="F290" s="144" t="e">
        <f>IF(D290=1,B290,NA())</f>
        <v>#N/A</v>
      </c>
      <c r="G290" s="144" t="e">
        <f>IF(D290=1,C290,NA())</f>
        <v>#N/A</v>
      </c>
      <c r="H290" s="144">
        <f>IF(D290=2,B290,NA())</f>
        <v>5.60708061</v>
      </c>
      <c r="I290" s="144">
        <f>IF(D290=2,C290,NA())</f>
        <v>5.60708061</v>
      </c>
      <c r="J290" s="146">
        <f>IF(SUMPRODUCT(($B$290:$B$296=B290)*($C$290:$C$296=C290)*(ROW($B$290:$B$296)&lt;ROW(B290)))=0,1,0)</f>
        <v>1</v>
      </c>
      <c r="K290" s="145" t="str">
        <f>MID(IF(AND($B$290=B290,$C$290=C290),", "&amp;$A$290&amp;" ("&amp;$E$290&amp;")","")&amp;IF(AND($B$291=B290,$C$291=C290),", "&amp;$A$291&amp;" ("&amp;$E$291&amp;")","")&amp;IF(AND($B$292=B290,$C$292=C290),", "&amp;$A$292&amp;" ("&amp;$E$292&amp;")","")&amp;IF(AND($B$293=B290,$C$293=C290),", "&amp;$A$293&amp;" ("&amp;$E$293&amp;")","")&amp;IF(AND($B$294=B290,$C$294=C290),", "&amp;$A$294&amp;" ("&amp;$E$294&amp;")","")&amp;IF(AND($B$295=B290,$C$295=C290),", "&amp;$A$295&amp;" ("&amp;$E$295&amp;")","")&amp;IF(AND($B$296=B290,$C$296=C290),", "&amp;$A$296&amp;" ("&amp;$E$296&amp;")",""),3,200)</f>
        <v>S₁ (1), S₃ (2)</v>
      </c>
      <c r="L290" s="144">
        <f>IF(J290=1,B290,NA())</f>
        <v>5.60708061</v>
      </c>
      <c r="M290" s="144">
        <f>IF(J290=1,C290+0,NA())</f>
        <v>5.60708061</v>
      </c>
      <c r="O290" s="145" t="inlineStr">
        <is>
          <t xml:space="preserve">d = 0  (z = r)</t>
        </is>
      </c>
      <c r="P290" s="144">
        <f>1</f>
        <v>1</v>
      </c>
      <c r="Q290" s="144">
        <v>0</v>
      </c>
      <c r="R290" s="144">
        <v>0</v>
      </c>
      <c r="T290" s="145" t="inlineStr">
        <is>
          <t xml:space="preserve">d = 0</t>
        </is>
      </c>
      <c r="U290" s="144">
        <f>Q291</f>
        <v>8.366366278928</v>
      </c>
      <c r="V290" s="144">
        <f>R291</f>
        <v>8.366366278928</v>
      </c>
    </row>
    <row r="291">
      <c r="A291" s="62" t="inlineStr">
        <is>
          <t xml:space="preserve">S₂</t>
        </is>
      </c>
      <c r="B291" s="144">
        <f>'ERDR Characteristics'!$D$6</f>
        <v>7.4699698919</v>
      </c>
      <c r="C291" s="144">
        <f>'ERDR Characteristics'!$H$6</f>
        <v>6.3691657565</v>
      </c>
      <c r="D291" s="68">
        <f>'Dataset'!$P$6</f>
        <v>2</v>
      </c>
      <c r="E291" s="146">
        <f>'ERDR Characteristics'!$K$6</f>
        <v>4</v>
      </c>
      <c r="F291" s="144" t="e">
        <f>IF(D291=1,B291,NA())</f>
        <v>#N/A</v>
      </c>
      <c r="G291" s="144" t="e">
        <f>IF(D291=1,C291,NA())</f>
        <v>#N/A</v>
      </c>
      <c r="H291" s="144">
        <f>IF(D291=2,B291,NA())</f>
        <v>7.4699698919</v>
      </c>
      <c r="I291" s="144">
        <f>IF(D291=2,C291,NA())</f>
        <v>6.3691657565</v>
      </c>
      <c r="J291" s="146">
        <f>IF(SUMPRODUCT(($B$290:$B$296=B291)*($C$290:$C$296=C291)*(ROW($B$290:$B$296)&lt;ROW(B291)))=0,1,0)</f>
        <v>1</v>
      </c>
      <c r="K291" s="145" t="str">
        <f>MID(IF(AND($B$290=B291,$C$290=C291),", "&amp;$A$290&amp;" ("&amp;$E$290&amp;")","")&amp;IF(AND($B$291=B291,$C$291=C291),", "&amp;$A$291&amp;" ("&amp;$E$291&amp;")","")&amp;IF(AND($B$292=B291,$C$292=C291),", "&amp;$A$292&amp;" ("&amp;$E$292&amp;")","")&amp;IF(AND($B$293=B291,$C$293=C291),", "&amp;$A$293&amp;" ("&amp;$E$293&amp;")","")&amp;IF(AND($B$294=B291,$C$294=C291),", "&amp;$A$294&amp;" ("&amp;$E$294&amp;")","")&amp;IF(AND($B$295=B291,$C$295=C291),", "&amp;$A$295&amp;" ("&amp;$E$295&amp;")","")&amp;IF(AND($B$296=B291,$C$296=C291),", "&amp;$A$296&amp;" ("&amp;$E$296&amp;")",""),3,200)</f>
        <v>S₂ (4)</v>
      </c>
      <c r="L291" s="144">
        <f>IF(J291=1,B291,NA())</f>
        <v>7.4699698919</v>
      </c>
      <c r="M291" s="144">
        <f>IF(J291=1,C291+IF(AND(J290=1,ABS(B290-B291)&lt;0.9,ABS(C290-C291)&lt;0.45),IF(C291&gt;=C290,0.4,-0.4),0),NA())</f>
        <v>6.3691657565</v>
      </c>
      <c r="O291" s="145" t="inlineStr">
        <is>
          <t xml:space="preserve">d = 0  (z = r)</t>
        </is>
      </c>
      <c r="P291" s="144">
        <f>1</f>
        <v>1</v>
      </c>
      <c r="Q291" s="144">
        <f>IF(P291&lt;=1,$B$11,$B$11/P291)</f>
        <v>8.366366278928</v>
      </c>
      <c r="R291" s="144">
        <f>IF(P291&lt;=1,$B$11*P291,$B$11)</f>
        <v>8.366366278928</v>
      </c>
      <c r="T291" s="145" t="inlineStr">
        <is>
          <t xml:space="preserve">d = 0.1</t>
        </is>
      </c>
      <c r="U291" s="144">
        <f>Q293</f>
        <v>8.366366278928</v>
      </c>
      <c r="V291" s="144">
        <f>R293</f>
        <v>6.84520877366836</v>
      </c>
    </row>
    <row r="292">
      <c r="A292" s="62" t="inlineStr">
        <is>
          <t xml:space="preserve">S₃</t>
        </is>
      </c>
      <c r="B292" s="144">
        <f>'ERDR Characteristics'!$D$7</f>
        <v>5.60708061</v>
      </c>
      <c r="C292" s="144">
        <f>'ERDR Characteristics'!$H$7</f>
        <v>5.60708061</v>
      </c>
      <c r="D292" s="68">
        <f>'Dataset'!$P$7</f>
        <v>1</v>
      </c>
      <c r="E292" s="146">
        <f>'ERDR Characteristics'!$K$7</f>
        <v>2</v>
      </c>
      <c r="F292" s="144">
        <f>IF(D292=1,B292,NA())</f>
        <v>5.60708061</v>
      </c>
      <c r="G292" s="144">
        <f>IF(D292=1,C292,NA())</f>
        <v>5.60708061</v>
      </c>
      <c r="H292" s="144" t="e">
        <f>IF(D292=2,B292,NA())</f>
        <v>#N/A</v>
      </c>
      <c r="I292" s="144" t="e">
        <f>IF(D292=2,C292,NA())</f>
        <v>#N/A</v>
      </c>
      <c r="J292" s="146">
        <f>IF(SUMPRODUCT(($B$290:$B$296=B292)*($C$290:$C$296=C292)*(ROW($B$290:$B$296)&lt;ROW(B292)))=0,1,0)</f>
        <v>0</v>
      </c>
      <c r="K292" s="145" t="str">
        <f>MID(IF(AND($B$290=B292,$C$290=C292),", "&amp;$A$290&amp;" ("&amp;$E$290&amp;")","")&amp;IF(AND($B$291=B292,$C$291=C292),", "&amp;$A$291&amp;" ("&amp;$E$291&amp;")","")&amp;IF(AND($B$292=B292,$C$292=C292),", "&amp;$A$292&amp;" ("&amp;$E$292&amp;")","")&amp;IF(AND($B$293=B292,$C$293=C292),", "&amp;$A$293&amp;" ("&amp;$E$293&amp;")","")&amp;IF(AND($B$294=B292,$C$294=C292),", "&amp;$A$294&amp;" ("&amp;$E$294&amp;")","")&amp;IF(AND($B$295=B292,$C$295=C292),", "&amp;$A$295&amp;" ("&amp;$E$295&amp;")","")&amp;IF(AND($B$296=B292,$C$296=C292),", "&amp;$A$296&amp;" ("&amp;$E$296&amp;")",""),3,200)</f>
        <v>S₁ (1), S₃ (2)</v>
      </c>
      <c r="L292" s="144" t="e">
        <f>IF(J292=1,B292,NA())</f>
        <v>#N/A</v>
      </c>
      <c r="M292" s="144" t="e">
        <f>IF(J292=1,C292+IF(AND(J290=1,ABS(B290-B292)&lt;0.9,ABS(C290-C292)&lt;0.45),IF(C292&gt;=C290,0.4,-0.4),0)+IF(AND(J291=1,ABS(B291-B292)&lt;0.9,ABS(C291-C292)&lt;0.45),IF(C292&gt;=C291,0.4,-0.4),0),NA())</f>
        <v>#N/A</v>
      </c>
      <c r="O292" s="145" t="inlineStr">
        <is>
          <t xml:space="preserve">d = 0.1  (z &lt; r)</t>
        </is>
      </c>
      <c r="P292" s="144">
        <f>(1-0.1)/(1+0.1)</f>
        <v>0.818181818181818</v>
      </c>
      <c r="Q292" s="144">
        <v>0</v>
      </c>
      <c r="R292" s="144">
        <v>0</v>
      </c>
      <c r="T292" s="145" t="inlineStr">
        <is>
          <t xml:space="preserve">d = 0.1</t>
        </is>
      </c>
      <c r="U292" s="144">
        <f>Q295</f>
        <v>6.84520877366836</v>
      </c>
      <c r="V292" s="144">
        <f>R295</f>
        <v>8.366366278928</v>
      </c>
    </row>
    <row r="293">
      <c r="A293" s="62" t="inlineStr">
        <is>
          <t xml:space="preserve">S₄</t>
        </is>
      </c>
      <c r="B293" s="144">
        <f>'ERDR Characteristics'!$D$8</f>
        <v>3.7071187508</v>
      </c>
      <c r="C293" s="144">
        <f>'ERDR Characteristics'!$H$8</f>
        <v>6.2175670209</v>
      </c>
      <c r="D293" s="68">
        <f>'Dataset'!$P$8</f>
        <v>2</v>
      </c>
      <c r="E293" s="146">
        <f>'ERDR Characteristics'!$K$8</f>
        <v>7</v>
      </c>
      <c r="F293" s="144" t="e">
        <f>IF(D293=1,B293,NA())</f>
        <v>#N/A</v>
      </c>
      <c r="G293" s="144" t="e">
        <f>IF(D293=1,C293,NA())</f>
        <v>#N/A</v>
      </c>
      <c r="H293" s="144">
        <f>IF(D293=2,B293,NA())</f>
        <v>3.7071187508</v>
      </c>
      <c r="I293" s="144">
        <f>IF(D293=2,C293,NA())</f>
        <v>6.2175670209</v>
      </c>
      <c r="J293" s="146">
        <f>IF(SUMPRODUCT(($B$290:$B$296=B293)*($C$290:$C$296=C293)*(ROW($B$290:$B$296)&lt;ROW(B293)))=0,1,0)</f>
        <v>1</v>
      </c>
      <c r="K293" s="145" t="str">
        <f>MID(IF(AND($B$290=B293,$C$290=C293),", "&amp;$A$290&amp;" ("&amp;$E$290&amp;")","")&amp;IF(AND($B$291=B293,$C$291=C293),", "&amp;$A$291&amp;" ("&amp;$E$291&amp;")","")&amp;IF(AND($B$292=B293,$C$292=C293),", "&amp;$A$292&amp;" ("&amp;$E$292&amp;")","")&amp;IF(AND($B$293=B293,$C$293=C293),", "&amp;$A$293&amp;" ("&amp;$E$293&amp;")","")&amp;IF(AND($B$294=B293,$C$294=C293),", "&amp;$A$294&amp;" ("&amp;$E$294&amp;")","")&amp;IF(AND($B$295=B293,$C$295=C293),", "&amp;$A$295&amp;" ("&amp;$E$295&amp;")","")&amp;IF(AND($B$296=B293,$C$296=C293),", "&amp;$A$296&amp;" ("&amp;$E$296&amp;")",""),3,200)</f>
        <v>S₄ (7)</v>
      </c>
      <c r="L293" s="144">
        <f>IF(J293=1,B293,NA())</f>
        <v>3.7071187508</v>
      </c>
      <c r="M293" s="144">
        <f>IF(J293=1,C293+IF(AND(J290=1,ABS(B290-B293)&lt;0.9,ABS(C290-C293)&lt;0.45),IF(C293&gt;=C290,0.4,-0.4),0)+IF(AND(J291=1,ABS(B291-B293)&lt;0.9,ABS(C291-C293)&lt;0.45),IF(C293&gt;=C291,0.4,-0.4),0)+IF(AND(J292=1,ABS(B292-B293)&lt;0.9,ABS(C292-C293)&lt;0.45),IF(C293&gt;=C292,0.4,-0.4),0),NA())</f>
        <v>6.2175670209</v>
      </c>
      <c r="O293" s="145" t="inlineStr">
        <is>
          <t xml:space="preserve">d = 0.1  (z &lt; r)</t>
        </is>
      </c>
      <c r="P293" s="144">
        <f>(1-0.1)/(1+0.1)</f>
        <v>0.818181818181818</v>
      </c>
      <c r="Q293" s="144">
        <f>IF(P293&lt;=1,$B$11,$B$11/P293)</f>
        <v>8.366366278928</v>
      </c>
      <c r="R293" s="144">
        <f>IF(P293&lt;=1,$B$11*P293,$B$11)</f>
        <v>6.84520877366836</v>
      </c>
      <c r="T293" s="145" t="inlineStr">
        <is>
          <t xml:space="preserve">d = 0.2</t>
        </is>
      </c>
      <c r="U293" s="144">
        <f>Q297</f>
        <v>8.366366278928</v>
      </c>
      <c r="V293" s="144">
        <f>R297</f>
        <v>5.57757751928533</v>
      </c>
    </row>
    <row r="294">
      <c r="A294" s="62" t="inlineStr">
        <is>
          <t xml:space="preserve">S₅</t>
        </is>
      </c>
      <c r="B294" s="144">
        <f>'ERDR Characteristics'!$D$9</f>
        <v>7.1117040273</v>
      </c>
      <c r="C294" s="144">
        <f>'ERDR Characteristics'!$H$9</f>
        <v>7.1117040273</v>
      </c>
      <c r="D294" s="68">
        <f>'Dataset'!$P$9</f>
        <v>2</v>
      </c>
      <c r="E294" s="146">
        <f>'ERDR Characteristics'!$K$9</f>
        <v>3</v>
      </c>
      <c r="F294" s="144" t="e">
        <f>IF(D294=1,B294,NA())</f>
        <v>#N/A</v>
      </c>
      <c r="G294" s="144" t="e">
        <f>IF(D294=1,C294,NA())</f>
        <v>#N/A</v>
      </c>
      <c r="H294" s="144">
        <f>IF(D294=2,B294,NA())</f>
        <v>7.1117040273</v>
      </c>
      <c r="I294" s="144">
        <f>IF(D294=2,C294,NA())</f>
        <v>7.1117040273</v>
      </c>
      <c r="J294" s="146">
        <f>IF(SUMPRODUCT(($B$290:$B$296=B294)*($C$290:$C$296=C294)*(ROW($B$290:$B$296)&lt;ROW(B294)))=0,1,0)</f>
        <v>1</v>
      </c>
      <c r="K294" s="145" t="str">
        <f>MID(IF(AND($B$290=B294,$C$290=C294),", "&amp;$A$290&amp;" ("&amp;$E$290&amp;")","")&amp;IF(AND($B$291=B294,$C$291=C294),", "&amp;$A$291&amp;" ("&amp;$E$291&amp;")","")&amp;IF(AND($B$292=B294,$C$292=C294),", "&amp;$A$292&amp;" ("&amp;$E$292&amp;")","")&amp;IF(AND($B$293=B294,$C$293=C294),", "&amp;$A$293&amp;" ("&amp;$E$293&amp;")","")&amp;IF(AND($B$294=B294,$C$294=C294),", "&amp;$A$294&amp;" ("&amp;$E$294&amp;")","")&amp;IF(AND($B$295=B294,$C$295=C294),", "&amp;$A$295&amp;" ("&amp;$E$295&amp;")","")&amp;IF(AND($B$296=B294,$C$296=C294),", "&amp;$A$296&amp;" ("&amp;$E$296&amp;")",""),3,200)</f>
        <v>S₅ (3)</v>
      </c>
      <c r="L294" s="144">
        <f>IF(J294=1,B294,NA())</f>
        <v>7.1117040273</v>
      </c>
      <c r="M294" s="144">
        <f>IF(J294=1,C294+IF(AND(J290=1,ABS(B290-B294)&lt;0.9,ABS(C290-C294)&lt;0.45),IF(C294&gt;=C290,0.4,-0.4),0)+IF(AND(J291=1,ABS(B291-B294)&lt;0.9,ABS(C291-C294)&lt;0.45),IF(C294&gt;=C291,0.4,-0.4),0)+IF(AND(J292=1,ABS(B292-B294)&lt;0.9,ABS(C292-C294)&lt;0.45),IF(C294&gt;=C292,0.4,-0.4),0)+IF(AND(J293=1,ABS(B293-B294)&lt;0.9,ABS(C293-C294)&lt;0.45),IF(C294&gt;=C293,0.4,-0.4),0),NA())</f>
        <v>7.1117040273</v>
      </c>
      <c r="O294" s="145" t="inlineStr">
        <is>
          <t xml:space="preserve">d = 0.1  (z &gt; r)</t>
        </is>
      </c>
      <c r="P294" s="144">
        <f>(1+0.1)/(1-0.1)</f>
        <v>1.22222222222222</v>
      </c>
      <c r="Q294" s="144">
        <v>0</v>
      </c>
      <c r="R294" s="144">
        <v>0</v>
      </c>
      <c r="T294" s="145" t="inlineStr">
        <is>
          <t xml:space="preserve">d = 0.2</t>
        </is>
      </c>
      <c r="U294" s="144">
        <f>Q299</f>
        <v>5.57757751928533</v>
      </c>
      <c r="V294" s="144">
        <f>R299</f>
        <v>8.366366278928</v>
      </c>
    </row>
    <row r="295">
      <c r="A295" s="62" t="inlineStr">
        <is>
          <t xml:space="preserve">S₆</t>
        </is>
      </c>
      <c r="B295" s="144">
        <f>'ERDR Characteristics'!$D$10</f>
        <v>3.7071187508</v>
      </c>
      <c r="C295" s="144">
        <f>'ERDR Characteristics'!$H$10</f>
        <v>5.2172783643</v>
      </c>
      <c r="D295" s="68">
        <f>'Dataset'!$P$10</f>
        <v>1</v>
      </c>
      <c r="E295" s="146">
        <f>'ERDR Characteristics'!$K$10</f>
        <v>6</v>
      </c>
      <c r="F295" s="144">
        <f>IF(D295=1,B295,NA())</f>
        <v>3.7071187508</v>
      </c>
      <c r="G295" s="144">
        <f>IF(D295=1,C295,NA())</f>
        <v>5.2172783643</v>
      </c>
      <c r="H295" s="144" t="e">
        <f>IF(D295=2,B295,NA())</f>
        <v>#N/A</v>
      </c>
      <c r="I295" s="144" t="e">
        <f>IF(D295=2,C295,NA())</f>
        <v>#N/A</v>
      </c>
      <c r="J295" s="146">
        <f>IF(SUMPRODUCT(($B$290:$B$296=B295)*($C$290:$C$296=C295)*(ROW($B$290:$B$296)&lt;ROW(B295)))=0,1,0)</f>
        <v>1</v>
      </c>
      <c r="K295" s="145" t="str">
        <f>MID(IF(AND($B$290=B295,$C$290=C295),", "&amp;$A$290&amp;" ("&amp;$E$290&amp;")","")&amp;IF(AND($B$291=B295,$C$291=C295),", "&amp;$A$291&amp;" ("&amp;$E$291&amp;")","")&amp;IF(AND($B$292=B295,$C$292=C295),", "&amp;$A$292&amp;" ("&amp;$E$292&amp;")","")&amp;IF(AND($B$293=B295,$C$293=C295),", "&amp;$A$293&amp;" ("&amp;$E$293&amp;")","")&amp;IF(AND($B$294=B295,$C$294=C295),", "&amp;$A$294&amp;" ("&amp;$E$294&amp;")","")&amp;IF(AND($B$295=B295,$C$295=C295),", "&amp;$A$295&amp;" ("&amp;$E$295&amp;")","")&amp;IF(AND($B$296=B295,$C$296=C295),", "&amp;$A$296&amp;" ("&amp;$E$296&amp;")",""),3,200)</f>
        <v>S₆ (6)</v>
      </c>
      <c r="L295" s="144">
        <f>IF(J295=1,B295,NA())</f>
        <v>3.7071187508</v>
      </c>
      <c r="M295" s="144">
        <f>IF(J295=1,C295+IF(AND(J290=1,ABS(B290-B295)&lt;0.9,ABS(C290-C295)&lt;0.45),IF(C295&gt;=C290,0.4,-0.4),0)+IF(AND(J291=1,ABS(B291-B295)&lt;0.9,ABS(C291-C295)&lt;0.45),IF(C295&gt;=C291,0.4,-0.4),0)+IF(AND(J292=1,ABS(B292-B295)&lt;0.9,ABS(C292-C295)&lt;0.45),IF(C295&gt;=C292,0.4,-0.4),0)+IF(AND(J293=1,ABS(B293-B295)&lt;0.9,ABS(C293-C295)&lt;0.45),IF(C295&gt;=C293,0.4,-0.4),0)+IF(AND(J294=1,ABS(B294-B295)&lt;0.9,ABS(C294-C295)&lt;0.45),IF(C295&gt;=C294,0.4,-0.4),0),NA())</f>
        <v>5.2172783643</v>
      </c>
      <c r="O295" s="145" t="inlineStr">
        <is>
          <t xml:space="preserve">d = 0.1  (z &gt; r)</t>
        </is>
      </c>
      <c r="P295" s="144">
        <f>(1+0.1)/(1-0.1)</f>
        <v>1.22222222222222</v>
      </c>
      <c r="Q295" s="144">
        <f>IF(P295&lt;=1,$B$11,$B$11/P295)</f>
        <v>6.84520877366836</v>
      </c>
      <c r="R295" s="144">
        <f>IF(P295&lt;=1,$B$11*P295,$B$11)</f>
        <v>8.366366278928</v>
      </c>
      <c r="T295" s="145" t="inlineStr">
        <is>
          <t xml:space="preserve">d = 0.3</t>
        </is>
      </c>
      <c r="U295" s="144">
        <f>Q301</f>
        <v>8.366366278928</v>
      </c>
      <c r="V295" s="144">
        <f>R301</f>
        <v>4.50496645788431</v>
      </c>
    </row>
    <row r="296">
      <c r="A296" s="62" t="inlineStr">
        <is>
          <t xml:space="preserve">S₇</t>
        </is>
      </c>
      <c r="B296" s="144">
        <f>'ERDR Characteristics'!$D$11</f>
        <v>3.9109813746</v>
      </c>
      <c r="C296" s="144">
        <f>'ERDR Characteristics'!$H$11</f>
        <v>5.0314314939</v>
      </c>
      <c r="D296" s="68">
        <f>'Dataset'!$P$11</f>
        <v>1</v>
      </c>
      <c r="E296" s="146">
        <f>'ERDR Characteristics'!$K$11</f>
        <v>5</v>
      </c>
      <c r="F296" s="144">
        <f>IF(D296=1,B296,NA())</f>
        <v>3.9109813746</v>
      </c>
      <c r="G296" s="144">
        <f>IF(D296=1,C296,NA())</f>
        <v>5.0314314939</v>
      </c>
      <c r="H296" s="144" t="e">
        <f>IF(D296=2,B296,NA())</f>
        <v>#N/A</v>
      </c>
      <c r="I296" s="144" t="e">
        <f>IF(D296=2,C296,NA())</f>
        <v>#N/A</v>
      </c>
      <c r="J296" s="146">
        <f>IF(SUMPRODUCT(($B$290:$B$296=B296)*($C$290:$C$296=C296)*(ROW($B$290:$B$296)&lt;ROW(B296)))=0,1,0)</f>
        <v>1</v>
      </c>
      <c r="K296" s="145" t="str">
        <f>MID(IF(AND($B$290=B296,$C$290=C296),", "&amp;$A$290&amp;" ("&amp;$E$290&amp;")","")&amp;IF(AND($B$291=B296,$C$291=C296),", "&amp;$A$291&amp;" ("&amp;$E$291&amp;")","")&amp;IF(AND($B$292=B296,$C$292=C296),", "&amp;$A$292&amp;" ("&amp;$E$292&amp;")","")&amp;IF(AND($B$293=B296,$C$293=C296),", "&amp;$A$293&amp;" ("&amp;$E$293&amp;")","")&amp;IF(AND($B$294=B296,$C$294=C296),", "&amp;$A$294&amp;" ("&amp;$E$294&amp;")","")&amp;IF(AND($B$295=B296,$C$295=C296),", "&amp;$A$295&amp;" ("&amp;$E$295&amp;")","")&amp;IF(AND($B$296=B296,$C$296=C296),", "&amp;$A$296&amp;" ("&amp;$E$296&amp;")",""),3,200)</f>
        <v>S₇ (5)</v>
      </c>
      <c r="L296" s="144">
        <f>IF(J296=1,B296,NA())</f>
        <v>3.9109813746</v>
      </c>
      <c r="M296" s="144">
        <f>IF(J296=1,C296+IF(AND(J290=1,ABS(B290-B296)&lt;0.9,ABS(C290-C296)&lt;0.45),IF(C296&gt;=C290,0.4,-0.4),0)+IF(AND(J291=1,ABS(B291-B296)&lt;0.9,ABS(C291-C296)&lt;0.45),IF(C296&gt;=C291,0.4,-0.4),0)+IF(AND(J292=1,ABS(B292-B296)&lt;0.9,ABS(C292-C296)&lt;0.45),IF(C296&gt;=C292,0.4,-0.4),0)+IF(AND(J293=1,ABS(B293-B296)&lt;0.9,ABS(C293-C296)&lt;0.45),IF(C296&gt;=C293,0.4,-0.4),0)+IF(AND(J294=1,ABS(B294-B296)&lt;0.9,ABS(C294-C296)&lt;0.45),IF(C296&gt;=C294,0.4,-0.4),0)+IF(AND(J295=1,ABS(B295-B296)&lt;0.9,ABS(C295-C296)&lt;0.45),IF(C296&gt;=C295,0.4,-0.4),0),NA())</f>
        <v>4.6314314939</v>
      </c>
      <c r="O296" s="145" t="inlineStr">
        <is>
          <t xml:space="preserve">d = 0.2  (z &lt; r)</t>
        </is>
      </c>
      <c r="P296" s="144">
        <f>(1-0.2)/(1+0.2)</f>
        <v>0.666666666666667</v>
      </c>
      <c r="Q296" s="144">
        <v>0</v>
      </c>
      <c r="R296" s="144">
        <v>0</v>
      </c>
      <c r="T296" s="145" t="inlineStr">
        <is>
          <t xml:space="preserve">d = 0.3</t>
        </is>
      </c>
      <c r="U296" s="144">
        <f>Q303</f>
        <v>4.50496645788431</v>
      </c>
      <c r="V296" s="144">
        <f>R303</f>
        <v>8.366366278928</v>
      </c>
    </row>
    <row r="297">
      <c r="O297" s="145" t="inlineStr">
        <is>
          <t xml:space="preserve">d = 0.2  (z &lt; r)</t>
        </is>
      </c>
      <c r="P297" s="144">
        <f>(1-0.2)/(1+0.2)</f>
        <v>0.666666666666667</v>
      </c>
      <c r="Q297" s="144">
        <f>IF(P297&lt;=1,$B$11,$B$11/P297)</f>
        <v>8.366366278928</v>
      </c>
      <c r="R297" s="144">
        <f>IF(P297&lt;=1,$B$11*P297,$B$11)</f>
        <v>5.57757751928533</v>
      </c>
    </row>
    <row r="298">
      <c r="O298" s="145" t="inlineStr">
        <is>
          <t xml:space="preserve">d = 0.2  (z &gt; r)</t>
        </is>
      </c>
      <c r="P298" s="144">
        <f>(1+0.2)/(1-0.2)</f>
        <v>1.5</v>
      </c>
      <c r="Q298" s="144">
        <v>0</v>
      </c>
      <c r="R298" s="144">
        <v>0</v>
      </c>
    </row>
    <row r="299">
      <c r="O299" s="145" t="inlineStr">
        <is>
          <t xml:space="preserve">d = 0.2  (z &gt; r)</t>
        </is>
      </c>
      <c r="P299" s="144">
        <f>(1+0.2)/(1-0.2)</f>
        <v>1.5</v>
      </c>
      <c r="Q299" s="144">
        <f>IF(P299&lt;=1,$B$11,$B$11/P299)</f>
        <v>5.57757751928533</v>
      </c>
      <c r="R299" s="144">
        <f>IF(P299&lt;=1,$B$11*P299,$B$11)</f>
        <v>8.366366278928</v>
      </c>
    </row>
    <row r="300">
      <c r="O300" s="145" t="inlineStr">
        <is>
          <t xml:space="preserve">d = 0.3  (z &lt; r)</t>
        </is>
      </c>
      <c r="P300" s="144">
        <f>(1-0.3)/(1+0.3)</f>
        <v>0.538461538461538</v>
      </c>
      <c r="Q300" s="144">
        <v>0</v>
      </c>
      <c r="R300" s="144">
        <v>0</v>
      </c>
    </row>
    <row r="301">
      <c r="O301" s="145" t="inlineStr">
        <is>
          <t xml:space="preserve">d = 0.3  (z &lt; r)</t>
        </is>
      </c>
      <c r="P301" s="144">
        <f>(1-0.3)/(1+0.3)</f>
        <v>0.538461538461538</v>
      </c>
      <c r="Q301" s="144">
        <f>IF(P301&lt;=1,$B$11,$B$11/P301)</f>
        <v>8.366366278928</v>
      </c>
      <c r="R301" s="144">
        <f>IF(P301&lt;=1,$B$11*P301,$B$11)</f>
        <v>4.50496645788431</v>
      </c>
    </row>
    <row r="302">
      <c r="O302" s="145" t="inlineStr">
        <is>
          <t xml:space="preserve">d = 0.3  (z &gt; r)</t>
        </is>
      </c>
      <c r="P302" s="144">
        <f>(1+0.3)/(1-0.3)</f>
        <v>1.85714285714286</v>
      </c>
      <c r="Q302" s="144">
        <v>0</v>
      </c>
      <c r="R302" s="144">
        <v>0</v>
      </c>
    </row>
    <row r="303">
      <c r="O303" s="145" t="inlineStr">
        <is>
          <t xml:space="preserve">d = 0.3  (z &gt; r)</t>
        </is>
      </c>
      <c r="P303" s="144">
        <f>(1+0.3)/(1-0.3)</f>
        <v>1.85714285714286</v>
      </c>
      <c r="Q303" s="144">
        <f>IF(P303&lt;=1,$B$11,$B$11/P303)</f>
        <v>4.50496645788431</v>
      </c>
      <c r="R303" s="144">
        <f>IF(P303&lt;=1,$B$11*P303,$B$11)</f>
        <v>8.366366278928</v>
      </c>
    </row>
    <row r="304"/>
    <row r="305"/>
    <row r="306"/>
    <row r="307">
      <c r="A307" s="59" t="inlineStr">
        <is>
          <t xml:space="preserve">Iteration 1 · diagram on “Hyperspheres (Iterations)” — centre = the selected Sᵢ; every own-class object carries its enemy sphere (radius r(Sⱼ)) around its own position</t>
        </is>
      </c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/>
      <c r="AH307" s="59"/>
      <c r="AI307" s="59"/>
      <c r="AJ307" s="59"/>
      <c r="AK307" s="59"/>
      <c r="AL307" s="59"/>
      <c r="AM307" s="59"/>
      <c r="AN307" s="59"/>
      <c r="AO307" s="59"/>
      <c r="AP307" s="59"/>
      <c r="AQ307" s="59"/>
      <c r="AR307" s="59"/>
      <c r="AS307" s="59"/>
      <c r="AT307" s="59"/>
      <c r="AU307" s="59"/>
      <c r="AV307" s="59"/>
      <c r="AW307" s="59"/>
      <c r="AX307" s="59"/>
      <c r="AY307" s="59"/>
      <c r="AZ307" s="59"/>
      <c r="BA307" s="59"/>
      <c r="BB307" s="59"/>
      <c r="BC307" s="59"/>
      <c r="BD307" s="59"/>
      <c r="BE307" s="59"/>
      <c r="BF307" s="59"/>
      <c r="BG307" s="59"/>
      <c r="BH307" s="59"/>
      <c r="BI307" s="59"/>
      <c r="BJ307" s="59"/>
      <c r="BK307" s="59"/>
      <c r="BL307" s="59"/>
      <c r="BM307" s="59"/>
      <c r="BN307" s="59"/>
      <c r="BO307" s="59"/>
      <c r="BP307" s="59"/>
    </row>
    <row r="308">
      <c r="A308" s="63" t="inlineStr">
        <is>
          <t xml:space="preserve">Chart title</t>
        </is>
      </c>
      <c r="B308" s="145" t="str">
        <f>IF($Q$308=0,"Iteration 1  ·  queue empty → Step 6 (stop)","Iteration 1  ·  Sᵢ = "&amp;'ERDR Iterations'!$K$10&amp;"  ·  L = "&amp;'ERDR Iterations'!$K$13&amp;"  ·  "&amp;'ERDR Iterations'!$K$15)</f>
        <v>Iteration 1  ·  Sᵢ = S₁  ·  L = {S₁, S₂, S₅}  ·  |L| &gt; 1 → Step 5 corrects g</v>
      </c>
      <c r="P308" s="63" t="inlineStr">
        <is>
          <t xml:space="preserve">Selected</t>
        </is>
      </c>
      <c r="Q308" s="146">
        <f>'ERDR Iterations'!$K$9</f>
        <v>1</v>
      </c>
      <c r="S308" s="63" t="inlineStr">
        <is>
          <t xml:space="preserve">Box centre x</t>
        </is>
      </c>
      <c r="T308" s="144">
        <f>IF($Q$308=0,0,(MIN(O310:O316)+MAX(P310:P316))/2)</f>
        <v>0.935561025963165</v>
      </c>
      <c r="V308" s="63" t="inlineStr">
        <is>
          <t xml:space="preserve">Box centre y</t>
        </is>
      </c>
      <c r="W308" s="144">
        <f>IF($Q$308=0,0,(MIN(Q310:Q316)+MAX(R310:R316))/2)</f>
        <v>2.554927676975</v>
      </c>
      <c r="Y308" s="63" t="inlineStr">
        <is>
          <t xml:space="preserve">Half side</t>
        </is>
      </c>
      <c r="Z308" s="144">
        <f>IF($Q$308=0,1,$B$8*MAX(MAX(P310:P316)-MIN(O310:O316),MAX(R310:R316)-MIN(Q310:Q316))/2)</f>
        <v>11.9393155183673</v>
      </c>
    </row>
    <row r="309" ht="44" customHeight="1">
      <c r="A309" s="147" t="inlineStr">
        <is>
          <t xml:space="preserve">Sⱼ</t>
        </is>
      </c>
      <c r="B309" s="147" t="inlineStr">
        <is>
          <t xml:space="preserve">Class</t>
        </is>
      </c>
      <c r="C309" s="147" t="inlineStr">
        <is>
          <t xml:space="preserve">In F before</t>
        </is>
      </c>
      <c r="D309" s="147" t="inlineStr">
        <is>
          <t xml:space="preserve">Own class of Sᵢ</t>
        </is>
      </c>
      <c r="E309" s="147" t="inlineStr">
        <is>
          <t xml:space="preserve">Centre (= Sᵢ)</t>
        </is>
      </c>
      <c r="F309" s="147" t="inlineStr">
        <is>
          <t xml:space="preserve">Rank around Sᵢ</t>
        </is>
      </c>
      <c r="G309" s="147" t="inlineStr">
        <is>
          <t xml:space="preserve">ρ(Sⱼ, Sᵢ)</t>
        </is>
      </c>
      <c r="H309" s="147" t="inlineStr">
        <is>
          <t xml:space="preserve">r(Sⱼ)</t>
        </is>
      </c>
      <c r="I309" s="147" t="inlineStr">
        <is>
          <t xml:space="preserve">Own-class sphere drawn</t>
        </is>
      </c>
      <c r="J309" s="147" t="inlineStr">
        <is>
          <t xml:space="preserve">Angle θ</t>
        </is>
      </c>
      <c r="K309" s="147" t="inlineStr">
        <is>
          <t xml:space="preserve">px = ρ·cos θ</t>
        </is>
      </c>
      <c r="L309" s="147" t="inlineStr">
        <is>
          <t xml:space="preserve">py = ρ·sin θ</t>
        </is>
      </c>
      <c r="M309" s="147" t="inlineStr">
        <is>
          <t xml:space="preserve">x (fitted)</t>
        </is>
      </c>
      <c r="N309" s="147" t="inlineStr">
        <is>
          <t xml:space="preserve">y (fitted)</t>
        </is>
      </c>
      <c r="O309" s="147" t="inlineStr">
        <is>
          <t xml:space="preserve">Box x min</t>
        </is>
      </c>
      <c r="P309" s="147" t="inlineStr">
        <is>
          <t xml:space="preserve">Box x max</t>
        </is>
      </c>
      <c r="Q309" s="147" t="inlineStr">
        <is>
          <t xml:space="preserve">Box y min</t>
        </is>
      </c>
      <c r="R309" s="147" t="inlineStr">
        <is>
          <t xml:space="preserve">Box y max</t>
        </is>
      </c>
      <c r="S309" s="147" t="inlineStr">
        <is>
          <t xml:space="preserve">Sⱼ ∈ L</t>
        </is>
      </c>
      <c r="T309" s="147" t="inlineStr">
        <is>
          <t xml:space="preserve">g before</t>
        </is>
      </c>
      <c r="U309" s="147" t="inlineStr">
        <is>
          <t xml:space="preserve">g after</t>
        </is>
      </c>
      <c r="V309" s="147" t="inlineStr">
        <is>
          <t xml:space="preserve">Counter decreased</t>
        </is>
      </c>
      <c r="W309" s="147" t="inlineStr">
        <is>
          <t xml:space="preserve">Moves to D</t>
        </is>
      </c>
      <c r="X309" s="147" t="inlineStr">
        <is>
          <t xml:space="preserve">K1 in F · x</t>
        </is>
      </c>
      <c r="Y309" s="147" t="inlineStr">
        <is>
          <t xml:space="preserve">y</t>
        </is>
      </c>
      <c r="Z309" s="147" t="inlineStr">
        <is>
          <t xml:space="preserve">K1 in D · x</t>
        </is>
      </c>
      <c r="AA309" s="147" t="inlineStr">
        <is>
          <t xml:space="preserve">y</t>
        </is>
      </c>
      <c r="AB309" s="147" t="inlineStr">
        <is>
          <t xml:space="preserve">K2 in F · x</t>
        </is>
      </c>
      <c r="AC309" s="147" t="inlineStr">
        <is>
          <t xml:space="preserve">y</t>
        </is>
      </c>
      <c r="AD309" s="147" t="inlineStr">
        <is>
          <t xml:space="preserve">K2 in D · x</t>
        </is>
      </c>
      <c r="AE309" s="147" t="inlineStr">
        <is>
          <t xml:space="preserve">y</t>
        </is>
      </c>
      <c r="AF309" s="147" t="inlineStr">
        <is>
          <t xml:space="preserve">Centre K1 · x</t>
        </is>
      </c>
      <c r="AG309" s="147" t="inlineStr">
        <is>
          <t xml:space="preserve">y</t>
        </is>
      </c>
      <c r="AH309" s="147" t="inlineStr">
        <is>
          <t xml:space="preserve">Centre K2 · x</t>
        </is>
      </c>
      <c r="AI309" s="147" t="inlineStr">
        <is>
          <t xml:space="preserve">y</t>
        </is>
      </c>
      <c r="AJ309" s="147" t="inlineStr">
        <is>
          <t xml:space="preserve">Label text</t>
        </is>
      </c>
      <c r="AN309" s="147" t="inlineStr">
        <is>
          <t xml:space="preserve">k</t>
        </is>
      </c>
      <c r="AO309" s="147" t="inlineStr">
        <is>
          <t xml:space="preserve">S₁ sphere · x</t>
        </is>
      </c>
      <c r="AP309" s="147" t="inlineStr">
        <is>
          <t xml:space="preserve">y · in L</t>
        </is>
      </c>
      <c r="AQ309" s="147" t="inlineStr">
        <is>
          <t xml:space="preserve">y · in F, not in L</t>
        </is>
      </c>
      <c r="AR309" s="147" t="inlineStr">
        <is>
          <t xml:space="preserve">y · in D</t>
        </is>
      </c>
      <c r="AS309" s="147" t="inlineStr">
        <is>
          <t xml:space="preserve">S₂ sphere · x</t>
        </is>
      </c>
      <c r="AT309" s="147" t="inlineStr">
        <is>
          <t xml:space="preserve">y · in L</t>
        </is>
      </c>
      <c r="AU309" s="147" t="inlineStr">
        <is>
          <t xml:space="preserve">y · in F, not in L</t>
        </is>
      </c>
      <c r="AV309" s="147" t="inlineStr">
        <is>
          <t xml:space="preserve">y · in D</t>
        </is>
      </c>
      <c r="AW309" s="147" t="inlineStr">
        <is>
          <t xml:space="preserve">S₃ sphere · x</t>
        </is>
      </c>
      <c r="AX309" s="147" t="inlineStr">
        <is>
          <t xml:space="preserve">y · in L</t>
        </is>
      </c>
      <c r="AY309" s="147" t="inlineStr">
        <is>
          <t xml:space="preserve">y · in F, not in L</t>
        </is>
      </c>
      <c r="AZ309" s="147" t="inlineStr">
        <is>
          <t xml:space="preserve">y · in D</t>
        </is>
      </c>
      <c r="BA309" s="147" t="inlineStr">
        <is>
          <t xml:space="preserve">S₄ sphere · x</t>
        </is>
      </c>
      <c r="BB309" s="147" t="inlineStr">
        <is>
          <t xml:space="preserve">y · in L</t>
        </is>
      </c>
      <c r="BC309" s="147" t="inlineStr">
        <is>
          <t xml:space="preserve">y · in F, not in L</t>
        </is>
      </c>
      <c r="BD309" s="147" t="inlineStr">
        <is>
          <t xml:space="preserve">y · in D</t>
        </is>
      </c>
      <c r="BE309" s="147" t="inlineStr">
        <is>
          <t xml:space="preserve">S₅ sphere · x</t>
        </is>
      </c>
      <c r="BF309" s="147" t="inlineStr">
        <is>
          <t xml:space="preserve">y · in L</t>
        </is>
      </c>
      <c r="BG309" s="147" t="inlineStr">
        <is>
          <t xml:space="preserve">y · in F, not in L</t>
        </is>
      </c>
      <c r="BH309" s="147" t="inlineStr">
        <is>
          <t xml:space="preserve">y · in D</t>
        </is>
      </c>
      <c r="BI309" s="147" t="inlineStr">
        <is>
          <t xml:space="preserve">S₆ sphere · x</t>
        </is>
      </c>
      <c r="BJ309" s="147" t="inlineStr">
        <is>
          <t xml:space="preserve">y · in L</t>
        </is>
      </c>
      <c r="BK309" s="147" t="inlineStr">
        <is>
          <t xml:space="preserve">y · in F, not in L</t>
        </is>
      </c>
      <c r="BL309" s="147" t="inlineStr">
        <is>
          <t xml:space="preserve">y · in D</t>
        </is>
      </c>
      <c r="BM309" s="147" t="inlineStr">
        <is>
          <t xml:space="preserve">S₇ sphere · x</t>
        </is>
      </c>
      <c r="BN309" s="147" t="inlineStr">
        <is>
          <t xml:space="preserve">y · in L</t>
        </is>
      </c>
      <c r="BO309" s="147" t="inlineStr">
        <is>
          <t xml:space="preserve">y · in F, not in L</t>
        </is>
      </c>
      <c r="BP309" s="147" t="inlineStr">
        <is>
          <t xml:space="preserve">y · in D</t>
        </is>
      </c>
    </row>
    <row r="310">
      <c r="A310" s="62" t="inlineStr">
        <is>
          <t xml:space="preserve">S₁</t>
        </is>
      </c>
      <c r="B310" s="68">
        <f>'ERDR Iterations'!B$7</f>
        <v>2</v>
      </c>
      <c r="C310" s="146">
        <f>'ERDR Iterations'!B$8</f>
        <v>1</v>
      </c>
      <c r="D310" s="146">
        <f>'ERDR Iterations'!B$14</f>
        <v>1</v>
      </c>
      <c r="E310" s="146">
        <f>IF($Q$308=1,1,0)</f>
        <v>1</v>
      </c>
      <c r="F310" s="146">
        <f>IF(OR($Q$308=0,E310=1),0,INDEX('Sorted Neighbors'!$B$5:$H$11,$Q$308,1))</f>
        <v>0</v>
      </c>
      <c r="G310" s="144">
        <f>IF($Q$308=0,0,INDEX('Zhuravlev Distances'!$B$5:$H$11,$Q$308,1))</f>
        <v>0</v>
      </c>
      <c r="H310" s="144">
        <f>'ERDR Characteristics'!$D$5</f>
        <v>5.60708061</v>
      </c>
      <c r="I310" s="146">
        <f>D310</f>
        <v>1</v>
      </c>
      <c r="J310" s="144">
        <f>IF(F310=0,0,PI()/2-(F310-1)*$B$6)</f>
        <v>0</v>
      </c>
      <c r="K310" s="144">
        <f>G310*COS(J310)</f>
        <v>0</v>
      </c>
      <c r="L310" s="144">
        <f>G310*SIN(J310)</f>
        <v>0</v>
      </c>
      <c r="M310" s="144">
        <f>IF($Q$308=0,NA(),(K310-$T$308)/$Z$308)</f>
        <v>-0.0783596869120266</v>
      </c>
      <c r="N310" s="144">
        <f>IF($Q$308=0,NA(),(L310-$W$308)/$Z$308)</f>
        <v>-0.213992809976796</v>
      </c>
      <c r="O310" s="144">
        <f>K310-I310*H310</f>
        <v>-5.60708061</v>
      </c>
      <c r="P310" s="144">
        <f>K310+I310*H310</f>
        <v>5.60708061</v>
      </c>
      <c r="Q310" s="144">
        <f>L310-I310*H310</f>
        <v>-5.60708061</v>
      </c>
      <c r="R310" s="144">
        <f>L310+I310*H310</f>
        <v>5.60708061</v>
      </c>
      <c r="S310" s="146">
        <f>'ERDR Iterations'!B$20</f>
        <v>1</v>
      </c>
      <c r="T310" s="146">
        <f>'ERDR Iterations'!B$10</f>
        <v>3</v>
      </c>
      <c r="U310" s="146">
        <f>'ERDR Iterations'!B$23</f>
        <v>2</v>
      </c>
      <c r="V310" s="146">
        <f>'ERDR Iterations'!B$22</f>
        <v>1</v>
      </c>
      <c r="W310" s="146">
        <f>'ERDR Iterations'!B$25</f>
        <v>0</v>
      </c>
      <c r="X310" s="144" t="e">
        <f>IF(AND($Q$308&gt;0,E310=0,B310=1,C310=1),M310,NA())</f>
        <v>#N/A</v>
      </c>
      <c r="Y310" s="144" t="e">
        <f>IF(AND($Q$308&gt;0,E310=0,B310=1,C310=1),N310,NA())</f>
        <v>#N/A</v>
      </c>
      <c r="Z310" s="144" t="e">
        <f>IF(AND($Q$308&gt;0,E310=0,B310=1,C310=0),M310,NA())</f>
        <v>#N/A</v>
      </c>
      <c r="AA310" s="144" t="e">
        <f>IF(AND($Q$308&gt;0,E310=0,B310=1,C310=0),N310,NA())</f>
        <v>#N/A</v>
      </c>
      <c r="AB310" s="144" t="e">
        <f>IF(AND($Q$308&gt;0,E310=0,B310=2,C310=1),M310,NA())</f>
        <v>#N/A</v>
      </c>
      <c r="AC310" s="144" t="e">
        <f>IF(AND($Q$308&gt;0,E310=0,B310=2,C310=1),N310,NA())</f>
        <v>#N/A</v>
      </c>
      <c r="AD310" s="144" t="e">
        <f>IF(AND($Q$308&gt;0,E310=0,B310=2,C310=0),M310,NA())</f>
        <v>#N/A</v>
      </c>
      <c r="AE310" s="144" t="e">
        <f>IF(AND($Q$308&gt;0,E310=0,B310=2,C310=0),N310,NA())</f>
        <v>#N/A</v>
      </c>
      <c r="AF310" s="144" t="e">
        <f>IF(AND(E310=1,B310=1),M310,NA())</f>
        <v>#N/A</v>
      </c>
      <c r="AG310" s="144" t="e">
        <f>IF(AND(E310=1,B310=1),N310,NA())</f>
        <v>#N/A</v>
      </c>
      <c r="AH310" s="144">
        <f>IF(AND(E310=1,B310=2),M310,NA())</f>
        <v>-0.0783596869120266</v>
      </c>
      <c r="AI310" s="144">
        <f>IF(AND(E310=1,B310=2),N310,NA())</f>
        <v>-0.213992809976796</v>
      </c>
      <c r="AJ310" s="145" t="str">
        <f>A310&amp;IF(E310=1," = Sᵢ",IF(C310=0," (in D)",""))&amp;IF(V310=1,"  ·  g "&amp;T310&amp;"→"&amp;U310,"")&amp;IF(W310=1,"  → D","")</f>
        <v>S₁ = Sᵢ  ·  g 3→2</v>
      </c>
      <c r="AN310" s="146">
        <v>0</v>
      </c>
      <c r="AO310" s="144">
        <f>IF($I$310=1,$M$310+$H$310/$Z$308*$L$5,NA())</f>
        <v>0.391271976760327</v>
      </c>
      <c r="AP310" s="144">
        <f>IF($S$310=1,$N$310+$H$310/$Z$308*$M$5,NA())</f>
        <v>-0.213992809976796</v>
      </c>
      <c r="AQ310" s="144" t="e">
        <f>IF(AND($I$310=1,$C$310=1,$S$310=0),$N$310+$H$310/$Z$308*$M$5,NA())</f>
        <v>#N/A</v>
      </c>
      <c r="AR310" s="144" t="e">
        <f>IF(AND($I$310=1,$C$310=0),$N$310+$H$310/$Z$308*$M$5,NA())</f>
        <v>#N/A</v>
      </c>
      <c r="AS310" s="144">
        <f>IF($I$311=1,$M$311+$H$311/$Z$308*$L$5,NA())</f>
        <v>0.547301799327135</v>
      </c>
      <c r="AT310" s="144">
        <f>IF($S$311=1,$N$311+$H$311/$Z$308*$M$5,NA())</f>
        <v>0.17636542056248</v>
      </c>
      <c r="AU310" s="144" t="e">
        <f>IF(AND($I$311=1,$C$311=1,$S$311=0),$N$311+$H$311/$Z$308*$M$5,NA())</f>
        <v>#N/A</v>
      </c>
      <c r="AV310" s="144" t="e">
        <f>IF(AND($I$311=1,$C$311=0),$N$311+$H$311/$Z$308*$M$5,NA())</f>
        <v>#N/A</v>
      </c>
      <c r="AW310" s="144" t="e">
        <f>IF($I$312=1,$M$312+$H$312/$Z$308*$L$5,NA())</f>
        <v>#N/A</v>
      </c>
      <c r="AX310" s="144" t="e">
        <f>IF($S$312=1,$N$312+$H$312/$Z$308*$M$5,NA())</f>
        <v>#N/A</v>
      </c>
      <c r="AY310" s="144" t="e">
        <f>IF(AND($I$312=1,$C$312=1,$S$312=0),$N$312+$H$312/$Z$308*$M$5,NA())</f>
        <v>#N/A</v>
      </c>
      <c r="AZ310" s="144" t="e">
        <f>IF(AND($I$312=1,$C$312=0),$N$312+$H$312/$Z$308*$M$5,NA())</f>
        <v>#N/A</v>
      </c>
      <c r="BA310" s="144">
        <f>IF($I$313=1,$M$313+$H$313/$Z$308*$L$5,NA())</f>
        <v>-0.248571703132133</v>
      </c>
      <c r="BB310" s="144" t="e">
        <f>IF($S$313=1,$N$313+$H$313/$Z$308*$M$5,NA())</f>
        <v>#N/A</v>
      </c>
      <c r="BC310" s="144">
        <f>IF(AND($I$313=1,$C$313=1,$S$313=0),$N$313+$H$313/$Z$308*$M$5,NA())</f>
        <v>-0.491530149672056</v>
      </c>
      <c r="BD310" s="144" t="e">
        <f>IF(AND($I$313=1,$C$313=0),$N$313+$H$313/$Z$308*$M$5,NA())</f>
        <v>#N/A</v>
      </c>
      <c r="BE310" s="144">
        <f>IF($I$314=1,$M$314+$H$314/$Z$308*$L$5,NA())</f>
        <v>0.869565217391304</v>
      </c>
      <c r="BF310" s="144">
        <f>IF($S$314=1,$N$314+$H$314/$Z$308*$M$5,NA())</f>
        <v>-0.010609252727272</v>
      </c>
      <c r="BG310" s="144" t="e">
        <f>IF(AND($I$314=1,$C$314=1,$S$314=0),$N$314+$H$314/$Z$308*$M$5,NA())</f>
        <v>#N/A</v>
      </c>
      <c r="BH310" s="144" t="e">
        <f>IF(AND($I$314=1,$C$314=0),$N$314+$H$314/$Z$308*$M$5,NA())</f>
        <v>#N/A</v>
      </c>
      <c r="BI310" s="144" t="e">
        <f>IF($I$315=1,$M$315+$H$315/$Z$308*$L$5,NA())</f>
        <v>#N/A</v>
      </c>
      <c r="BJ310" s="144" t="e">
        <f>IF($S$315=1,$N$315+$H$315/$Z$308*$M$5,NA())</f>
        <v>#N/A</v>
      </c>
      <c r="BK310" s="144" t="e">
        <f>IF(AND($I$315=1,$C$315=1,$S$315=0),$N$315+$H$315/$Z$308*$M$5,NA())</f>
        <v>#N/A</v>
      </c>
      <c r="BL310" s="144" t="e">
        <f>IF(AND($I$315=1,$C$315=0),$N$315+$H$315/$Z$308*$M$5,NA())</f>
        <v>#N/A</v>
      </c>
      <c r="BM310" s="144" t="e">
        <f>IF($I$316=1,$M$316+$H$316/$Z$308*$L$5,NA())</f>
        <v>#N/A</v>
      </c>
      <c r="BN310" s="144" t="e">
        <f>IF($S$316=1,$N$316+$H$316/$Z$308*$M$5,NA())</f>
        <v>#N/A</v>
      </c>
      <c r="BO310" s="144" t="e">
        <f>IF(AND($I$316=1,$C$316=1,$S$316=0),$N$316+$H$316/$Z$308*$M$5,NA())</f>
        <v>#N/A</v>
      </c>
      <c r="BP310" s="144" t="e">
        <f>IF(AND($I$316=1,$C$316=0),$N$316+$H$316/$Z$308*$M$5,NA())</f>
        <v>#N/A</v>
      </c>
    </row>
    <row r="311">
      <c r="A311" s="62" t="inlineStr">
        <is>
          <t xml:space="preserve">S₂</t>
        </is>
      </c>
      <c r="B311" s="68">
        <f>'ERDR Iterations'!C$7</f>
        <v>2</v>
      </c>
      <c r="C311" s="146">
        <f>'ERDR Iterations'!C$8</f>
        <v>1</v>
      </c>
      <c r="D311" s="146">
        <f>'ERDR Iterations'!C$14</f>
        <v>1</v>
      </c>
      <c r="E311" s="146">
        <f>IF($Q$308=2,1,0)</f>
        <v>0</v>
      </c>
      <c r="F311" s="146">
        <f>IF(OR($Q$308=0,E311=1),0,INDEX('Sorted Neighbors'!$B$5:$H$11,$Q$308,2))</f>
        <v>1</v>
      </c>
      <c r="G311" s="144">
        <f>IF($Q$308=0,0,INDEX('Zhuravlev Distances'!$B$5:$H$11,$Q$308,2))</f>
        <v>4.6606100796</v>
      </c>
      <c r="H311" s="144">
        <f>'ERDR Characteristics'!$D$6</f>
        <v>7.4699698919</v>
      </c>
      <c r="I311" s="146">
        <f>D311</f>
        <v>1</v>
      </c>
      <c r="J311" s="144">
        <f>IF(F311=0,0,PI()/2-(F311-1)*$B$6)</f>
        <v>1.5707963267949</v>
      </c>
      <c r="K311" s="144">
        <f>G311*COS(J311)</f>
        <v>2.85380060802802e-16</v>
      </c>
      <c r="L311" s="144">
        <f>G311*SIN(J311)</f>
        <v>4.6606100796</v>
      </c>
      <c r="M311" s="144">
        <f>IF($Q$308=0,NA(),(K311-$T$308)/$Z$308)</f>
        <v>-0.0783596869120265</v>
      </c>
      <c r="N311" s="144">
        <f>IF($Q$308=0,NA(),(L311-$W$308)/$Z$308)</f>
        <v>0.17636542056248</v>
      </c>
      <c r="O311" s="144">
        <f>K311-I311*H311</f>
        <v>-7.4699698919</v>
      </c>
      <c r="P311" s="144">
        <f>K311+I311*H311</f>
        <v>7.4699698919</v>
      </c>
      <c r="Q311" s="144">
        <f>L311-I311*H311</f>
        <v>-2.8093598123</v>
      </c>
      <c r="R311" s="144">
        <f>L311+I311*H311</f>
        <v>12.1305799715</v>
      </c>
      <c r="S311" s="146">
        <f>'ERDR Iterations'!C$20</f>
        <v>1</v>
      </c>
      <c r="T311" s="146">
        <f>'ERDR Iterations'!C$10</f>
        <v>4</v>
      </c>
      <c r="U311" s="146">
        <f>'ERDR Iterations'!C$23</f>
        <v>3</v>
      </c>
      <c r="V311" s="146">
        <f>'ERDR Iterations'!C$22</f>
        <v>1</v>
      </c>
      <c r="W311" s="146">
        <f>'ERDR Iterations'!C$25</f>
        <v>0</v>
      </c>
      <c r="X311" s="144" t="e">
        <f>IF(AND($Q$308&gt;0,E311=0,B311=1,C311=1),M311,NA())</f>
        <v>#N/A</v>
      </c>
      <c r="Y311" s="144" t="e">
        <f>IF(AND($Q$308&gt;0,E311=0,B311=1,C311=1),N311,NA())</f>
        <v>#N/A</v>
      </c>
      <c r="Z311" s="144" t="e">
        <f>IF(AND($Q$308&gt;0,E311=0,B311=1,C311=0),M311,NA())</f>
        <v>#N/A</v>
      </c>
      <c r="AA311" s="144" t="e">
        <f>IF(AND($Q$308&gt;0,E311=0,B311=1,C311=0),N311,NA())</f>
        <v>#N/A</v>
      </c>
      <c r="AB311" s="144">
        <f>IF(AND($Q$308&gt;0,E311=0,B311=2,C311=1),M311,NA())</f>
        <v>-0.0783596869120265</v>
      </c>
      <c r="AC311" s="144">
        <f>IF(AND($Q$308&gt;0,E311=0,B311=2,C311=1),N311,NA())</f>
        <v>0.17636542056248</v>
      </c>
      <c r="AD311" s="144" t="e">
        <f>IF(AND($Q$308&gt;0,E311=0,B311=2,C311=0),M311,NA())</f>
        <v>#N/A</v>
      </c>
      <c r="AE311" s="144" t="e">
        <f>IF(AND($Q$308&gt;0,E311=0,B311=2,C311=0),N311,NA())</f>
        <v>#N/A</v>
      </c>
      <c r="AF311" s="144" t="e">
        <f>IF(AND(E311=1,B311=1),M311,NA())</f>
        <v>#N/A</v>
      </c>
      <c r="AG311" s="144" t="e">
        <f>IF(AND(E311=1,B311=1),N311,NA())</f>
        <v>#N/A</v>
      </c>
      <c r="AH311" s="144" t="e">
        <f>IF(AND(E311=1,B311=2),M311,NA())</f>
        <v>#N/A</v>
      </c>
      <c r="AI311" s="144" t="e">
        <f>IF(AND(E311=1,B311=2),N311,NA())</f>
        <v>#N/A</v>
      </c>
      <c r="AJ311" s="145" t="str">
        <f>A311&amp;IF(E311=1," = Sᵢ",IF(C311=0," (in D)",""))&amp;IF(V311=1,"  ·  g "&amp;T311&amp;"→"&amp;U311,"")&amp;IF(W311=1,"  → D","")</f>
        <v>S₂  ·  g 4→3</v>
      </c>
      <c r="AN311" s="146">
        <v>1</v>
      </c>
      <c r="AO311" s="144">
        <f>IF($I$310=1,$M$310+$H$310/$Z$308*$L$6,NA())</f>
        <v>0.375269665872201</v>
      </c>
      <c r="AP311" s="144">
        <f>IF($S$310=1,$N$310+$H$310/$Z$308*$M$6,NA())</f>
        <v>-0.0924431912352097</v>
      </c>
      <c r="AQ311" s="144" t="e">
        <f>IF(AND($I$310=1,$C$310=1,$S$310=0),$N$310+$H$310/$Z$308*$M$6,NA())</f>
        <v>#N/A</v>
      </c>
      <c r="AR311" s="144" t="e">
        <f>IF(AND($I$310=1,$C$310=0),$N$310+$H$310/$Z$308*$M$6,NA())</f>
        <v>#N/A</v>
      </c>
      <c r="AS311" s="144">
        <f>IF($I$311=1,$M$311+$H$311/$Z$308*$L$6,NA())</f>
        <v>0.525982901160782</v>
      </c>
      <c r="AT311" s="144">
        <f>IF($S$311=1,$N$311+$H$311/$Z$308*$M$6,NA())</f>
        <v>0.338298528988324</v>
      </c>
      <c r="AU311" s="144" t="e">
        <f>IF(AND($I$311=1,$C$311=1,$S$311=0),$N$311+$H$311/$Z$308*$M$6,NA())</f>
        <v>#N/A</v>
      </c>
      <c r="AV311" s="144" t="e">
        <f>IF(AND($I$311=1,$C$311=0),$N$311+$H$311/$Z$308*$M$6,NA())</f>
        <v>#N/A</v>
      </c>
      <c r="AW311" s="144" t="e">
        <f>IF($I$312=1,$M$312+$H$312/$Z$308*$L$6,NA())</f>
        <v>#N/A</v>
      </c>
      <c r="AX311" s="144" t="e">
        <f>IF($S$312=1,$N$312+$H$312/$Z$308*$M$6,NA())</f>
        <v>#N/A</v>
      </c>
      <c r="AY311" s="144" t="e">
        <f>IF(AND($I$312=1,$C$312=1,$S$312=0),$N$312+$H$312/$Z$308*$M$6,NA())</f>
        <v>#N/A</v>
      </c>
      <c r="AZ311" s="144" t="e">
        <f>IF(AND($I$312=1,$C$312=0),$N$312+$H$312/$Z$308*$M$6,NA())</f>
        <v>#N/A</v>
      </c>
      <c r="BA311" s="144">
        <f>IF($I$313=1,$M$313+$H$313/$Z$308*$L$6,NA())</f>
        <v>-0.259151623571247</v>
      </c>
      <c r="BB311" s="144" t="e">
        <f>IF($S$313=1,$N$313+$H$313/$Z$308*$M$6,NA())</f>
        <v>#N/A</v>
      </c>
      <c r="BC311" s="144">
        <f>IF(AND($I$313=1,$C$313=1,$S$313=0),$N$313+$H$313/$Z$308*$M$6,NA())</f>
        <v>-0.411167675484347</v>
      </c>
      <c r="BD311" s="144" t="e">
        <f>IF(AND($I$313=1,$C$313=0),$N$313+$H$313/$Z$308*$M$6,NA())</f>
        <v>#N/A</v>
      </c>
      <c r="BE311" s="144">
        <f>IF($I$314=1,$M$314+$H$314/$Z$308*$L$6,NA())</f>
        <v>0.849268791014586</v>
      </c>
      <c r="BF311" s="144">
        <f>IF($S$314=1,$N$314+$H$314/$Z$308*$M$6,NA())</f>
        <v>0.143557411397309</v>
      </c>
      <c r="BG311" s="144" t="e">
        <f>IF(AND($I$314=1,$C$314=1,$S$314=0),$N$314+$H$314/$Z$308*$M$6,NA())</f>
        <v>#N/A</v>
      </c>
      <c r="BH311" s="144" t="e">
        <f>IF(AND($I$314=1,$C$314=0),$N$314+$H$314/$Z$308*$M$6,NA())</f>
        <v>#N/A</v>
      </c>
      <c r="BI311" s="144" t="e">
        <f>IF($I$315=1,$M$315+$H$315/$Z$308*$L$6,NA())</f>
        <v>#N/A</v>
      </c>
      <c r="BJ311" s="144" t="e">
        <f>IF($S$315=1,$N$315+$H$315/$Z$308*$M$6,NA())</f>
        <v>#N/A</v>
      </c>
      <c r="BK311" s="144" t="e">
        <f>IF(AND($I$315=1,$C$315=1,$S$315=0),$N$315+$H$315/$Z$308*$M$6,NA())</f>
        <v>#N/A</v>
      </c>
      <c r="BL311" s="144" t="e">
        <f>IF(AND($I$315=1,$C$315=0),$N$315+$H$315/$Z$308*$M$6,NA())</f>
        <v>#N/A</v>
      </c>
      <c r="BM311" s="144" t="e">
        <f>IF($I$316=1,$M$316+$H$316/$Z$308*$L$6,NA())</f>
        <v>#N/A</v>
      </c>
      <c r="BN311" s="144" t="e">
        <f>IF($S$316=1,$N$316+$H$316/$Z$308*$M$6,NA())</f>
        <v>#N/A</v>
      </c>
      <c r="BO311" s="144" t="e">
        <f>IF(AND($I$316=1,$C$316=1,$S$316=0),$N$316+$H$316/$Z$308*$M$6,NA())</f>
        <v>#N/A</v>
      </c>
      <c r="BP311" s="144" t="e">
        <f>IF(AND($I$316=1,$C$316=0),$N$316+$H$316/$Z$308*$M$6,NA())</f>
        <v>#N/A</v>
      </c>
    </row>
    <row r="312">
      <c r="A312" s="62" t="inlineStr">
        <is>
          <t xml:space="preserve">S₃</t>
        </is>
      </c>
      <c r="B312" s="68">
        <f>'ERDR Iterations'!D$7</f>
        <v>1</v>
      </c>
      <c r="C312" s="146">
        <f>'ERDR Iterations'!D$8</f>
        <v>1</v>
      </c>
      <c r="D312" s="146">
        <f>'ERDR Iterations'!D$14</f>
        <v>0</v>
      </c>
      <c r="E312" s="146">
        <f>IF($Q$308=3,1,0)</f>
        <v>0</v>
      </c>
      <c r="F312" s="146">
        <f>IF(OR($Q$308=0,E312=1),0,INDEX('Sorted Neighbors'!$B$5:$H$11,$Q$308,3))</f>
        <v>3</v>
      </c>
      <c r="G312" s="144">
        <f>IF($Q$308=0,0,INDEX('Zhuravlev Distances'!$B$5:$H$11,$Q$308,3))</f>
        <v>5.60708061</v>
      </c>
      <c r="H312" s="144">
        <f>'ERDR Characteristics'!$D$7</f>
        <v>5.60708061</v>
      </c>
      <c r="I312" s="146">
        <f>D312</f>
        <v>0</v>
      </c>
      <c r="J312" s="144">
        <f>IF(F312=0,0,PI()/2-(F312-1)*$B$6)</f>
        <v>-0.523598775598299</v>
      </c>
      <c r="K312" s="144">
        <f>G312*COS(J312)</f>
        <v>4.85587424932715</v>
      </c>
      <c r="L312" s="144">
        <f>G312*SIN(J312)</f>
        <v>-2.803540305</v>
      </c>
      <c r="M312" s="144">
        <f>IF($Q$308=0,NA(),(K312-$T$308)/$Z$308)</f>
        <v>0.328353264249781</v>
      </c>
      <c r="N312" s="144">
        <f>IF($Q$308=0,NA(),(L312-$W$308)/$Z$308)</f>
        <v>-0.448808641812973</v>
      </c>
      <c r="O312" s="144">
        <f>K312-I312*H312</f>
        <v>4.85587424932715</v>
      </c>
      <c r="P312" s="144">
        <f>K312+I312*H312</f>
        <v>4.85587424932715</v>
      </c>
      <c r="Q312" s="144">
        <f>L312-I312*H312</f>
        <v>-2.803540305</v>
      </c>
      <c r="R312" s="144">
        <f>L312+I312*H312</f>
        <v>-2.803540305</v>
      </c>
      <c r="S312" s="146">
        <f>'ERDR Iterations'!D$20</f>
        <v>0</v>
      </c>
      <c r="T312" s="146">
        <f>'ERDR Iterations'!D$10</f>
        <v>3</v>
      </c>
      <c r="U312" s="146">
        <f>'ERDR Iterations'!D$23</f>
        <v>3</v>
      </c>
      <c r="V312" s="146">
        <f>'ERDR Iterations'!D$22</f>
        <v>0</v>
      </c>
      <c r="W312" s="146">
        <f>'ERDR Iterations'!D$25</f>
        <v>0</v>
      </c>
      <c r="X312" s="144">
        <f>IF(AND($Q$308&gt;0,E312=0,B312=1,C312=1),M312,NA())</f>
        <v>0.328353264249781</v>
      </c>
      <c r="Y312" s="144">
        <f>IF(AND($Q$308&gt;0,E312=0,B312=1,C312=1),N312,NA())</f>
        <v>-0.448808641812973</v>
      </c>
      <c r="Z312" s="144" t="e">
        <f>IF(AND($Q$308&gt;0,E312=0,B312=1,C312=0),M312,NA())</f>
        <v>#N/A</v>
      </c>
      <c r="AA312" s="144" t="e">
        <f>IF(AND($Q$308&gt;0,E312=0,B312=1,C312=0),N312,NA())</f>
        <v>#N/A</v>
      </c>
      <c r="AB312" s="144" t="e">
        <f>IF(AND($Q$308&gt;0,E312=0,B312=2,C312=1),M312,NA())</f>
        <v>#N/A</v>
      </c>
      <c r="AC312" s="144" t="e">
        <f>IF(AND($Q$308&gt;0,E312=0,B312=2,C312=1),N312,NA())</f>
        <v>#N/A</v>
      </c>
      <c r="AD312" s="144" t="e">
        <f>IF(AND($Q$308&gt;0,E312=0,B312=2,C312=0),M312,NA())</f>
        <v>#N/A</v>
      </c>
      <c r="AE312" s="144" t="e">
        <f>IF(AND($Q$308&gt;0,E312=0,B312=2,C312=0),N312,NA())</f>
        <v>#N/A</v>
      </c>
      <c r="AF312" s="144" t="e">
        <f>IF(AND(E312=1,B312=1),M312,NA())</f>
        <v>#N/A</v>
      </c>
      <c r="AG312" s="144" t="e">
        <f>IF(AND(E312=1,B312=1),N312,NA())</f>
        <v>#N/A</v>
      </c>
      <c r="AH312" s="144" t="e">
        <f>IF(AND(E312=1,B312=2),M312,NA())</f>
        <v>#N/A</v>
      </c>
      <c r="AI312" s="144" t="e">
        <f>IF(AND(E312=1,B312=2),N312,NA())</f>
        <v>#N/A</v>
      </c>
      <c r="AJ312" s="145" t="str">
        <f>A312&amp;IF(E312=1," = Sᵢ",IF(C312=0," (in D)",""))&amp;IF(V312=1,"  ·  g "&amp;T312&amp;"→"&amp;U312,"")&amp;IF(W312=1,"  → D","")</f>
        <v>S₃</v>
      </c>
      <c r="AN312" s="146">
        <v>2</v>
      </c>
      <c r="AO312" s="144">
        <f>IF($I$310=1,$M$310+$H$310/$Z$308*$L$7,NA())</f>
        <v>0.328353264249781</v>
      </c>
      <c r="AP312" s="144">
        <f>IF($S$310=1,$N$310+$H$310/$Z$308*$M$7,NA())</f>
        <v>0.0208230218593802</v>
      </c>
      <c r="AQ312" s="144" t="e">
        <f>IF(AND($I$310=1,$C$310=1,$S$310=0),$N$310+$H$310/$Z$308*$M$7,NA())</f>
        <v>#N/A</v>
      </c>
      <c r="AR312" s="144" t="e">
        <f>IF(AND($I$310=1,$C$310=0),$N$310+$H$310/$Z$308*$M$7,NA())</f>
        <v>#N/A</v>
      </c>
      <c r="AS312" s="144">
        <f>IF($I$311=1,$M$311+$H$311/$Z$308*$L$7,NA())</f>
        <v>0.463479054340616</v>
      </c>
      <c r="AT312" s="144">
        <f>IF($S$311=1,$N$311+$H$311/$Z$308*$M$7,NA())</f>
        <v>0.489196163682061</v>
      </c>
      <c r="AU312" s="144" t="e">
        <f>IF(AND($I$311=1,$C$311=1,$S$311=0),$N$311+$H$311/$Z$308*$M$7,NA())</f>
        <v>#N/A</v>
      </c>
      <c r="AV312" s="144" t="e">
        <f>IF(AND($I$311=1,$C$311=0),$N$311+$H$311/$Z$308*$M$7,NA())</f>
        <v>#N/A</v>
      </c>
      <c r="AW312" s="144" t="e">
        <f>IF($I$312=1,$M$312+$H$312/$Z$308*$L$7,NA())</f>
        <v>#N/A</v>
      </c>
      <c r="AX312" s="144" t="e">
        <f>IF($S$312=1,$N$312+$H$312/$Z$308*$M$7,NA())</f>
        <v>#N/A</v>
      </c>
      <c r="AY312" s="144" t="e">
        <f>IF(AND($I$312=1,$C$312=1,$S$312=0),$N$312+$H$312/$Z$308*$M$7,NA())</f>
        <v>#N/A</v>
      </c>
      <c r="AZ312" s="144" t="e">
        <f>IF(AND($I$312=1,$C$312=0),$N$312+$H$312/$Z$308*$M$7,NA())</f>
        <v>#N/A</v>
      </c>
      <c r="BA312" s="144">
        <f>IF($I$313=1,$M$313+$H$313/$Z$308*$L$7,NA())</f>
        <v>-0.29017038079481</v>
      </c>
      <c r="BB312" s="144" t="e">
        <f>IF($S$313=1,$N$313+$H$313/$Z$308*$M$7,NA())</f>
        <v>#N/A</v>
      </c>
      <c r="BC312" s="144">
        <f>IF(AND($I$313=1,$C$313=1,$S$313=0),$N$313+$H$313/$Z$308*$M$7,NA())</f>
        <v>-0.336281771107263</v>
      </c>
      <c r="BD312" s="144" t="e">
        <f>IF(AND($I$313=1,$C$313=0),$N$313+$H$313/$Z$308*$M$7,NA())</f>
        <v>#N/A</v>
      </c>
      <c r="BE312" s="144">
        <f>IF($I$314=1,$M$314+$H$314/$Z$308*$L$7,NA())</f>
        <v>0.789762679800574</v>
      </c>
      <c r="BF312" s="144">
        <f>IF($S$314=1,$N$314+$H$314/$Z$308*$M$7,NA())</f>
        <v>0.287217872134259</v>
      </c>
      <c r="BG312" s="144" t="e">
        <f>IF(AND($I$314=1,$C$314=1,$S$314=0),$N$314+$H$314/$Z$308*$M$7,NA())</f>
        <v>#N/A</v>
      </c>
      <c r="BH312" s="144" t="e">
        <f>IF(AND($I$314=1,$C$314=0),$N$314+$H$314/$Z$308*$M$7,NA())</f>
        <v>#N/A</v>
      </c>
      <c r="BI312" s="144" t="e">
        <f>IF($I$315=1,$M$315+$H$315/$Z$308*$L$7,NA())</f>
        <v>#N/A</v>
      </c>
      <c r="BJ312" s="144" t="e">
        <f>IF($S$315=1,$N$315+$H$315/$Z$308*$M$7,NA())</f>
        <v>#N/A</v>
      </c>
      <c r="BK312" s="144" t="e">
        <f>IF(AND($I$315=1,$C$315=1,$S$315=0),$N$315+$H$315/$Z$308*$M$7,NA())</f>
        <v>#N/A</v>
      </c>
      <c r="BL312" s="144" t="e">
        <f>IF(AND($I$315=1,$C$315=0),$N$315+$H$315/$Z$308*$M$7,NA())</f>
        <v>#N/A</v>
      </c>
      <c r="BM312" s="144" t="e">
        <f>IF($I$316=1,$M$316+$H$316/$Z$308*$L$7,NA())</f>
        <v>#N/A</v>
      </c>
      <c r="BN312" s="144" t="e">
        <f>IF($S$316=1,$N$316+$H$316/$Z$308*$M$7,NA())</f>
        <v>#N/A</v>
      </c>
      <c r="BO312" s="144" t="e">
        <f>IF(AND($I$316=1,$C$316=1,$S$316=0),$N$316+$H$316/$Z$308*$M$7,NA())</f>
        <v>#N/A</v>
      </c>
      <c r="BP312" s="144" t="e">
        <f>IF(AND($I$316=1,$C$316=0),$N$316+$H$316/$Z$308*$M$7,NA())</f>
        <v>#N/A</v>
      </c>
    </row>
    <row r="313">
      <c r="A313" s="62" t="inlineStr">
        <is>
          <t xml:space="preserve">S₄</t>
        </is>
      </c>
      <c r="B313" s="68">
        <f>'ERDR Iterations'!E$7</f>
        <v>2</v>
      </c>
      <c r="C313" s="146">
        <f>'ERDR Iterations'!E$8</f>
        <v>1</v>
      </c>
      <c r="D313" s="146">
        <f>'ERDR Iterations'!E$14</f>
        <v>1</v>
      </c>
      <c r="E313" s="146">
        <f>IF($Q$308=4,1,0)</f>
        <v>0</v>
      </c>
      <c r="F313" s="146">
        <f>IF(OR($Q$308=0,E313=1),0,INDEX('Sorted Neighbors'!$B$5:$H$11,$Q$308,4))</f>
        <v>5</v>
      </c>
      <c r="G313" s="144">
        <f>IF($Q$308=0,0,INDEX('Zhuravlev Distances'!$B$5:$H$11,$Q$308,4))</f>
        <v>6.6272117335</v>
      </c>
      <c r="H313" s="144">
        <f>'ERDR Characteristics'!$D$8</f>
        <v>3.7071187508</v>
      </c>
      <c r="I313" s="146">
        <f>D313</f>
        <v>1</v>
      </c>
      <c r="J313" s="144">
        <f>IF(F313=0,0,PI()/2-(F313-1)*$B$6)</f>
        <v>-2.61799387799149</v>
      </c>
      <c r="K313" s="144">
        <f>G313*COS(J313)</f>
        <v>-5.73933371746931</v>
      </c>
      <c r="L313" s="144">
        <f>G313*SIN(J313)</f>
        <v>-3.31360586675</v>
      </c>
      <c r="M313" s="144">
        <f>IF($Q$308=0,NA(),(K313-$T$308)/$Z$308)</f>
        <v>-0.559068460261719</v>
      </c>
      <c r="N313" s="144">
        <f>IF($Q$308=0,NA(),(L313-$W$308)/$Z$308)</f>
        <v>-0.491530149672056</v>
      </c>
      <c r="O313" s="144">
        <f>K313-I313*H313</f>
        <v>-9.44645246826931</v>
      </c>
      <c r="P313" s="144">
        <f>K313+I313*H313</f>
        <v>-2.03221496666931</v>
      </c>
      <c r="Q313" s="144">
        <f>L313-I313*H313</f>
        <v>-7.02072461755</v>
      </c>
      <c r="R313" s="144">
        <f>L313+I313*H313</f>
        <v>0.393512884049998</v>
      </c>
      <c r="S313" s="146">
        <f>'ERDR Iterations'!E$20</f>
        <v>0</v>
      </c>
      <c r="T313" s="146">
        <f>'ERDR Iterations'!E$10</f>
        <v>1</v>
      </c>
      <c r="U313" s="146">
        <f>'ERDR Iterations'!E$23</f>
        <v>1</v>
      </c>
      <c r="V313" s="146">
        <f>'ERDR Iterations'!E$22</f>
        <v>0</v>
      </c>
      <c r="W313" s="146">
        <f>'ERDR Iterations'!E$25</f>
        <v>0</v>
      </c>
      <c r="X313" s="144" t="e">
        <f>IF(AND($Q$308&gt;0,E313=0,B313=1,C313=1),M313,NA())</f>
        <v>#N/A</v>
      </c>
      <c r="Y313" s="144" t="e">
        <f>IF(AND($Q$308&gt;0,E313=0,B313=1,C313=1),N313,NA())</f>
        <v>#N/A</v>
      </c>
      <c r="Z313" s="144" t="e">
        <f>IF(AND($Q$308&gt;0,E313=0,B313=1,C313=0),M313,NA())</f>
        <v>#N/A</v>
      </c>
      <c r="AA313" s="144" t="e">
        <f>IF(AND($Q$308&gt;0,E313=0,B313=1,C313=0),N313,NA())</f>
        <v>#N/A</v>
      </c>
      <c r="AB313" s="144">
        <f>IF(AND($Q$308&gt;0,E313=0,B313=2,C313=1),M313,NA())</f>
        <v>-0.559068460261719</v>
      </c>
      <c r="AC313" s="144">
        <f>IF(AND($Q$308&gt;0,E313=0,B313=2,C313=1),N313,NA())</f>
        <v>-0.491530149672056</v>
      </c>
      <c r="AD313" s="144" t="e">
        <f>IF(AND($Q$308&gt;0,E313=0,B313=2,C313=0),M313,NA())</f>
        <v>#N/A</v>
      </c>
      <c r="AE313" s="144" t="e">
        <f>IF(AND($Q$308&gt;0,E313=0,B313=2,C313=0),N313,NA())</f>
        <v>#N/A</v>
      </c>
      <c r="AF313" s="144" t="e">
        <f>IF(AND(E313=1,B313=1),M313,NA())</f>
        <v>#N/A</v>
      </c>
      <c r="AG313" s="144" t="e">
        <f>IF(AND(E313=1,B313=1),N313,NA())</f>
        <v>#N/A</v>
      </c>
      <c r="AH313" s="144" t="e">
        <f>IF(AND(E313=1,B313=2),M313,NA())</f>
        <v>#N/A</v>
      </c>
      <c r="AI313" s="144" t="e">
        <f>IF(AND(E313=1,B313=2),N313,NA())</f>
        <v>#N/A</v>
      </c>
      <c r="AJ313" s="145" t="str">
        <f>A313&amp;IF(E313=1," = Sᵢ",IF(C313=0," (in D)",""))&amp;IF(V313=1,"  ·  g "&amp;T313&amp;"→"&amp;U313,"")&amp;IF(W313=1,"  → D","")</f>
        <v>S₄</v>
      </c>
      <c r="AN313" s="146">
        <v>3</v>
      </c>
      <c r="AO313" s="144">
        <f>IF($I$310=1,$M$310+$H$310/$Z$308*$L$8,NA())</f>
        <v>0.253720047130614</v>
      </c>
      <c r="AP313" s="144">
        <f>IF($S$310=1,$N$310+$H$310/$Z$308*$M$8,NA())</f>
        <v>0.118086924065845</v>
      </c>
      <c r="AQ313" s="144" t="e">
        <f>IF(AND($I$310=1,$C$310=1,$S$310=0),$N$310+$H$310/$Z$308*$M$8,NA())</f>
        <v>#N/A</v>
      </c>
      <c r="AR313" s="144" t="e">
        <f>IF(AND($I$310=1,$C$310=0),$N$310+$H$310/$Z$308*$M$8,NA())</f>
        <v>#N/A</v>
      </c>
      <c r="AS313" s="144">
        <f>IF($I$311=1,$M$311+$H$311/$Z$308*$L$8,NA())</f>
        <v>0.364049792734939</v>
      </c>
      <c r="AT313" s="144">
        <f>IF($S$311=1,$N$311+$H$311/$Z$308*$M$8,NA())</f>
        <v>0.618774900209445</v>
      </c>
      <c r="AU313" s="144" t="e">
        <f>IF(AND($I$311=1,$C$311=1,$S$311=0),$N$311+$H$311/$Z$308*$M$8,NA())</f>
        <v>#N/A</v>
      </c>
      <c r="AV313" s="144" t="e">
        <f>IF(AND($I$311=1,$C$311=0),$N$311+$H$311/$Z$308*$M$8,NA())</f>
        <v>#N/A</v>
      </c>
      <c r="AW313" s="144" t="e">
        <f>IF($I$312=1,$M$312+$H$312/$Z$308*$L$8,NA())</f>
        <v>#N/A</v>
      </c>
      <c r="AX313" s="144" t="e">
        <f>IF($S$312=1,$N$312+$H$312/$Z$308*$M$8,NA())</f>
        <v>#N/A</v>
      </c>
      <c r="AY313" s="144" t="e">
        <f>IF(AND($I$312=1,$C$312=1,$S$312=0),$N$312+$H$312/$Z$308*$M$8,NA())</f>
        <v>#N/A</v>
      </c>
      <c r="AZ313" s="144" t="e">
        <f>IF(AND($I$312=1,$C$312=0),$N$312+$H$312/$Z$308*$M$8,NA())</f>
        <v>#N/A</v>
      </c>
      <c r="BA313" s="144">
        <f>IF($I$313=1,$M$313+$H$313/$Z$308*$L$8,NA())</f>
        <v>-0.339514097758956</v>
      </c>
      <c r="BB313" s="144" t="e">
        <f>IF($S$313=1,$N$313+$H$313/$Z$308*$M$8,NA())</f>
        <v>#N/A</v>
      </c>
      <c r="BC313" s="144">
        <f>IF(AND($I$313=1,$C$313=1,$S$313=0),$N$313+$H$313/$Z$308*$M$8,NA())</f>
        <v>-0.271975787169294</v>
      </c>
      <c r="BD313" s="144" t="e">
        <f>IF(AND($I$313=1,$C$313=0),$N$313+$H$313/$Z$308*$M$8,NA())</f>
        <v>#N/A</v>
      </c>
      <c r="BE313" s="144">
        <f>IF($I$314=1,$M$314+$H$314/$Z$308*$L$8,NA())</f>
        <v>0.695102126890005</v>
      </c>
      <c r="BF313" s="144">
        <f>IF($S$314=1,$N$314+$H$314/$Z$308*$M$8,NA())</f>
        <v>0.41058190649449</v>
      </c>
      <c r="BG313" s="144" t="e">
        <f>IF(AND($I$314=1,$C$314=1,$S$314=0),$N$314+$H$314/$Z$308*$M$8,NA())</f>
        <v>#N/A</v>
      </c>
      <c r="BH313" s="144" t="e">
        <f>IF(AND($I$314=1,$C$314=0),$N$314+$H$314/$Z$308*$M$8,NA())</f>
        <v>#N/A</v>
      </c>
      <c r="BI313" s="144" t="e">
        <f>IF($I$315=1,$M$315+$H$315/$Z$308*$L$8,NA())</f>
        <v>#N/A</v>
      </c>
      <c r="BJ313" s="144" t="e">
        <f>IF($S$315=1,$N$315+$H$315/$Z$308*$M$8,NA())</f>
        <v>#N/A</v>
      </c>
      <c r="BK313" s="144" t="e">
        <f>IF(AND($I$315=1,$C$315=1,$S$315=0),$N$315+$H$315/$Z$308*$M$8,NA())</f>
        <v>#N/A</v>
      </c>
      <c r="BL313" s="144" t="e">
        <f>IF(AND($I$315=1,$C$315=0),$N$315+$H$315/$Z$308*$M$8,NA())</f>
        <v>#N/A</v>
      </c>
      <c r="BM313" s="144" t="e">
        <f>IF($I$316=1,$M$316+$H$316/$Z$308*$L$8,NA())</f>
        <v>#N/A</v>
      </c>
      <c r="BN313" s="144" t="e">
        <f>IF($S$316=1,$N$316+$H$316/$Z$308*$M$8,NA())</f>
        <v>#N/A</v>
      </c>
      <c r="BO313" s="144" t="e">
        <f>IF(AND($I$316=1,$C$316=1,$S$316=0),$N$316+$H$316/$Z$308*$M$8,NA())</f>
        <v>#N/A</v>
      </c>
      <c r="BP313" s="144" t="e">
        <f>IF(AND($I$316=1,$C$316=0),$N$316+$H$316/$Z$308*$M$8,NA())</f>
        <v>#N/A</v>
      </c>
    </row>
    <row r="314">
      <c r="A314" s="62" t="inlineStr">
        <is>
          <t xml:space="preserve">S₅</t>
        </is>
      </c>
      <c r="B314" s="68">
        <f>'ERDR Iterations'!F$7</f>
        <v>2</v>
      </c>
      <c r="C314" s="146">
        <f>'ERDR Iterations'!F$8</f>
        <v>1</v>
      </c>
      <c r="D314" s="146">
        <f>'ERDR Iterations'!F$14</f>
        <v>1</v>
      </c>
      <c r="E314" s="146">
        <f>IF($Q$308=5,1,0)</f>
        <v>0</v>
      </c>
      <c r="F314" s="146">
        <f>IF(OR($Q$308=0,E314=1),0,INDEX('Sorted Neighbors'!$B$5:$H$11,$Q$308,5))</f>
        <v>2</v>
      </c>
      <c r="G314" s="144">
        <f>IF($Q$308=0,0,INDEX('Zhuravlev Distances'!$B$5:$H$11,$Q$308,5))</f>
        <v>4.8565209225</v>
      </c>
      <c r="H314" s="144">
        <f>'ERDR Characteristics'!$D$9</f>
        <v>7.1117040273</v>
      </c>
      <c r="I314" s="146">
        <f>D314</f>
        <v>1</v>
      </c>
      <c r="J314" s="144">
        <f>IF(F314=0,0,PI()/2-(F314-1)*$B$6)</f>
        <v>0.523598775598299</v>
      </c>
      <c r="K314" s="144">
        <f>G314*COS(J314)</f>
        <v>4.20587049289564</v>
      </c>
      <c r="L314" s="144">
        <f>G314*SIN(J314)</f>
        <v>2.42826046125</v>
      </c>
      <c r="M314" s="144">
        <f>IF($Q$308=0,NA(),(K314-$T$308)/$Z$308)</f>
        <v>0.273910967668243</v>
      </c>
      <c r="N314" s="144">
        <f>IF($Q$308=0,NA(),(L314-$W$308)/$Z$308)</f>
        <v>-0.010609252727272</v>
      </c>
      <c r="O314" s="144">
        <f>K314-I314*H314</f>
        <v>-2.90583353440436</v>
      </c>
      <c r="P314" s="144">
        <f>K314+I314*H314</f>
        <v>11.3175745201956</v>
      </c>
      <c r="Q314" s="144">
        <f>L314-I314*H314</f>
        <v>-4.68344356605</v>
      </c>
      <c r="R314" s="144">
        <f>L314+I314*H314</f>
        <v>9.53996448855</v>
      </c>
      <c r="S314" s="146">
        <f>'ERDR Iterations'!F$20</f>
        <v>1</v>
      </c>
      <c r="T314" s="146">
        <f>'ERDR Iterations'!F$10</f>
        <v>3</v>
      </c>
      <c r="U314" s="146">
        <f>'ERDR Iterations'!F$23</f>
        <v>2</v>
      </c>
      <c r="V314" s="146">
        <f>'ERDR Iterations'!F$22</f>
        <v>1</v>
      </c>
      <c r="W314" s="146">
        <f>'ERDR Iterations'!F$25</f>
        <v>0</v>
      </c>
      <c r="X314" s="144" t="e">
        <f>IF(AND($Q$308&gt;0,E314=0,B314=1,C314=1),M314,NA())</f>
        <v>#N/A</v>
      </c>
      <c r="Y314" s="144" t="e">
        <f>IF(AND($Q$308&gt;0,E314=0,B314=1,C314=1),N314,NA())</f>
        <v>#N/A</v>
      </c>
      <c r="Z314" s="144" t="e">
        <f>IF(AND($Q$308&gt;0,E314=0,B314=1,C314=0),M314,NA())</f>
        <v>#N/A</v>
      </c>
      <c r="AA314" s="144" t="e">
        <f>IF(AND($Q$308&gt;0,E314=0,B314=1,C314=0),N314,NA())</f>
        <v>#N/A</v>
      </c>
      <c r="AB314" s="144">
        <f>IF(AND($Q$308&gt;0,E314=0,B314=2,C314=1),M314,NA())</f>
        <v>0.273910967668243</v>
      </c>
      <c r="AC314" s="144">
        <f>IF(AND($Q$308&gt;0,E314=0,B314=2,C314=1),N314,NA())</f>
        <v>-0.010609252727272</v>
      </c>
      <c r="AD314" s="144" t="e">
        <f>IF(AND($Q$308&gt;0,E314=0,B314=2,C314=0),M314,NA())</f>
        <v>#N/A</v>
      </c>
      <c r="AE314" s="144" t="e">
        <f>IF(AND($Q$308&gt;0,E314=0,B314=2,C314=0),N314,NA())</f>
        <v>#N/A</v>
      </c>
      <c r="AF314" s="144" t="e">
        <f>IF(AND(E314=1,B314=1),M314,NA())</f>
        <v>#N/A</v>
      </c>
      <c r="AG314" s="144" t="e">
        <f>IF(AND(E314=1,B314=1),N314,NA())</f>
        <v>#N/A</v>
      </c>
      <c r="AH314" s="144" t="e">
        <f>IF(AND(E314=1,B314=2),M314,NA())</f>
        <v>#N/A</v>
      </c>
      <c r="AI314" s="144" t="e">
        <f>IF(AND(E314=1,B314=2),N314,NA())</f>
        <v>#N/A</v>
      </c>
      <c r="AJ314" s="145" t="str">
        <f>A314&amp;IF(E314=1," = Sᵢ",IF(C314=0," (in D)",""))&amp;IF(V314=1,"  ·  g "&amp;T314&amp;"→"&amp;U314,"")&amp;IF(W314=1,"  → D","")</f>
        <v>S₅  ·  g 3→2</v>
      </c>
      <c r="AN314" s="146">
        <v>4</v>
      </c>
      <c r="AO314" s="144">
        <f>IF($I$310=1,$M$310+$H$310/$Z$308*$L$9,NA())</f>
        <v>0.15645614492415</v>
      </c>
      <c r="AP314" s="144">
        <f>IF($S$310=1,$N$310+$H$310/$Z$308*$M$9,NA())</f>
        <v>0.192720141185011</v>
      </c>
      <c r="AQ314" s="144" t="e">
        <f>IF(AND($I$310=1,$C$310=1,$S$310=0),$N$310+$H$310/$Z$308*$M$9,NA())</f>
        <v>#N/A</v>
      </c>
      <c r="AR314" s="144" t="e">
        <f>IF(AND($I$310=1,$C$310=0),$N$310+$H$310/$Z$308*$M$9,NA())</f>
        <v>#N/A</v>
      </c>
      <c r="AS314" s="144">
        <f>IF($I$311=1,$M$311+$H$311/$Z$308*$L$9,NA())</f>
        <v>0.234471056207554</v>
      </c>
      <c r="AT314" s="144">
        <f>IF($S$311=1,$N$311+$H$311/$Z$308*$M$9,NA())</f>
        <v>0.718204161815122</v>
      </c>
      <c r="AU314" s="144" t="e">
        <f>IF(AND($I$311=1,$C$311=1,$S$311=0),$N$311+$H$311/$Z$308*$M$9,NA())</f>
        <v>#N/A</v>
      </c>
      <c r="AV314" s="144" t="e">
        <f>IF(AND($I$311=1,$C$311=0),$N$311+$H$311/$Z$308*$M$9,NA())</f>
        <v>#N/A</v>
      </c>
      <c r="AW314" s="144" t="e">
        <f>IF($I$312=1,$M$312+$H$312/$Z$308*$L$9,NA())</f>
        <v>#N/A</v>
      </c>
      <c r="AX314" s="144" t="e">
        <f>IF($S$312=1,$N$312+$H$312/$Z$308*$M$9,NA())</f>
        <v>#N/A</v>
      </c>
      <c r="AY314" s="144" t="e">
        <f>IF(AND($I$312=1,$C$312=1,$S$312=0),$N$312+$H$312/$Z$308*$M$9,NA())</f>
        <v>#N/A</v>
      </c>
      <c r="AZ314" s="144" t="e">
        <f>IF(AND($I$312=1,$C$312=0),$N$312+$H$312/$Z$308*$M$9,NA())</f>
        <v>#N/A</v>
      </c>
      <c r="BA314" s="144">
        <f>IF($I$313=1,$M$313+$H$313/$Z$308*$L$9,NA())</f>
        <v>-0.403820081696926</v>
      </c>
      <c r="BB314" s="144" t="e">
        <f>IF($S$313=1,$N$313+$H$313/$Z$308*$M$9,NA())</f>
        <v>#N/A</v>
      </c>
      <c r="BC314" s="144">
        <f>IF(AND($I$313=1,$C$313=1,$S$313=0),$N$313+$H$313/$Z$308*$M$9,NA())</f>
        <v>-0.222632070205148</v>
      </c>
      <c r="BD314" s="144" t="e">
        <f>IF(AND($I$313=1,$C$313=0),$N$313+$H$313/$Z$308*$M$9,NA())</f>
        <v>#N/A</v>
      </c>
      <c r="BE314" s="144">
        <f>IF($I$314=1,$M$314+$H$314/$Z$308*$L$9,NA())</f>
        <v>0.571738092529774</v>
      </c>
      <c r="BF314" s="144">
        <f>IF($S$314=1,$N$314+$H$314/$Z$308*$M$9,NA())</f>
        <v>0.505242459405059</v>
      </c>
      <c r="BG314" s="144" t="e">
        <f>IF(AND($I$314=1,$C$314=1,$S$314=0),$N$314+$H$314/$Z$308*$M$9,NA())</f>
        <v>#N/A</v>
      </c>
      <c r="BH314" s="144" t="e">
        <f>IF(AND($I$314=1,$C$314=0),$N$314+$H$314/$Z$308*$M$9,NA())</f>
        <v>#N/A</v>
      </c>
      <c r="BI314" s="144" t="e">
        <f>IF($I$315=1,$M$315+$H$315/$Z$308*$L$9,NA())</f>
        <v>#N/A</v>
      </c>
      <c r="BJ314" s="144" t="e">
        <f>IF($S$315=1,$N$315+$H$315/$Z$308*$M$9,NA())</f>
        <v>#N/A</v>
      </c>
      <c r="BK314" s="144" t="e">
        <f>IF(AND($I$315=1,$C$315=1,$S$315=0),$N$315+$H$315/$Z$308*$M$9,NA())</f>
        <v>#N/A</v>
      </c>
      <c r="BL314" s="144" t="e">
        <f>IF(AND($I$315=1,$C$315=0),$N$315+$H$315/$Z$308*$M$9,NA())</f>
        <v>#N/A</v>
      </c>
      <c r="BM314" s="144" t="e">
        <f>IF($I$316=1,$M$316+$H$316/$Z$308*$L$9,NA())</f>
        <v>#N/A</v>
      </c>
      <c r="BN314" s="144" t="e">
        <f>IF($S$316=1,$N$316+$H$316/$Z$308*$M$9,NA())</f>
        <v>#N/A</v>
      </c>
      <c r="BO314" s="144" t="e">
        <f>IF(AND($I$316=1,$C$316=1,$S$316=0),$N$316+$H$316/$Z$308*$M$9,NA())</f>
        <v>#N/A</v>
      </c>
      <c r="BP314" s="144" t="e">
        <f>IF(AND($I$316=1,$C$316=0),$N$316+$H$316/$Z$308*$M$9,NA())</f>
        <v>#N/A</v>
      </c>
    </row>
    <row r="315">
      <c r="A315" s="62" t="inlineStr">
        <is>
          <t xml:space="preserve">S₆</t>
        </is>
      </c>
      <c r="B315" s="68">
        <f>'ERDR Iterations'!G$7</f>
        <v>1</v>
      </c>
      <c r="C315" s="146">
        <f>'ERDR Iterations'!G$8</f>
        <v>1</v>
      </c>
      <c r="D315" s="146">
        <f>'ERDR Iterations'!G$14</f>
        <v>0</v>
      </c>
      <c r="E315" s="146">
        <f>IF($Q$308=6,1,0)</f>
        <v>0</v>
      </c>
      <c r="F315" s="146">
        <f>IF(OR($Q$308=0,E315=1),0,INDEX('Sorted Neighbors'!$B$5:$H$11,$Q$308,6))</f>
        <v>6</v>
      </c>
      <c r="G315" s="144">
        <f>IF($Q$308=0,0,INDEX('Zhuravlev Distances'!$B$5:$H$11,$Q$308,6))</f>
        <v>6.8015669516</v>
      </c>
      <c r="H315" s="144">
        <f>'ERDR Characteristics'!$D$10</f>
        <v>3.7071187508</v>
      </c>
      <c r="I315" s="146">
        <f>D315</f>
        <v>0</v>
      </c>
      <c r="J315" s="144">
        <f>IF(F315=0,0,PI()/2-(F315-1)*$B$6)</f>
        <v>-3.66519142918809</v>
      </c>
      <c r="K315" s="144">
        <f>G315*COS(J315)</f>
        <v>-5.89032976562629</v>
      </c>
      <c r="L315" s="144">
        <f>G315*SIN(J315)</f>
        <v>3.4007834758</v>
      </c>
      <c r="M315" s="144">
        <f>IF($Q$308=0,NA(),(K315-$T$308)/$Z$308)</f>
        <v>-0.571715420460123</v>
      </c>
      <c r="N315" s="144">
        <f>IF($Q$308=0,NA(),(L315-$W$308)/$Z$308)</f>
        <v>0.0708462555934417</v>
      </c>
      <c r="O315" s="144">
        <f>K315-I315*H315</f>
        <v>-5.89032976562629</v>
      </c>
      <c r="P315" s="144">
        <f>K315+I315*H315</f>
        <v>-5.89032976562629</v>
      </c>
      <c r="Q315" s="144">
        <f>L315-I315*H315</f>
        <v>3.4007834758</v>
      </c>
      <c r="R315" s="144">
        <f>L315+I315*H315</f>
        <v>3.4007834758</v>
      </c>
      <c r="S315" s="146">
        <f>'ERDR Iterations'!G$20</f>
        <v>0</v>
      </c>
      <c r="T315" s="146">
        <f>'ERDR Iterations'!G$10</f>
        <v>1</v>
      </c>
      <c r="U315" s="146">
        <f>'ERDR Iterations'!G$23</f>
        <v>1</v>
      </c>
      <c r="V315" s="146">
        <f>'ERDR Iterations'!G$22</f>
        <v>0</v>
      </c>
      <c r="W315" s="146">
        <f>'ERDR Iterations'!G$25</f>
        <v>0</v>
      </c>
      <c r="X315" s="144">
        <f>IF(AND($Q$308&gt;0,E315=0,B315=1,C315=1),M315,NA())</f>
        <v>-0.571715420460123</v>
      </c>
      <c r="Y315" s="144">
        <f>IF(AND($Q$308&gt;0,E315=0,B315=1,C315=1),N315,NA())</f>
        <v>0.0708462555934417</v>
      </c>
      <c r="Z315" s="144" t="e">
        <f>IF(AND($Q$308&gt;0,E315=0,B315=1,C315=0),M315,NA())</f>
        <v>#N/A</v>
      </c>
      <c r="AA315" s="144" t="e">
        <f>IF(AND($Q$308&gt;0,E315=0,B315=1,C315=0),N315,NA())</f>
        <v>#N/A</v>
      </c>
      <c r="AB315" s="144" t="e">
        <f>IF(AND($Q$308&gt;0,E315=0,B315=2,C315=1),M315,NA())</f>
        <v>#N/A</v>
      </c>
      <c r="AC315" s="144" t="e">
        <f>IF(AND($Q$308&gt;0,E315=0,B315=2,C315=1),N315,NA())</f>
        <v>#N/A</v>
      </c>
      <c r="AD315" s="144" t="e">
        <f>IF(AND($Q$308&gt;0,E315=0,B315=2,C315=0),M315,NA())</f>
        <v>#N/A</v>
      </c>
      <c r="AE315" s="144" t="e">
        <f>IF(AND($Q$308&gt;0,E315=0,B315=2,C315=0),N315,NA())</f>
        <v>#N/A</v>
      </c>
      <c r="AF315" s="144" t="e">
        <f>IF(AND(E315=1,B315=1),M315,NA())</f>
        <v>#N/A</v>
      </c>
      <c r="AG315" s="144" t="e">
        <f>IF(AND(E315=1,B315=1),N315,NA())</f>
        <v>#N/A</v>
      </c>
      <c r="AH315" s="144" t="e">
        <f>IF(AND(E315=1,B315=2),M315,NA())</f>
        <v>#N/A</v>
      </c>
      <c r="AI315" s="144" t="e">
        <f>IF(AND(E315=1,B315=2),N315,NA())</f>
        <v>#N/A</v>
      </c>
      <c r="AJ315" s="145" t="str">
        <f>A315&amp;IF(E315=1," = Sᵢ",IF(C315=0," (in D)",""))&amp;IF(V315=1,"  ·  g "&amp;T315&amp;"→"&amp;U315,"")&amp;IF(W315=1,"  → D","")</f>
        <v>S₆</v>
      </c>
      <c r="AN315" s="146">
        <v>5</v>
      </c>
      <c r="AO315" s="144">
        <f>IF($I$310=1,$M$310+$H$310/$Z$308*$L$10,NA())</f>
        <v>0.0431899318295601</v>
      </c>
      <c r="AP315" s="144">
        <f>IF($S$310=1,$N$310+$H$310/$Z$308*$M$10,NA())</f>
        <v>0.239636542807431</v>
      </c>
      <c r="AQ315" s="144" t="e">
        <f>IF(AND($I$310=1,$C$310=1,$S$310=0),$N$310+$H$310/$Z$308*$M$10,NA())</f>
        <v>#N/A</v>
      </c>
      <c r="AR315" s="144" t="e">
        <f>IF(AND($I$310=1,$C$310=0),$N$310+$H$310/$Z$308*$M$10,NA())</f>
        <v>#N/A</v>
      </c>
      <c r="AS315" s="144">
        <f>IF($I$311=1,$M$311+$H$311/$Z$308*$L$10,NA())</f>
        <v>0.0835734215138173</v>
      </c>
      <c r="AT315" s="144">
        <f>IF($S$311=1,$N$311+$H$311/$Z$308*$M$10,NA())</f>
        <v>0.780708008635289</v>
      </c>
      <c r="AU315" s="144" t="e">
        <f>IF(AND($I$311=1,$C$311=1,$S$311=0),$N$311+$H$311/$Z$308*$M$10,NA())</f>
        <v>#N/A</v>
      </c>
      <c r="AV315" s="144" t="e">
        <f>IF(AND($I$311=1,$C$311=0),$N$311+$H$311/$Z$308*$M$10,NA())</f>
        <v>#N/A</v>
      </c>
      <c r="AW315" s="144" t="e">
        <f>IF($I$312=1,$M$312+$H$312/$Z$308*$L$10,NA())</f>
        <v>#N/A</v>
      </c>
      <c r="AX315" s="144" t="e">
        <f>IF($S$312=1,$N$312+$H$312/$Z$308*$M$10,NA())</f>
        <v>#N/A</v>
      </c>
      <c r="AY315" s="144" t="e">
        <f>IF(AND($I$312=1,$C$312=1,$S$312=0),$N$312+$H$312/$Z$308*$M$10,NA())</f>
        <v>#N/A</v>
      </c>
      <c r="AZ315" s="144" t="e">
        <f>IF(AND($I$312=1,$C$312=0),$N$312+$H$312/$Z$308*$M$10,NA())</f>
        <v>#N/A</v>
      </c>
      <c r="BA315" s="144">
        <f>IF($I$313=1,$M$313+$H$313/$Z$308*$L$10,NA())</f>
        <v>-0.47870598607401</v>
      </c>
      <c r="BB315" s="144" t="e">
        <f>IF($S$313=1,$N$313+$H$313/$Z$308*$M$10,NA())</f>
        <v>#N/A</v>
      </c>
      <c r="BC315" s="144">
        <f>IF(AND($I$313=1,$C$313=1,$S$313=0),$N$313+$H$313/$Z$308*$M$10,NA())</f>
        <v>-0.191613312981585</v>
      </c>
      <c r="BD315" s="144" t="e">
        <f>IF(AND($I$313=1,$C$313=0),$N$313+$H$313/$Z$308*$M$10,NA())</f>
        <v>#N/A</v>
      </c>
      <c r="BE315" s="144">
        <f>IF($I$314=1,$M$314+$H$314/$Z$308*$L$10,NA())</f>
        <v>0.428077631792824</v>
      </c>
      <c r="BF315" s="144">
        <f>IF($S$314=1,$N$314+$H$314/$Z$308*$M$10,NA())</f>
        <v>0.564748570619071</v>
      </c>
      <c r="BG315" s="144" t="e">
        <f>IF(AND($I$314=1,$C$314=1,$S$314=0),$N$314+$H$314/$Z$308*$M$10,NA())</f>
        <v>#N/A</v>
      </c>
      <c r="BH315" s="144" t="e">
        <f>IF(AND($I$314=1,$C$314=0),$N$314+$H$314/$Z$308*$M$10,NA())</f>
        <v>#N/A</v>
      </c>
      <c r="BI315" s="144" t="e">
        <f>IF($I$315=1,$M$315+$H$315/$Z$308*$L$10,NA())</f>
        <v>#N/A</v>
      </c>
      <c r="BJ315" s="144" t="e">
        <f>IF($S$315=1,$N$315+$H$315/$Z$308*$M$10,NA())</f>
        <v>#N/A</v>
      </c>
      <c r="BK315" s="144" t="e">
        <f>IF(AND($I$315=1,$C$315=1,$S$315=0),$N$315+$H$315/$Z$308*$M$10,NA())</f>
        <v>#N/A</v>
      </c>
      <c r="BL315" s="144" t="e">
        <f>IF(AND($I$315=1,$C$315=0),$N$315+$H$315/$Z$308*$M$10,NA())</f>
        <v>#N/A</v>
      </c>
      <c r="BM315" s="144" t="e">
        <f>IF($I$316=1,$M$316+$H$316/$Z$308*$L$10,NA())</f>
        <v>#N/A</v>
      </c>
      <c r="BN315" s="144" t="e">
        <f>IF($S$316=1,$N$316+$H$316/$Z$308*$M$10,NA())</f>
        <v>#N/A</v>
      </c>
      <c r="BO315" s="144" t="e">
        <f>IF(AND($I$316=1,$C$316=1,$S$316=0),$N$316+$H$316/$Z$308*$M$10,NA())</f>
        <v>#N/A</v>
      </c>
      <c r="BP315" s="144" t="e">
        <f>IF(AND($I$316=1,$C$316=0),$N$316+$H$316/$Z$308*$M$10,NA())</f>
        <v>#N/A</v>
      </c>
    </row>
    <row r="316">
      <c r="A316" s="62" t="inlineStr">
        <is>
          <t xml:space="preserve">S₇</t>
        </is>
      </c>
      <c r="B316" s="68">
        <f>'ERDR Iterations'!H$7</f>
        <v>1</v>
      </c>
      <c r="C316" s="146">
        <f>'ERDR Iterations'!H$8</f>
        <v>1</v>
      </c>
      <c r="D316" s="146">
        <f>'ERDR Iterations'!H$14</f>
        <v>0</v>
      </c>
      <c r="E316" s="146">
        <f>IF($Q$308=7,1,0)</f>
        <v>0</v>
      </c>
      <c r="F316" s="146">
        <f>IF(OR($Q$308=0,E316=1),0,INDEX('Sorted Neighbors'!$B$5:$H$11,$Q$308,7))</f>
        <v>4</v>
      </c>
      <c r="G316" s="144">
        <f>IF($Q$308=0,0,INDEX('Zhuravlev Distances'!$B$5:$H$11,$Q$308,7))</f>
        <v>5.8897935773</v>
      </c>
      <c r="H316" s="144">
        <f>'ERDR Characteristics'!$D$11</f>
        <v>3.9109813746</v>
      </c>
      <c r="I316" s="146">
        <f>D316</f>
        <v>0</v>
      </c>
      <c r="J316" s="144">
        <f>IF(F316=0,0,PI()/2-(F316-1)*$B$6)</f>
        <v>-1.5707963267949</v>
      </c>
      <c r="K316" s="144">
        <f>G316*COS(J316)</f>
        <v>3.60645842603954e-16</v>
      </c>
      <c r="L316" s="144">
        <f>G316*SIN(J316)</f>
        <v>-5.8897935773</v>
      </c>
      <c r="M316" s="144">
        <f>IF($Q$308=0,NA(),(K316-$T$308)/$Z$308)</f>
        <v>-0.0783596869120265</v>
      </c>
      <c r="N316" s="144">
        <f>IF($Q$308=0,NA(),(L316-$W$308)/$Z$308)</f>
        <v>-0.707303634055379</v>
      </c>
      <c r="O316" s="144">
        <f>K316-I316*H316</f>
        <v>3.60645842603954e-16</v>
      </c>
      <c r="P316" s="144">
        <f>K316+I316*H316</f>
        <v>3.60645842603954e-16</v>
      </c>
      <c r="Q316" s="144">
        <f>L316-I316*H316</f>
        <v>-5.8897935773</v>
      </c>
      <c r="R316" s="144">
        <f>L316+I316*H316</f>
        <v>-5.8897935773</v>
      </c>
      <c r="S316" s="146">
        <f>'ERDR Iterations'!H$20</f>
        <v>0</v>
      </c>
      <c r="T316" s="146">
        <f>'ERDR Iterations'!H$10</f>
        <v>2</v>
      </c>
      <c r="U316" s="146">
        <f>'ERDR Iterations'!H$23</f>
        <v>2</v>
      </c>
      <c r="V316" s="146">
        <f>'ERDR Iterations'!H$22</f>
        <v>0</v>
      </c>
      <c r="W316" s="146">
        <f>'ERDR Iterations'!H$25</f>
        <v>0</v>
      </c>
      <c r="X316" s="144">
        <f>IF(AND($Q$308&gt;0,E316=0,B316=1,C316=1),M316,NA())</f>
        <v>-0.0783596869120265</v>
      </c>
      <c r="Y316" s="144">
        <f>IF(AND($Q$308&gt;0,E316=0,B316=1,C316=1),N316,NA())</f>
        <v>-0.707303634055379</v>
      </c>
      <c r="Z316" s="144" t="e">
        <f>IF(AND($Q$308&gt;0,E316=0,B316=1,C316=0),M316,NA())</f>
        <v>#N/A</v>
      </c>
      <c r="AA316" s="144" t="e">
        <f>IF(AND($Q$308&gt;0,E316=0,B316=1,C316=0),N316,NA())</f>
        <v>#N/A</v>
      </c>
      <c r="AB316" s="144" t="e">
        <f>IF(AND($Q$308&gt;0,E316=0,B316=2,C316=1),M316,NA())</f>
        <v>#N/A</v>
      </c>
      <c r="AC316" s="144" t="e">
        <f>IF(AND($Q$308&gt;0,E316=0,B316=2,C316=1),N316,NA())</f>
        <v>#N/A</v>
      </c>
      <c r="AD316" s="144" t="e">
        <f>IF(AND($Q$308&gt;0,E316=0,B316=2,C316=0),M316,NA())</f>
        <v>#N/A</v>
      </c>
      <c r="AE316" s="144" t="e">
        <f>IF(AND($Q$308&gt;0,E316=0,B316=2,C316=0),N316,NA())</f>
        <v>#N/A</v>
      </c>
      <c r="AF316" s="144" t="e">
        <f>IF(AND(E316=1,B316=1),M316,NA())</f>
        <v>#N/A</v>
      </c>
      <c r="AG316" s="144" t="e">
        <f>IF(AND(E316=1,B316=1),N316,NA())</f>
        <v>#N/A</v>
      </c>
      <c r="AH316" s="144" t="e">
        <f>IF(AND(E316=1,B316=2),M316,NA())</f>
        <v>#N/A</v>
      </c>
      <c r="AI316" s="144" t="e">
        <f>IF(AND(E316=1,B316=2),N316,NA())</f>
        <v>#N/A</v>
      </c>
      <c r="AJ316" s="145" t="str">
        <f>A316&amp;IF(E316=1," = Sᵢ",IF(C316=0," (in D)",""))&amp;IF(V316=1,"  ·  g "&amp;T316&amp;"→"&amp;U316,"")&amp;IF(W316=1,"  → D","")</f>
        <v>S₇</v>
      </c>
      <c r="AN316" s="146">
        <v>6</v>
      </c>
      <c r="AO316" s="144">
        <f>IF($I$310=1,$M$310+$H$310/$Z$308*$L$11,NA())</f>
        <v>-0.0783596869120265</v>
      </c>
      <c r="AP316" s="144">
        <f>IF($S$310=1,$N$310+$H$310/$Z$308*$M$11,NA())</f>
        <v>0.255638853695557</v>
      </c>
      <c r="AQ316" s="144" t="e">
        <f>IF(AND($I$310=1,$C$310=1,$S$310=0),$N$310+$H$310/$Z$308*$M$11,NA())</f>
        <v>#N/A</v>
      </c>
      <c r="AR316" s="144" t="e">
        <f>IF(AND($I$310=1,$C$310=0),$N$310+$H$310/$Z$308*$M$11,NA())</f>
        <v>#N/A</v>
      </c>
      <c r="AS316" s="144">
        <f>IF($I$311=1,$M$311+$H$311/$Z$308*$L$11,NA())</f>
        <v>-0.0783596869120265</v>
      </c>
      <c r="AT316" s="144">
        <f>IF($S$311=1,$N$311+$H$311/$Z$308*$M$11,NA())</f>
        <v>0.802026906801642</v>
      </c>
      <c r="AU316" s="144" t="e">
        <f>IF(AND($I$311=1,$C$311=1,$S$311=0),$N$311+$H$311/$Z$308*$M$11,NA())</f>
        <v>#N/A</v>
      </c>
      <c r="AV316" s="144" t="e">
        <f>IF(AND($I$311=1,$C$311=0),$N$311+$H$311/$Z$308*$M$11,NA())</f>
        <v>#N/A</v>
      </c>
      <c r="AW316" s="144" t="e">
        <f>IF($I$312=1,$M$312+$H$312/$Z$308*$L$11,NA())</f>
        <v>#N/A</v>
      </c>
      <c r="AX316" s="144" t="e">
        <f>IF($S$312=1,$N$312+$H$312/$Z$308*$M$11,NA())</f>
        <v>#N/A</v>
      </c>
      <c r="AY316" s="144" t="e">
        <f>IF(AND($I$312=1,$C$312=1,$S$312=0),$N$312+$H$312/$Z$308*$M$11,NA())</f>
        <v>#N/A</v>
      </c>
      <c r="AZ316" s="144" t="e">
        <f>IF(AND($I$312=1,$C$312=0),$N$312+$H$312/$Z$308*$M$11,NA())</f>
        <v>#N/A</v>
      </c>
      <c r="BA316" s="144">
        <f>IF($I$313=1,$M$313+$H$313/$Z$308*$L$11,NA())</f>
        <v>-0.559068460261719</v>
      </c>
      <c r="BB316" s="144" t="e">
        <f>IF($S$313=1,$N$313+$H$313/$Z$308*$M$11,NA())</f>
        <v>#N/A</v>
      </c>
      <c r="BC316" s="144">
        <f>IF(AND($I$313=1,$C$313=1,$S$313=0),$N$313+$H$313/$Z$308*$M$11,NA())</f>
        <v>-0.18103339254247</v>
      </c>
      <c r="BD316" s="144" t="e">
        <f>IF(AND($I$313=1,$C$313=0),$N$313+$H$313/$Z$308*$M$11,NA())</f>
        <v>#N/A</v>
      </c>
      <c r="BE316" s="144">
        <f>IF($I$314=1,$M$314+$H$314/$Z$308*$L$11,NA())</f>
        <v>0.273910967668243</v>
      </c>
      <c r="BF316" s="144">
        <f>IF($S$314=1,$N$314+$H$314/$Z$308*$M$11,NA())</f>
        <v>0.585044996995789</v>
      </c>
      <c r="BG316" s="144" t="e">
        <f>IF(AND($I$314=1,$C$314=1,$S$314=0),$N$314+$H$314/$Z$308*$M$11,NA())</f>
        <v>#N/A</v>
      </c>
      <c r="BH316" s="144" t="e">
        <f>IF(AND($I$314=1,$C$314=0),$N$314+$H$314/$Z$308*$M$11,NA())</f>
        <v>#N/A</v>
      </c>
      <c r="BI316" s="144" t="e">
        <f>IF($I$315=1,$M$315+$H$315/$Z$308*$L$11,NA())</f>
        <v>#N/A</v>
      </c>
      <c r="BJ316" s="144" t="e">
        <f>IF($S$315=1,$N$315+$H$315/$Z$308*$M$11,NA())</f>
        <v>#N/A</v>
      </c>
      <c r="BK316" s="144" t="e">
        <f>IF(AND($I$315=1,$C$315=1,$S$315=0),$N$315+$H$315/$Z$308*$M$11,NA())</f>
        <v>#N/A</v>
      </c>
      <c r="BL316" s="144" t="e">
        <f>IF(AND($I$315=1,$C$315=0),$N$315+$H$315/$Z$308*$M$11,NA())</f>
        <v>#N/A</v>
      </c>
      <c r="BM316" s="144" t="e">
        <f>IF($I$316=1,$M$316+$H$316/$Z$308*$L$11,NA())</f>
        <v>#N/A</v>
      </c>
      <c r="BN316" s="144" t="e">
        <f>IF($S$316=1,$N$316+$H$316/$Z$308*$M$11,NA())</f>
        <v>#N/A</v>
      </c>
      <c r="BO316" s="144" t="e">
        <f>IF(AND($I$316=1,$C$316=1,$S$316=0),$N$316+$H$316/$Z$308*$M$11,NA())</f>
        <v>#N/A</v>
      </c>
      <c r="BP316" s="144" t="e">
        <f>IF(AND($I$316=1,$C$316=0),$N$316+$H$316/$Z$308*$M$11,NA())</f>
        <v>#N/A</v>
      </c>
    </row>
    <row r="317">
      <c r="A317" s="63" t="inlineStr">
        <is>
          <t xml:space="preserve">Message</t>
        </is>
      </c>
      <c r="D317" s="145" t="str">
        <f>"Queue empty → Step 6:   D = "&amp;'Training &amp; Validation'!$B$19&amp;"   ·   F = "&amp;'Training &amp; Validation'!$B$20</f>
        <v>Queue empty → Step 6:   D = {S₁, S₂, S₅, S₆, S₇}   ·   F = {S₃, S₄}</v>
      </c>
      <c r="E317" s="144" t="e">
        <f>IF($Q$308=0,0,NA())</f>
        <v>#N/A</v>
      </c>
      <c r="F317" s="144" t="e">
        <f>IF($Q$308=0,0,NA())</f>
        <v>#N/A</v>
      </c>
      <c r="AN317" s="146">
        <v>7</v>
      </c>
      <c r="AO317" s="144">
        <f>IF($I$310=1,$M$310+$H$310/$Z$308*$L$12,NA())</f>
        <v>-0.199909305653613</v>
      </c>
      <c r="AP317" s="144">
        <f>IF($S$310=1,$N$310+$H$310/$Z$308*$M$12,NA())</f>
        <v>0.239636542807431</v>
      </c>
      <c r="AQ317" s="144" t="e">
        <f>IF(AND($I$310=1,$C$310=1,$S$310=0),$N$310+$H$310/$Z$308*$M$12,NA())</f>
        <v>#N/A</v>
      </c>
      <c r="AR317" s="144" t="e">
        <f>IF(AND($I$310=1,$C$310=0),$N$310+$H$310/$Z$308*$M$12,NA())</f>
        <v>#N/A</v>
      </c>
      <c r="AS317" s="144">
        <f>IF($I$311=1,$M$311+$H$311/$Z$308*$L$12,NA())</f>
        <v>-0.24029279533787</v>
      </c>
      <c r="AT317" s="144">
        <f>IF($S$311=1,$N$311+$H$311/$Z$308*$M$12,NA())</f>
        <v>0.780708008635289</v>
      </c>
      <c r="AU317" s="144" t="e">
        <f>IF(AND($I$311=1,$C$311=1,$S$311=0),$N$311+$H$311/$Z$308*$M$12,NA())</f>
        <v>#N/A</v>
      </c>
      <c r="AV317" s="144" t="e">
        <f>IF(AND($I$311=1,$C$311=0),$N$311+$H$311/$Z$308*$M$12,NA())</f>
        <v>#N/A</v>
      </c>
      <c r="AW317" s="144" t="e">
        <f>IF($I$312=1,$M$312+$H$312/$Z$308*$L$12,NA())</f>
        <v>#N/A</v>
      </c>
      <c r="AX317" s="144" t="e">
        <f>IF($S$312=1,$N$312+$H$312/$Z$308*$M$12,NA())</f>
        <v>#N/A</v>
      </c>
      <c r="AY317" s="144" t="e">
        <f>IF(AND($I$312=1,$C$312=1,$S$312=0),$N$312+$H$312/$Z$308*$M$12,NA())</f>
        <v>#N/A</v>
      </c>
      <c r="AZ317" s="144" t="e">
        <f>IF(AND($I$312=1,$C$312=0),$N$312+$H$312/$Z$308*$M$12,NA())</f>
        <v>#N/A</v>
      </c>
      <c r="BA317" s="144">
        <f>IF($I$313=1,$M$313+$H$313/$Z$308*$L$12,NA())</f>
        <v>-0.639430934449427</v>
      </c>
      <c r="BB317" s="144" t="e">
        <f>IF($S$313=1,$N$313+$H$313/$Z$308*$M$12,NA())</f>
        <v>#N/A</v>
      </c>
      <c r="BC317" s="144">
        <f>IF(AND($I$313=1,$C$313=1,$S$313=0),$N$313+$H$313/$Z$308*$M$12,NA())</f>
        <v>-0.191613312981585</v>
      </c>
      <c r="BD317" s="144" t="e">
        <f>IF(AND($I$313=1,$C$313=0),$N$313+$H$313/$Z$308*$M$12,NA())</f>
        <v>#N/A</v>
      </c>
      <c r="BE317" s="144">
        <f>IF($I$314=1,$M$314+$H$314/$Z$308*$L$12,NA())</f>
        <v>0.119744303543662</v>
      </c>
      <c r="BF317" s="144">
        <f>IF($S$314=1,$N$314+$H$314/$Z$308*$M$12,NA())</f>
        <v>0.564748570619071</v>
      </c>
      <c r="BG317" s="144" t="e">
        <f>IF(AND($I$314=1,$C$314=1,$S$314=0),$N$314+$H$314/$Z$308*$M$12,NA())</f>
        <v>#N/A</v>
      </c>
      <c r="BH317" s="144" t="e">
        <f>IF(AND($I$314=1,$C$314=0),$N$314+$H$314/$Z$308*$M$12,NA())</f>
        <v>#N/A</v>
      </c>
      <c r="BI317" s="144" t="e">
        <f>IF($I$315=1,$M$315+$H$315/$Z$308*$L$12,NA())</f>
        <v>#N/A</v>
      </c>
      <c r="BJ317" s="144" t="e">
        <f>IF($S$315=1,$N$315+$H$315/$Z$308*$M$12,NA())</f>
        <v>#N/A</v>
      </c>
      <c r="BK317" s="144" t="e">
        <f>IF(AND($I$315=1,$C$315=1,$S$315=0),$N$315+$H$315/$Z$308*$M$12,NA())</f>
        <v>#N/A</v>
      </c>
      <c r="BL317" s="144" t="e">
        <f>IF(AND($I$315=1,$C$315=0),$N$315+$H$315/$Z$308*$M$12,NA())</f>
        <v>#N/A</v>
      </c>
      <c r="BM317" s="144" t="e">
        <f>IF($I$316=1,$M$316+$H$316/$Z$308*$L$12,NA())</f>
        <v>#N/A</v>
      </c>
      <c r="BN317" s="144" t="e">
        <f>IF($S$316=1,$N$316+$H$316/$Z$308*$M$12,NA())</f>
        <v>#N/A</v>
      </c>
      <c r="BO317" s="144" t="e">
        <f>IF(AND($I$316=1,$C$316=1,$S$316=0),$N$316+$H$316/$Z$308*$M$12,NA())</f>
        <v>#N/A</v>
      </c>
      <c r="BP317" s="144" t="e">
        <f>IF(AND($I$316=1,$C$316=0),$N$316+$H$316/$Z$308*$M$12,NA())</f>
        <v>#N/A</v>
      </c>
    </row>
    <row r="318">
      <c r="A318" s="147" t="inlineStr">
        <is>
          <t xml:space="preserve">Label slot</t>
        </is>
      </c>
      <c r="B318" s="147" t="inlineStr">
        <is>
          <t xml:space="preserve">Rank t</t>
        </is>
      </c>
      <c r="C318" s="147" t="inlineStr">
        <is>
          <t xml:space="preserve">Object</t>
        </is>
      </c>
      <c r="D318" s="147" t="inlineStr">
        <is>
          <t xml:space="preserve">Label</t>
        </is>
      </c>
      <c r="E318" s="147" t="inlineStr">
        <is>
          <t xml:space="preserve">x</t>
        </is>
      </c>
      <c r="F318" s="147" t="inlineStr">
        <is>
          <t xml:space="preserve">y</t>
        </is>
      </c>
      <c r="AN318" s="146">
        <v>8</v>
      </c>
      <c r="AO318" s="144">
        <f>IF($I$310=1,$M$310+$H$310/$Z$308*$L$13,NA())</f>
        <v>-0.313175518748203</v>
      </c>
      <c r="AP318" s="144">
        <f>IF($S$310=1,$N$310+$H$310/$Z$308*$M$13,NA())</f>
        <v>0.192720141185011</v>
      </c>
      <c r="AQ318" s="144" t="e">
        <f>IF(AND($I$310=1,$C$310=1,$S$310=0),$N$310+$H$310/$Z$308*$M$13,NA())</f>
        <v>#N/A</v>
      </c>
      <c r="AR318" s="144" t="e">
        <f>IF(AND($I$310=1,$C$310=0),$N$310+$H$310/$Z$308*$M$13,NA())</f>
        <v>#N/A</v>
      </c>
      <c r="AS318" s="144">
        <f>IF($I$311=1,$M$311+$H$311/$Z$308*$L$13,NA())</f>
        <v>-0.391190430031607</v>
      </c>
      <c r="AT318" s="144">
        <f>IF($S$311=1,$N$311+$H$311/$Z$308*$M$13,NA())</f>
        <v>0.718204161815122</v>
      </c>
      <c r="AU318" s="144" t="e">
        <f>IF(AND($I$311=1,$C$311=1,$S$311=0),$N$311+$H$311/$Z$308*$M$13,NA())</f>
        <v>#N/A</v>
      </c>
      <c r="AV318" s="144" t="e">
        <f>IF(AND($I$311=1,$C$311=0),$N$311+$H$311/$Z$308*$M$13,NA())</f>
        <v>#N/A</v>
      </c>
      <c r="AW318" s="144" t="e">
        <f>IF($I$312=1,$M$312+$H$312/$Z$308*$L$13,NA())</f>
        <v>#N/A</v>
      </c>
      <c r="AX318" s="144" t="e">
        <f>IF($S$312=1,$N$312+$H$312/$Z$308*$M$13,NA())</f>
        <v>#N/A</v>
      </c>
      <c r="AY318" s="144" t="e">
        <f>IF(AND($I$312=1,$C$312=1,$S$312=0),$N$312+$H$312/$Z$308*$M$13,NA())</f>
        <v>#N/A</v>
      </c>
      <c r="AZ318" s="144" t="e">
        <f>IF(AND($I$312=1,$C$312=0),$N$312+$H$312/$Z$308*$M$13,NA())</f>
        <v>#N/A</v>
      </c>
      <c r="BA318" s="144">
        <f>IF($I$313=1,$M$313+$H$313/$Z$308*$L$13,NA())</f>
        <v>-0.714316838826511</v>
      </c>
      <c r="BB318" s="144" t="e">
        <f>IF($S$313=1,$N$313+$H$313/$Z$308*$M$13,NA())</f>
        <v>#N/A</v>
      </c>
      <c r="BC318" s="144">
        <f>IF(AND($I$313=1,$C$313=1,$S$313=0),$N$313+$H$313/$Z$308*$M$13,NA())</f>
        <v>-0.222632070205148</v>
      </c>
      <c r="BD318" s="144" t="e">
        <f>IF(AND($I$313=1,$C$313=0),$N$313+$H$313/$Z$308*$M$13,NA())</f>
        <v>#N/A</v>
      </c>
      <c r="BE318" s="144">
        <f>IF($I$314=1,$M$314+$H$314/$Z$308*$L$13,NA())</f>
        <v>-0.0239161571932873</v>
      </c>
      <c r="BF318" s="144">
        <f>IF($S$314=1,$N$314+$H$314/$Z$308*$M$13,NA())</f>
        <v>0.505242459405059</v>
      </c>
      <c r="BG318" s="144" t="e">
        <f>IF(AND($I$314=1,$C$314=1,$S$314=0),$N$314+$H$314/$Z$308*$M$13,NA())</f>
        <v>#N/A</v>
      </c>
      <c r="BH318" s="144" t="e">
        <f>IF(AND($I$314=1,$C$314=0),$N$314+$H$314/$Z$308*$M$13,NA())</f>
        <v>#N/A</v>
      </c>
      <c r="BI318" s="144" t="e">
        <f>IF($I$315=1,$M$315+$H$315/$Z$308*$L$13,NA())</f>
        <v>#N/A</v>
      </c>
      <c r="BJ318" s="144" t="e">
        <f>IF($S$315=1,$N$315+$H$315/$Z$308*$M$13,NA())</f>
        <v>#N/A</v>
      </c>
      <c r="BK318" s="144" t="e">
        <f>IF(AND($I$315=1,$C$315=1,$S$315=0),$N$315+$H$315/$Z$308*$M$13,NA())</f>
        <v>#N/A</v>
      </c>
      <c r="BL318" s="144" t="e">
        <f>IF(AND($I$315=1,$C$315=0),$N$315+$H$315/$Z$308*$M$13,NA())</f>
        <v>#N/A</v>
      </c>
      <c r="BM318" s="144" t="e">
        <f>IF($I$316=1,$M$316+$H$316/$Z$308*$L$13,NA())</f>
        <v>#N/A</v>
      </c>
      <c r="BN318" s="144" t="e">
        <f>IF($S$316=1,$N$316+$H$316/$Z$308*$M$13,NA())</f>
        <v>#N/A</v>
      </c>
      <c r="BO318" s="144" t="e">
        <f>IF(AND($I$316=1,$C$316=1,$S$316=0),$N$316+$H$316/$Z$308*$M$13,NA())</f>
        <v>#N/A</v>
      </c>
      <c r="BP318" s="144" t="e">
        <f>IF(AND($I$316=1,$C$316=0),$N$316+$H$316/$Z$308*$M$13,NA())</f>
        <v>#N/A</v>
      </c>
    </row>
    <row r="319">
      <c r="A319" s="63" t="inlineStr">
        <is>
          <t xml:space="preserve">slot 1 (t)</t>
        </is>
      </c>
      <c r="B319" s="146">
        <v>1</v>
      </c>
      <c r="C319" s="146">
        <f>IFERROR(MATCH(B319,$F$310:$F$316,0),NA())</f>
        <v>2</v>
      </c>
      <c r="D319" s="145" t="str">
        <f>IFERROR(INDEX($AJ$310:$AJ$316,C319),"")</f>
        <v>S₂  ·  g 4→3</v>
      </c>
      <c r="E319" s="144">
        <f>IFERROR(INDEX($M$310:$M$316,C319),NA())</f>
        <v>-0.0783596869120265</v>
      </c>
      <c r="F319" s="144">
        <f>IFERROR(INDEX($N$310:$N$316,C319),NA())</f>
        <v>0.17636542056248</v>
      </c>
      <c r="AN319" s="146">
        <v>9</v>
      </c>
      <c r="AO319" s="144">
        <f>IF($I$310=1,$M$310+$H$310/$Z$308*$L$14,NA())</f>
        <v>-0.410439420954668</v>
      </c>
      <c r="AP319" s="144">
        <f>IF($S$310=1,$N$310+$H$310/$Z$308*$M$14,NA())</f>
        <v>0.118086924065845</v>
      </c>
      <c r="AQ319" s="144" t="e">
        <f>IF(AND($I$310=1,$C$310=1,$S$310=0),$N$310+$H$310/$Z$308*$M$14,NA())</f>
        <v>#N/A</v>
      </c>
      <c r="AR319" s="144" t="e">
        <f>IF(AND($I$310=1,$C$310=0),$N$310+$H$310/$Z$308*$M$14,NA())</f>
        <v>#N/A</v>
      </c>
      <c r="AS319" s="144">
        <f>IF($I$311=1,$M$311+$H$311/$Z$308*$L$14,NA())</f>
        <v>-0.520769166558992</v>
      </c>
      <c r="AT319" s="144">
        <f>IF($S$311=1,$N$311+$H$311/$Z$308*$M$14,NA())</f>
        <v>0.618774900209445</v>
      </c>
      <c r="AU319" s="144" t="e">
        <f>IF(AND($I$311=1,$C$311=1,$S$311=0),$N$311+$H$311/$Z$308*$M$14,NA())</f>
        <v>#N/A</v>
      </c>
      <c r="AV319" s="144" t="e">
        <f>IF(AND($I$311=1,$C$311=0),$N$311+$H$311/$Z$308*$M$14,NA())</f>
        <v>#N/A</v>
      </c>
      <c r="AW319" s="144" t="e">
        <f>IF($I$312=1,$M$312+$H$312/$Z$308*$L$14,NA())</f>
        <v>#N/A</v>
      </c>
      <c r="AX319" s="144" t="e">
        <f>IF($S$312=1,$N$312+$H$312/$Z$308*$M$14,NA())</f>
        <v>#N/A</v>
      </c>
      <c r="AY319" s="144" t="e">
        <f>IF(AND($I$312=1,$C$312=1,$S$312=0),$N$312+$H$312/$Z$308*$M$14,NA())</f>
        <v>#N/A</v>
      </c>
      <c r="AZ319" s="144" t="e">
        <f>IF(AND($I$312=1,$C$312=0),$N$312+$H$312/$Z$308*$M$14,NA())</f>
        <v>#N/A</v>
      </c>
      <c r="BA319" s="144">
        <f>IF($I$313=1,$M$313+$H$313/$Z$308*$L$14,NA())</f>
        <v>-0.778622822764481</v>
      </c>
      <c r="BB319" s="144" t="e">
        <f>IF($S$313=1,$N$313+$H$313/$Z$308*$M$14,NA())</f>
        <v>#N/A</v>
      </c>
      <c r="BC319" s="144">
        <f>IF(AND($I$313=1,$C$313=1,$S$313=0),$N$313+$H$313/$Z$308*$M$14,NA())</f>
        <v>-0.271975787169293</v>
      </c>
      <c r="BD319" s="144" t="e">
        <f>IF(AND($I$313=1,$C$313=0),$N$313+$H$313/$Z$308*$M$14,NA())</f>
        <v>#N/A</v>
      </c>
      <c r="BE319" s="144">
        <f>IF($I$314=1,$M$314+$H$314/$Z$308*$L$14,NA())</f>
        <v>-0.147280191553519</v>
      </c>
      <c r="BF319" s="144">
        <f>IF($S$314=1,$N$314+$H$314/$Z$308*$M$14,NA())</f>
        <v>0.41058190649449</v>
      </c>
      <c r="BG319" s="144" t="e">
        <f>IF(AND($I$314=1,$C$314=1,$S$314=0),$N$314+$H$314/$Z$308*$M$14,NA())</f>
        <v>#N/A</v>
      </c>
      <c r="BH319" s="144" t="e">
        <f>IF(AND($I$314=1,$C$314=0),$N$314+$H$314/$Z$308*$M$14,NA())</f>
        <v>#N/A</v>
      </c>
      <c r="BI319" s="144" t="e">
        <f>IF($I$315=1,$M$315+$H$315/$Z$308*$L$14,NA())</f>
        <v>#N/A</v>
      </c>
      <c r="BJ319" s="144" t="e">
        <f>IF($S$315=1,$N$315+$H$315/$Z$308*$M$14,NA())</f>
        <v>#N/A</v>
      </c>
      <c r="BK319" s="144" t="e">
        <f>IF(AND($I$315=1,$C$315=1,$S$315=0),$N$315+$H$315/$Z$308*$M$14,NA())</f>
        <v>#N/A</v>
      </c>
      <c r="BL319" s="144" t="e">
        <f>IF(AND($I$315=1,$C$315=0),$N$315+$H$315/$Z$308*$M$14,NA())</f>
        <v>#N/A</v>
      </c>
      <c r="BM319" s="144" t="e">
        <f>IF($I$316=1,$M$316+$H$316/$Z$308*$L$14,NA())</f>
        <v>#N/A</v>
      </c>
      <c r="BN319" s="144" t="e">
        <f>IF($S$316=1,$N$316+$H$316/$Z$308*$M$14,NA())</f>
        <v>#N/A</v>
      </c>
      <c r="BO319" s="144" t="e">
        <f>IF(AND($I$316=1,$C$316=1,$S$316=0),$N$316+$H$316/$Z$308*$M$14,NA())</f>
        <v>#N/A</v>
      </c>
      <c r="BP319" s="144" t="e">
        <f>IF(AND($I$316=1,$C$316=0),$N$316+$H$316/$Z$308*$M$14,NA())</f>
        <v>#N/A</v>
      </c>
    </row>
    <row r="320">
      <c r="A320" s="63" t="inlineStr">
        <is>
          <t xml:space="preserve">slot 2 (r)</t>
        </is>
      </c>
      <c r="B320" s="146">
        <v>2</v>
      </c>
      <c r="C320" s="146">
        <f>IFERROR(MATCH(B320,$F$310:$F$316,0),NA())</f>
        <v>5</v>
      </c>
      <c r="D320" s="145" t="str">
        <f>IFERROR(INDEX($AJ$310:$AJ$316,C320),"")</f>
        <v>S₅  ·  g 3→2</v>
      </c>
      <c r="E320" s="144">
        <f>IFERROR(INDEX($M$310:$M$316,C320),NA())</f>
        <v>0.273910967668243</v>
      </c>
      <c r="F320" s="144">
        <f>IFERROR(INDEX($N$310:$N$316,C320),NA())</f>
        <v>-0.010609252727272</v>
      </c>
      <c r="AN320" s="146">
        <v>10</v>
      </c>
      <c r="AO320" s="144">
        <f>IF($I$310=1,$M$310+$H$310/$Z$308*$L$15,NA())</f>
        <v>-0.485072638073834</v>
      </c>
      <c r="AP320" s="144">
        <f>IF($S$310=1,$N$310+$H$310/$Z$308*$M$15,NA())</f>
        <v>0.0208230218593802</v>
      </c>
      <c r="AQ320" s="144" t="e">
        <f>IF(AND($I$310=1,$C$310=1,$S$310=0),$N$310+$H$310/$Z$308*$M$15,NA())</f>
        <v>#N/A</v>
      </c>
      <c r="AR320" s="144" t="e">
        <f>IF(AND($I$310=1,$C$310=0),$N$310+$H$310/$Z$308*$M$15,NA())</f>
        <v>#N/A</v>
      </c>
      <c r="AS320" s="144">
        <f>IF($I$311=1,$M$311+$H$311/$Z$308*$L$15,NA())</f>
        <v>-0.620198428164669</v>
      </c>
      <c r="AT320" s="144">
        <f>IF($S$311=1,$N$311+$H$311/$Z$308*$M$15,NA())</f>
        <v>0.489196163682061</v>
      </c>
      <c r="AU320" s="144" t="e">
        <f>IF(AND($I$311=1,$C$311=1,$S$311=0),$N$311+$H$311/$Z$308*$M$15,NA())</f>
        <v>#N/A</v>
      </c>
      <c r="AV320" s="144" t="e">
        <f>IF(AND($I$311=1,$C$311=0),$N$311+$H$311/$Z$308*$M$15,NA())</f>
        <v>#N/A</v>
      </c>
      <c r="AW320" s="144" t="e">
        <f>IF($I$312=1,$M$312+$H$312/$Z$308*$L$15,NA())</f>
        <v>#N/A</v>
      </c>
      <c r="AX320" s="144" t="e">
        <f>IF($S$312=1,$N$312+$H$312/$Z$308*$M$15,NA())</f>
        <v>#N/A</v>
      </c>
      <c r="AY320" s="144" t="e">
        <f>IF(AND($I$312=1,$C$312=1,$S$312=0),$N$312+$H$312/$Z$308*$M$15,NA())</f>
        <v>#N/A</v>
      </c>
      <c r="AZ320" s="144" t="e">
        <f>IF(AND($I$312=1,$C$312=0),$N$312+$H$312/$Z$308*$M$15,NA())</f>
        <v>#N/A</v>
      </c>
      <c r="BA320" s="144">
        <f>IF($I$313=1,$M$313+$H$313/$Z$308*$L$15,NA())</f>
        <v>-0.827966539728627</v>
      </c>
      <c r="BB320" s="144" t="e">
        <f>IF($S$313=1,$N$313+$H$313/$Z$308*$M$15,NA())</f>
        <v>#N/A</v>
      </c>
      <c r="BC320" s="144">
        <f>IF(AND($I$313=1,$C$313=1,$S$313=0),$N$313+$H$313/$Z$308*$M$15,NA())</f>
        <v>-0.336281771107263</v>
      </c>
      <c r="BD320" s="144" t="e">
        <f>IF(AND($I$313=1,$C$313=0),$N$313+$H$313/$Z$308*$M$15,NA())</f>
        <v>#N/A</v>
      </c>
      <c r="BE320" s="144">
        <f>IF($I$314=1,$M$314+$H$314/$Z$308*$L$15,NA())</f>
        <v>-0.241940744464088</v>
      </c>
      <c r="BF320" s="144">
        <f>IF($S$314=1,$N$314+$H$314/$Z$308*$M$15,NA())</f>
        <v>0.287217872134259</v>
      </c>
      <c r="BG320" s="144" t="e">
        <f>IF(AND($I$314=1,$C$314=1,$S$314=0),$N$314+$H$314/$Z$308*$M$15,NA())</f>
        <v>#N/A</v>
      </c>
      <c r="BH320" s="144" t="e">
        <f>IF(AND($I$314=1,$C$314=0),$N$314+$H$314/$Z$308*$M$15,NA())</f>
        <v>#N/A</v>
      </c>
      <c r="BI320" s="144" t="e">
        <f>IF($I$315=1,$M$315+$H$315/$Z$308*$L$15,NA())</f>
        <v>#N/A</v>
      </c>
      <c r="BJ320" s="144" t="e">
        <f>IF($S$315=1,$N$315+$H$315/$Z$308*$M$15,NA())</f>
        <v>#N/A</v>
      </c>
      <c r="BK320" s="144" t="e">
        <f>IF(AND($I$315=1,$C$315=1,$S$315=0),$N$315+$H$315/$Z$308*$M$15,NA())</f>
        <v>#N/A</v>
      </c>
      <c r="BL320" s="144" t="e">
        <f>IF(AND($I$315=1,$C$315=0),$N$315+$H$315/$Z$308*$M$15,NA())</f>
        <v>#N/A</v>
      </c>
      <c r="BM320" s="144" t="e">
        <f>IF($I$316=1,$M$316+$H$316/$Z$308*$L$15,NA())</f>
        <v>#N/A</v>
      </c>
      <c r="BN320" s="144" t="e">
        <f>IF($S$316=1,$N$316+$H$316/$Z$308*$M$15,NA())</f>
        <v>#N/A</v>
      </c>
      <c r="BO320" s="144" t="e">
        <f>IF(AND($I$316=1,$C$316=1,$S$316=0),$N$316+$H$316/$Z$308*$M$15,NA())</f>
        <v>#N/A</v>
      </c>
      <c r="BP320" s="144" t="e">
        <f>IF(AND($I$316=1,$C$316=0),$N$316+$H$316/$Z$308*$M$15,NA())</f>
        <v>#N/A</v>
      </c>
    </row>
    <row r="321">
      <c r="A321" s="63" t="inlineStr">
        <is>
          <t xml:space="preserve">slot 3 (r)</t>
        </is>
      </c>
      <c r="B321" s="146">
        <v>3</v>
      </c>
      <c r="C321" s="146">
        <f>IFERROR(MATCH(B321,$F$310:$F$316,0),NA())</f>
        <v>3</v>
      </c>
      <c r="D321" s="145" t="str">
        <f>IFERROR(INDEX($AJ$310:$AJ$316,C321),"")</f>
        <v>S₃</v>
      </c>
      <c r="E321" s="144">
        <f>IFERROR(INDEX($M$310:$M$316,C321),NA())</f>
        <v>0.328353264249781</v>
      </c>
      <c r="F321" s="144">
        <f>IFERROR(INDEX($N$310:$N$316,C321),NA())</f>
        <v>-0.448808641812973</v>
      </c>
      <c r="AN321" s="146">
        <v>11</v>
      </c>
      <c r="AO321" s="144">
        <f>IF($I$310=1,$M$310+$H$310/$Z$308*$L$16,NA())</f>
        <v>-0.531989039696254</v>
      </c>
      <c r="AP321" s="144">
        <f>IF($S$310=1,$N$310+$H$310/$Z$308*$M$16,NA())</f>
        <v>-0.0924431912352096</v>
      </c>
      <c r="AQ321" s="144" t="e">
        <f>IF(AND($I$310=1,$C$310=1,$S$310=0),$N$310+$H$310/$Z$308*$M$16,NA())</f>
        <v>#N/A</v>
      </c>
      <c r="AR321" s="144" t="e">
        <f>IF(AND($I$310=1,$C$310=0),$N$310+$H$310/$Z$308*$M$16,NA())</f>
        <v>#N/A</v>
      </c>
      <c r="AS321" s="144">
        <f>IF($I$311=1,$M$311+$H$311/$Z$308*$L$16,NA())</f>
        <v>-0.682702274984835</v>
      </c>
      <c r="AT321" s="144">
        <f>IF($S$311=1,$N$311+$H$311/$Z$308*$M$16,NA())</f>
        <v>0.338298528988324</v>
      </c>
      <c r="AU321" s="144" t="e">
        <f>IF(AND($I$311=1,$C$311=1,$S$311=0),$N$311+$H$311/$Z$308*$M$16,NA())</f>
        <v>#N/A</v>
      </c>
      <c r="AV321" s="144" t="e">
        <f>IF(AND($I$311=1,$C$311=0),$N$311+$H$311/$Z$308*$M$16,NA())</f>
        <v>#N/A</v>
      </c>
      <c r="AW321" s="144" t="e">
        <f>IF($I$312=1,$M$312+$H$312/$Z$308*$L$16,NA())</f>
        <v>#N/A</v>
      </c>
      <c r="AX321" s="144" t="e">
        <f>IF($S$312=1,$N$312+$H$312/$Z$308*$M$16,NA())</f>
        <v>#N/A</v>
      </c>
      <c r="AY321" s="144" t="e">
        <f>IF(AND($I$312=1,$C$312=1,$S$312=0),$N$312+$H$312/$Z$308*$M$16,NA())</f>
        <v>#N/A</v>
      </c>
      <c r="AZ321" s="144" t="e">
        <f>IF(AND($I$312=1,$C$312=0),$N$312+$H$312/$Z$308*$M$16,NA())</f>
        <v>#N/A</v>
      </c>
      <c r="BA321" s="144">
        <f>IF($I$313=1,$M$313+$H$313/$Z$308*$L$16,NA())</f>
        <v>-0.85898529695219</v>
      </c>
      <c r="BB321" s="144" t="e">
        <f>IF($S$313=1,$N$313+$H$313/$Z$308*$M$16,NA())</f>
        <v>#N/A</v>
      </c>
      <c r="BC321" s="144">
        <f>IF(AND($I$313=1,$C$313=1,$S$313=0),$N$313+$H$313/$Z$308*$M$16,NA())</f>
        <v>-0.411167675484347</v>
      </c>
      <c r="BD321" s="144" t="e">
        <f>IF(AND($I$313=1,$C$313=0),$N$313+$H$313/$Z$308*$M$16,NA())</f>
        <v>#N/A</v>
      </c>
      <c r="BE321" s="144">
        <f>IF($I$314=1,$M$314+$H$314/$Z$308*$L$16,NA())</f>
        <v>-0.3014468556781</v>
      </c>
      <c r="BF321" s="144">
        <f>IF($S$314=1,$N$314+$H$314/$Z$308*$M$16,NA())</f>
        <v>0.143557411397309</v>
      </c>
      <c r="BG321" s="144" t="e">
        <f>IF(AND($I$314=1,$C$314=1,$S$314=0),$N$314+$H$314/$Z$308*$M$16,NA())</f>
        <v>#N/A</v>
      </c>
      <c r="BH321" s="144" t="e">
        <f>IF(AND($I$314=1,$C$314=0),$N$314+$H$314/$Z$308*$M$16,NA())</f>
        <v>#N/A</v>
      </c>
      <c r="BI321" s="144" t="e">
        <f>IF($I$315=1,$M$315+$H$315/$Z$308*$L$16,NA())</f>
        <v>#N/A</v>
      </c>
      <c r="BJ321" s="144" t="e">
        <f>IF($S$315=1,$N$315+$H$315/$Z$308*$M$16,NA())</f>
        <v>#N/A</v>
      </c>
      <c r="BK321" s="144" t="e">
        <f>IF(AND($I$315=1,$C$315=1,$S$315=0),$N$315+$H$315/$Z$308*$M$16,NA())</f>
        <v>#N/A</v>
      </c>
      <c r="BL321" s="144" t="e">
        <f>IF(AND($I$315=1,$C$315=0),$N$315+$H$315/$Z$308*$M$16,NA())</f>
        <v>#N/A</v>
      </c>
      <c r="BM321" s="144" t="e">
        <f>IF($I$316=1,$M$316+$H$316/$Z$308*$L$16,NA())</f>
        <v>#N/A</v>
      </c>
      <c r="BN321" s="144" t="e">
        <f>IF($S$316=1,$N$316+$H$316/$Z$308*$M$16,NA())</f>
        <v>#N/A</v>
      </c>
      <c r="BO321" s="144" t="e">
        <f>IF(AND($I$316=1,$C$316=1,$S$316=0),$N$316+$H$316/$Z$308*$M$16,NA())</f>
        <v>#N/A</v>
      </c>
      <c r="BP321" s="144" t="e">
        <f>IF(AND($I$316=1,$C$316=0),$N$316+$H$316/$Z$308*$M$16,NA())</f>
        <v>#N/A</v>
      </c>
    </row>
    <row r="322">
      <c r="A322" s="63" t="inlineStr">
        <is>
          <t xml:space="preserve">slot 4 (b)</t>
        </is>
      </c>
      <c r="B322" s="146">
        <v>4</v>
      </c>
      <c r="C322" s="146">
        <f>IFERROR(MATCH(B322,$F$310:$F$316,0),NA())</f>
        <v>7</v>
      </c>
      <c r="D322" s="145" t="str">
        <f>IFERROR(INDEX($AJ$310:$AJ$316,C322),"")</f>
        <v>S₇</v>
      </c>
      <c r="E322" s="144">
        <f>IFERROR(INDEX($M$310:$M$316,C322),NA())</f>
        <v>-0.0783596869120265</v>
      </c>
      <c r="F322" s="144">
        <f>IFERROR(INDEX($N$310:$N$316,C322),NA())</f>
        <v>-0.707303634055379</v>
      </c>
      <c r="AN322" s="146">
        <v>12</v>
      </c>
      <c r="AO322" s="144">
        <f>IF($I$310=1,$M$310+$H$310/$Z$308*$L$17,NA())</f>
        <v>-0.54799135058438</v>
      </c>
      <c r="AP322" s="144">
        <f>IF($S$310=1,$N$310+$H$310/$Z$308*$M$17,NA())</f>
        <v>-0.213992809976796</v>
      </c>
      <c r="AQ322" s="144" t="e">
        <f>IF(AND($I$310=1,$C$310=1,$S$310=0),$N$310+$H$310/$Z$308*$M$17,NA())</f>
        <v>#N/A</v>
      </c>
      <c r="AR322" s="144" t="e">
        <f>IF(AND($I$310=1,$C$310=0),$N$310+$H$310/$Z$308*$M$17,NA())</f>
        <v>#N/A</v>
      </c>
      <c r="AS322" s="144">
        <f>IF($I$311=1,$M$311+$H$311/$Z$308*$L$17,NA())</f>
        <v>-0.704021173151188</v>
      </c>
      <c r="AT322" s="144">
        <f>IF($S$311=1,$N$311+$H$311/$Z$308*$M$17,NA())</f>
        <v>0.17636542056248</v>
      </c>
      <c r="AU322" s="144" t="e">
        <f>IF(AND($I$311=1,$C$311=1,$S$311=0),$N$311+$H$311/$Z$308*$M$17,NA())</f>
        <v>#N/A</v>
      </c>
      <c r="AV322" s="144" t="e">
        <f>IF(AND($I$311=1,$C$311=0),$N$311+$H$311/$Z$308*$M$17,NA())</f>
        <v>#N/A</v>
      </c>
      <c r="AW322" s="144" t="e">
        <f>IF($I$312=1,$M$312+$H$312/$Z$308*$L$17,NA())</f>
        <v>#N/A</v>
      </c>
      <c r="AX322" s="144" t="e">
        <f>IF($S$312=1,$N$312+$H$312/$Z$308*$M$17,NA())</f>
        <v>#N/A</v>
      </c>
      <c r="AY322" s="144" t="e">
        <f>IF(AND($I$312=1,$C$312=1,$S$312=0),$N$312+$H$312/$Z$308*$M$17,NA())</f>
        <v>#N/A</v>
      </c>
      <c r="AZ322" s="144" t="e">
        <f>IF(AND($I$312=1,$C$312=0),$N$312+$H$312/$Z$308*$M$17,NA())</f>
        <v>#N/A</v>
      </c>
      <c r="BA322" s="144">
        <f>IF($I$313=1,$M$313+$H$313/$Z$308*$L$17,NA())</f>
        <v>-0.869565217391304</v>
      </c>
      <c r="BB322" s="144" t="e">
        <f>IF($S$313=1,$N$313+$H$313/$Z$308*$M$17,NA())</f>
        <v>#N/A</v>
      </c>
      <c r="BC322" s="144">
        <f>IF(AND($I$313=1,$C$313=1,$S$313=0),$N$313+$H$313/$Z$308*$M$17,NA())</f>
        <v>-0.491530149672056</v>
      </c>
      <c r="BD322" s="144" t="e">
        <f>IF(AND($I$313=1,$C$313=0),$N$313+$H$313/$Z$308*$M$17,NA())</f>
        <v>#N/A</v>
      </c>
      <c r="BE322" s="144">
        <f>IF($I$314=1,$M$314+$H$314/$Z$308*$L$17,NA())</f>
        <v>-0.321743282054818</v>
      </c>
      <c r="BF322" s="144">
        <f>IF($S$314=1,$N$314+$H$314/$Z$308*$M$17,NA())</f>
        <v>-0.0106092527272719</v>
      </c>
      <c r="BG322" s="144" t="e">
        <f>IF(AND($I$314=1,$C$314=1,$S$314=0),$N$314+$H$314/$Z$308*$M$17,NA())</f>
        <v>#N/A</v>
      </c>
      <c r="BH322" s="144" t="e">
        <f>IF(AND($I$314=1,$C$314=0),$N$314+$H$314/$Z$308*$M$17,NA())</f>
        <v>#N/A</v>
      </c>
      <c r="BI322" s="144" t="e">
        <f>IF($I$315=1,$M$315+$H$315/$Z$308*$L$17,NA())</f>
        <v>#N/A</v>
      </c>
      <c r="BJ322" s="144" t="e">
        <f>IF($S$315=1,$N$315+$H$315/$Z$308*$M$17,NA())</f>
        <v>#N/A</v>
      </c>
      <c r="BK322" s="144" t="e">
        <f>IF(AND($I$315=1,$C$315=1,$S$315=0),$N$315+$H$315/$Z$308*$M$17,NA())</f>
        <v>#N/A</v>
      </c>
      <c r="BL322" s="144" t="e">
        <f>IF(AND($I$315=1,$C$315=0),$N$315+$H$315/$Z$308*$M$17,NA())</f>
        <v>#N/A</v>
      </c>
      <c r="BM322" s="144" t="e">
        <f>IF($I$316=1,$M$316+$H$316/$Z$308*$L$17,NA())</f>
        <v>#N/A</v>
      </c>
      <c r="BN322" s="144" t="e">
        <f>IF($S$316=1,$N$316+$H$316/$Z$308*$M$17,NA())</f>
        <v>#N/A</v>
      </c>
      <c r="BO322" s="144" t="e">
        <f>IF(AND($I$316=1,$C$316=1,$S$316=0),$N$316+$H$316/$Z$308*$M$17,NA())</f>
        <v>#N/A</v>
      </c>
      <c r="BP322" s="144" t="e">
        <f>IF(AND($I$316=1,$C$316=0),$N$316+$H$316/$Z$308*$M$17,NA())</f>
        <v>#N/A</v>
      </c>
    </row>
    <row r="323">
      <c r="A323" s="63" t="inlineStr">
        <is>
          <t xml:space="preserve">slot 5 (l)</t>
        </is>
      </c>
      <c r="B323" s="146">
        <v>5</v>
      </c>
      <c r="C323" s="146">
        <f>IFERROR(MATCH(B323,$F$310:$F$316,0),NA())</f>
        <v>4</v>
      </c>
      <c r="D323" s="145" t="str">
        <f>IFERROR(INDEX($AJ$310:$AJ$316,C323),"")</f>
        <v>S₄</v>
      </c>
      <c r="E323" s="144">
        <f>IFERROR(INDEX($M$310:$M$316,C323),NA())</f>
        <v>-0.559068460261719</v>
      </c>
      <c r="F323" s="144">
        <f>IFERROR(INDEX($N$310:$N$316,C323),NA())</f>
        <v>-0.491530149672056</v>
      </c>
      <c r="AN323" s="146">
        <v>13</v>
      </c>
      <c r="AO323" s="144">
        <f>IF($I$310=1,$M$310+$H$310/$Z$308*$L$18,NA())</f>
        <v>-0.531989039696254</v>
      </c>
      <c r="AP323" s="144">
        <f>IF($S$310=1,$N$310+$H$310/$Z$308*$M$18,NA())</f>
        <v>-0.335542428718383</v>
      </c>
      <c r="AQ323" s="144" t="e">
        <f>IF(AND($I$310=1,$C$310=1,$S$310=0),$N$310+$H$310/$Z$308*$M$18,NA())</f>
        <v>#N/A</v>
      </c>
      <c r="AR323" s="144" t="e">
        <f>IF(AND($I$310=1,$C$310=0),$N$310+$H$310/$Z$308*$M$18,NA())</f>
        <v>#N/A</v>
      </c>
      <c r="AS323" s="144">
        <f>IF($I$311=1,$M$311+$H$311/$Z$308*$L$18,NA())</f>
        <v>-0.682702274984836</v>
      </c>
      <c r="AT323" s="144">
        <f>IF($S$311=1,$N$311+$H$311/$Z$308*$M$18,NA())</f>
        <v>0.0144323121366362</v>
      </c>
      <c r="AU323" s="144" t="e">
        <f>IF(AND($I$311=1,$C$311=1,$S$311=0),$N$311+$H$311/$Z$308*$M$18,NA())</f>
        <v>#N/A</v>
      </c>
      <c r="AV323" s="144" t="e">
        <f>IF(AND($I$311=1,$C$311=0),$N$311+$H$311/$Z$308*$M$18,NA())</f>
        <v>#N/A</v>
      </c>
      <c r="AW323" s="144" t="e">
        <f>IF($I$312=1,$M$312+$H$312/$Z$308*$L$18,NA())</f>
        <v>#N/A</v>
      </c>
      <c r="AX323" s="144" t="e">
        <f>IF($S$312=1,$N$312+$H$312/$Z$308*$M$18,NA())</f>
        <v>#N/A</v>
      </c>
      <c r="AY323" s="144" t="e">
        <f>IF(AND($I$312=1,$C$312=1,$S$312=0),$N$312+$H$312/$Z$308*$M$18,NA())</f>
        <v>#N/A</v>
      </c>
      <c r="AZ323" s="144" t="e">
        <f>IF(AND($I$312=1,$C$312=0),$N$312+$H$312/$Z$308*$M$18,NA())</f>
        <v>#N/A</v>
      </c>
      <c r="BA323" s="144">
        <f>IF($I$313=1,$M$313+$H$313/$Z$308*$L$18,NA())</f>
        <v>-0.85898529695219</v>
      </c>
      <c r="BB323" s="144" t="e">
        <f>IF($S$313=1,$N$313+$H$313/$Z$308*$M$18,NA())</f>
        <v>#N/A</v>
      </c>
      <c r="BC323" s="144">
        <f>IF(AND($I$313=1,$C$313=1,$S$313=0),$N$313+$H$313/$Z$308*$M$18,NA())</f>
        <v>-0.571892623859765</v>
      </c>
      <c r="BD323" s="144" t="e">
        <f>IF(AND($I$313=1,$C$313=0),$N$313+$H$313/$Z$308*$M$18,NA())</f>
        <v>#N/A</v>
      </c>
      <c r="BE323" s="144">
        <f>IF($I$314=1,$M$314+$H$314/$Z$308*$L$18,NA())</f>
        <v>-0.3014468556781</v>
      </c>
      <c r="BF323" s="144">
        <f>IF($S$314=1,$N$314+$H$314/$Z$308*$M$18,NA())</f>
        <v>-0.164775916851853</v>
      </c>
      <c r="BG323" s="144" t="e">
        <f>IF(AND($I$314=1,$C$314=1,$S$314=0),$N$314+$H$314/$Z$308*$M$18,NA())</f>
        <v>#N/A</v>
      </c>
      <c r="BH323" s="144" t="e">
        <f>IF(AND($I$314=1,$C$314=0),$N$314+$H$314/$Z$308*$M$18,NA())</f>
        <v>#N/A</v>
      </c>
      <c r="BI323" s="144" t="e">
        <f>IF($I$315=1,$M$315+$H$315/$Z$308*$L$18,NA())</f>
        <v>#N/A</v>
      </c>
      <c r="BJ323" s="144" t="e">
        <f>IF($S$315=1,$N$315+$H$315/$Z$308*$M$18,NA())</f>
        <v>#N/A</v>
      </c>
      <c r="BK323" s="144" t="e">
        <f>IF(AND($I$315=1,$C$315=1,$S$315=0),$N$315+$H$315/$Z$308*$M$18,NA())</f>
        <v>#N/A</v>
      </c>
      <c r="BL323" s="144" t="e">
        <f>IF(AND($I$315=1,$C$315=0),$N$315+$H$315/$Z$308*$M$18,NA())</f>
        <v>#N/A</v>
      </c>
      <c r="BM323" s="144" t="e">
        <f>IF($I$316=1,$M$316+$H$316/$Z$308*$L$18,NA())</f>
        <v>#N/A</v>
      </c>
      <c r="BN323" s="144" t="e">
        <f>IF($S$316=1,$N$316+$H$316/$Z$308*$M$18,NA())</f>
        <v>#N/A</v>
      </c>
      <c r="BO323" s="144" t="e">
        <f>IF(AND($I$316=1,$C$316=1,$S$316=0),$N$316+$H$316/$Z$308*$M$18,NA())</f>
        <v>#N/A</v>
      </c>
      <c r="BP323" s="144" t="e">
        <f>IF(AND($I$316=1,$C$316=0),$N$316+$H$316/$Z$308*$M$18,NA())</f>
        <v>#N/A</v>
      </c>
    </row>
    <row r="324">
      <c r="A324" s="63" t="inlineStr">
        <is>
          <t xml:space="preserve">slot 6 (l)</t>
        </is>
      </c>
      <c r="B324" s="146">
        <v>6</v>
      </c>
      <c r="C324" s="146">
        <f>IFERROR(MATCH(B324,$F$310:$F$316,0),NA())</f>
        <v>6</v>
      </c>
      <c r="D324" s="145" t="str">
        <f>IFERROR(INDEX($AJ$310:$AJ$316,C324),"")</f>
        <v>S₆</v>
      </c>
      <c r="E324" s="144">
        <f>IFERROR(INDEX($M$310:$M$316,C324),NA())</f>
        <v>-0.571715420460123</v>
      </c>
      <c r="F324" s="144">
        <f>IFERROR(INDEX($N$310:$N$316,C324),NA())</f>
        <v>0.0708462555934417</v>
      </c>
      <c r="AN324" s="146">
        <v>14</v>
      </c>
      <c r="AO324" s="144">
        <f>IF($I$310=1,$M$310+$H$310/$Z$308*$L$19,NA())</f>
        <v>-0.485072638073834</v>
      </c>
      <c r="AP324" s="144">
        <f>IF($S$310=1,$N$310+$H$310/$Z$308*$M$19,NA())</f>
        <v>-0.448808641812973</v>
      </c>
      <c r="AQ324" s="144" t="e">
        <f>IF(AND($I$310=1,$C$310=1,$S$310=0),$N$310+$H$310/$Z$308*$M$19,NA())</f>
        <v>#N/A</v>
      </c>
      <c r="AR324" s="144" t="e">
        <f>IF(AND($I$310=1,$C$310=0),$N$310+$H$310/$Z$308*$M$19,NA())</f>
        <v>#N/A</v>
      </c>
      <c r="AS324" s="144">
        <f>IF($I$311=1,$M$311+$H$311/$Z$308*$L$19,NA())</f>
        <v>-0.620198428164669</v>
      </c>
      <c r="AT324" s="144">
        <f>IF($S$311=1,$N$311+$H$311/$Z$308*$M$19,NA())</f>
        <v>-0.136465322557101</v>
      </c>
      <c r="AU324" s="144" t="e">
        <f>IF(AND($I$311=1,$C$311=1,$S$311=0),$N$311+$H$311/$Z$308*$M$19,NA())</f>
        <v>#N/A</v>
      </c>
      <c r="AV324" s="144" t="e">
        <f>IF(AND($I$311=1,$C$311=0),$N$311+$H$311/$Z$308*$M$19,NA())</f>
        <v>#N/A</v>
      </c>
      <c r="AW324" s="144" t="e">
        <f>IF($I$312=1,$M$312+$H$312/$Z$308*$L$19,NA())</f>
        <v>#N/A</v>
      </c>
      <c r="AX324" s="144" t="e">
        <f>IF($S$312=1,$N$312+$H$312/$Z$308*$M$19,NA())</f>
        <v>#N/A</v>
      </c>
      <c r="AY324" s="144" t="e">
        <f>IF(AND($I$312=1,$C$312=1,$S$312=0),$N$312+$H$312/$Z$308*$M$19,NA())</f>
        <v>#N/A</v>
      </c>
      <c r="AZ324" s="144" t="e">
        <f>IF(AND($I$312=1,$C$312=0),$N$312+$H$312/$Z$308*$M$19,NA())</f>
        <v>#N/A</v>
      </c>
      <c r="BA324" s="144">
        <f>IF($I$313=1,$M$313+$H$313/$Z$308*$L$19,NA())</f>
        <v>-0.827966539728627</v>
      </c>
      <c r="BB324" s="144" t="e">
        <f>IF($S$313=1,$N$313+$H$313/$Z$308*$M$19,NA())</f>
        <v>#N/A</v>
      </c>
      <c r="BC324" s="144">
        <f>IF(AND($I$313=1,$C$313=1,$S$313=0),$N$313+$H$313/$Z$308*$M$19,NA())</f>
        <v>-0.646778528236849</v>
      </c>
      <c r="BD324" s="144" t="e">
        <f>IF(AND($I$313=1,$C$313=0),$N$313+$H$313/$Z$308*$M$19,NA())</f>
        <v>#N/A</v>
      </c>
      <c r="BE324" s="144">
        <f>IF($I$314=1,$M$314+$H$314/$Z$308*$L$19,NA())</f>
        <v>-0.241940744464088</v>
      </c>
      <c r="BF324" s="144">
        <f>IF($S$314=1,$N$314+$H$314/$Z$308*$M$19,NA())</f>
        <v>-0.308436377588802</v>
      </c>
      <c r="BG324" s="144" t="e">
        <f>IF(AND($I$314=1,$C$314=1,$S$314=0),$N$314+$H$314/$Z$308*$M$19,NA())</f>
        <v>#N/A</v>
      </c>
      <c r="BH324" s="144" t="e">
        <f>IF(AND($I$314=1,$C$314=0),$N$314+$H$314/$Z$308*$M$19,NA())</f>
        <v>#N/A</v>
      </c>
      <c r="BI324" s="144" t="e">
        <f>IF($I$315=1,$M$315+$H$315/$Z$308*$L$19,NA())</f>
        <v>#N/A</v>
      </c>
      <c r="BJ324" s="144" t="e">
        <f>IF($S$315=1,$N$315+$H$315/$Z$308*$M$19,NA())</f>
        <v>#N/A</v>
      </c>
      <c r="BK324" s="144" t="e">
        <f>IF(AND($I$315=1,$C$315=1,$S$315=0),$N$315+$H$315/$Z$308*$M$19,NA())</f>
        <v>#N/A</v>
      </c>
      <c r="BL324" s="144" t="e">
        <f>IF(AND($I$315=1,$C$315=0),$N$315+$H$315/$Z$308*$M$19,NA())</f>
        <v>#N/A</v>
      </c>
      <c r="BM324" s="144" t="e">
        <f>IF($I$316=1,$M$316+$H$316/$Z$308*$L$19,NA())</f>
        <v>#N/A</v>
      </c>
      <c r="BN324" s="144" t="e">
        <f>IF($S$316=1,$N$316+$H$316/$Z$308*$M$19,NA())</f>
        <v>#N/A</v>
      </c>
      <c r="BO324" s="144" t="e">
        <f>IF(AND($I$316=1,$C$316=1,$S$316=0),$N$316+$H$316/$Z$308*$M$19,NA())</f>
        <v>#N/A</v>
      </c>
      <c r="BP324" s="144" t="e">
        <f>IF(AND($I$316=1,$C$316=0),$N$316+$H$316/$Z$308*$M$19,NA())</f>
        <v>#N/A</v>
      </c>
    </row>
    <row r="325">
      <c r="A325" s="63" t="inlineStr">
        <is>
          <t xml:space="preserve">centre (b)</t>
        </is>
      </c>
      <c r="C325" s="146">
        <f>IF($Q$308=0,NA(),$Q$308)</f>
        <v>1</v>
      </c>
      <c r="D325" s="145" t="str">
        <f>IF($Q$308=0,"",INDEX($AJ$310:$AJ$316,$Q$308))</f>
        <v>S₁ = Sᵢ  ·  g 3→2</v>
      </c>
      <c r="E325" s="144">
        <f>IF($Q$308=0,NA(),INDEX($M$310:$M$316,$Q$308))</f>
        <v>-0.0783596869120266</v>
      </c>
      <c r="F325" s="144">
        <f>IF($Q$308=0,NA(),INDEX($N$310:$N$316,$Q$308))</f>
        <v>-0.213992809976796</v>
      </c>
      <c r="AN325" s="146">
        <v>15</v>
      </c>
      <c r="AO325" s="144">
        <f>IF($I$310=1,$M$310+$H$310/$Z$308*$L$20,NA())</f>
        <v>-0.410439420954668</v>
      </c>
      <c r="AP325" s="144">
        <f>IF($S$310=1,$N$310+$H$310/$Z$308*$M$20,NA())</f>
        <v>-0.546072544019437</v>
      </c>
      <c r="AQ325" s="144" t="e">
        <f>IF(AND($I$310=1,$C$310=1,$S$310=0),$N$310+$H$310/$Z$308*$M$20,NA())</f>
        <v>#N/A</v>
      </c>
      <c r="AR325" s="144" t="e">
        <f>IF(AND($I$310=1,$C$310=0),$N$310+$H$310/$Z$308*$M$20,NA())</f>
        <v>#N/A</v>
      </c>
      <c r="AS325" s="144">
        <f>IF($I$311=1,$M$311+$H$311/$Z$308*$L$20,NA())</f>
        <v>-0.520769166558992</v>
      </c>
      <c r="AT325" s="144">
        <f>IF($S$311=1,$N$311+$H$311/$Z$308*$M$20,NA())</f>
        <v>-0.266044059084485</v>
      </c>
      <c r="AU325" s="144" t="e">
        <f>IF(AND($I$311=1,$C$311=1,$S$311=0),$N$311+$H$311/$Z$308*$M$20,NA())</f>
        <v>#N/A</v>
      </c>
      <c r="AV325" s="144" t="e">
        <f>IF(AND($I$311=1,$C$311=0),$N$311+$H$311/$Z$308*$M$20,NA())</f>
        <v>#N/A</v>
      </c>
      <c r="AW325" s="144" t="e">
        <f>IF($I$312=1,$M$312+$H$312/$Z$308*$L$20,NA())</f>
        <v>#N/A</v>
      </c>
      <c r="AX325" s="144" t="e">
        <f>IF($S$312=1,$N$312+$H$312/$Z$308*$M$20,NA())</f>
        <v>#N/A</v>
      </c>
      <c r="AY325" s="144" t="e">
        <f>IF(AND($I$312=1,$C$312=1,$S$312=0),$N$312+$H$312/$Z$308*$M$20,NA())</f>
        <v>#N/A</v>
      </c>
      <c r="AZ325" s="144" t="e">
        <f>IF(AND($I$312=1,$C$312=0),$N$312+$H$312/$Z$308*$M$20,NA())</f>
        <v>#N/A</v>
      </c>
      <c r="BA325" s="144">
        <f>IF($I$313=1,$M$313+$H$313/$Z$308*$L$20,NA())</f>
        <v>-0.778622822764481</v>
      </c>
      <c r="BB325" s="144" t="e">
        <f>IF($S$313=1,$N$313+$H$313/$Z$308*$M$20,NA())</f>
        <v>#N/A</v>
      </c>
      <c r="BC325" s="144">
        <f>IF(AND($I$313=1,$C$313=1,$S$313=0),$N$313+$H$313/$Z$308*$M$20,NA())</f>
        <v>-0.711084512174819</v>
      </c>
      <c r="BD325" s="144" t="e">
        <f>IF(AND($I$313=1,$C$313=0),$N$313+$H$313/$Z$308*$M$20,NA())</f>
        <v>#N/A</v>
      </c>
      <c r="BE325" s="144">
        <f>IF($I$314=1,$M$314+$H$314/$Z$308*$L$20,NA())</f>
        <v>-0.147280191553519</v>
      </c>
      <c r="BF325" s="144">
        <f>IF($S$314=1,$N$314+$H$314/$Z$308*$M$20,NA())</f>
        <v>-0.431800411949034</v>
      </c>
      <c r="BG325" s="144" t="e">
        <f>IF(AND($I$314=1,$C$314=1,$S$314=0),$N$314+$H$314/$Z$308*$M$20,NA())</f>
        <v>#N/A</v>
      </c>
      <c r="BH325" s="144" t="e">
        <f>IF(AND($I$314=1,$C$314=0),$N$314+$H$314/$Z$308*$M$20,NA())</f>
        <v>#N/A</v>
      </c>
      <c r="BI325" s="144" t="e">
        <f>IF($I$315=1,$M$315+$H$315/$Z$308*$L$20,NA())</f>
        <v>#N/A</v>
      </c>
      <c r="BJ325" s="144" t="e">
        <f>IF($S$315=1,$N$315+$H$315/$Z$308*$M$20,NA())</f>
        <v>#N/A</v>
      </c>
      <c r="BK325" s="144" t="e">
        <f>IF(AND($I$315=1,$C$315=1,$S$315=0),$N$315+$H$315/$Z$308*$M$20,NA())</f>
        <v>#N/A</v>
      </c>
      <c r="BL325" s="144" t="e">
        <f>IF(AND($I$315=1,$C$315=0),$N$315+$H$315/$Z$308*$M$20,NA())</f>
        <v>#N/A</v>
      </c>
      <c r="BM325" s="144" t="e">
        <f>IF($I$316=1,$M$316+$H$316/$Z$308*$L$20,NA())</f>
        <v>#N/A</v>
      </c>
      <c r="BN325" s="144" t="e">
        <f>IF($S$316=1,$N$316+$H$316/$Z$308*$M$20,NA())</f>
        <v>#N/A</v>
      </c>
      <c r="BO325" s="144" t="e">
        <f>IF(AND($I$316=1,$C$316=1,$S$316=0),$N$316+$H$316/$Z$308*$M$20,NA())</f>
        <v>#N/A</v>
      </c>
      <c r="BP325" s="144" t="e">
        <f>IF(AND($I$316=1,$C$316=0),$N$316+$H$316/$Z$308*$M$20,NA())</f>
        <v>#N/A</v>
      </c>
    </row>
    <row r="326">
      <c r="A326" s="63" t="inlineStr">
        <is>
          <t xml:space="preserve">caption, top left (r)</t>
        </is>
      </c>
      <c r="D326" s="145" t="str">
        <f>IF($Q$308=0,"","Sᵢ = "&amp;'ERDR Iterations'!$K$10&amp;"   ·   L = "&amp;'ERDR Iterations'!$K$13)</f>
        <v>Sᵢ = S₁   ·   L = {S₁, S₂, S₅}</v>
      </c>
      <c r="E326" s="144">
        <f>IF($Q$308=0,NA(),-0.97)</f>
        <v>-0.97</v>
      </c>
      <c r="F326" s="144">
        <f>IF($Q$308=0,NA(),0.955)</f>
        <v>0.955</v>
      </c>
      <c r="AN326" s="146">
        <v>16</v>
      </c>
      <c r="AO326" s="144">
        <f>IF($I$310=1,$M$310+$H$310/$Z$308*$L$21,NA())</f>
        <v>-0.313175518748203</v>
      </c>
      <c r="AP326" s="144">
        <f>IF($S$310=1,$N$310+$H$310/$Z$308*$M$21,NA())</f>
        <v>-0.620705761138604</v>
      </c>
      <c r="AQ326" s="144" t="e">
        <f>IF(AND($I$310=1,$C$310=1,$S$310=0),$N$310+$H$310/$Z$308*$M$21,NA())</f>
        <v>#N/A</v>
      </c>
      <c r="AR326" s="144" t="e">
        <f>IF(AND($I$310=1,$C$310=0),$N$310+$H$310/$Z$308*$M$21,NA())</f>
        <v>#N/A</v>
      </c>
      <c r="AS326" s="144">
        <f>IF($I$311=1,$M$311+$H$311/$Z$308*$L$21,NA())</f>
        <v>-0.391190430031608</v>
      </c>
      <c r="AT326" s="144">
        <f>IF($S$311=1,$N$311+$H$311/$Z$308*$M$21,NA())</f>
        <v>-0.365473320690162</v>
      </c>
      <c r="AU326" s="144" t="e">
        <f>IF(AND($I$311=1,$C$311=1,$S$311=0),$N$311+$H$311/$Z$308*$M$21,NA())</f>
        <v>#N/A</v>
      </c>
      <c r="AV326" s="144" t="e">
        <f>IF(AND($I$311=1,$C$311=0),$N$311+$H$311/$Z$308*$M$21,NA())</f>
        <v>#N/A</v>
      </c>
      <c r="AW326" s="144" t="e">
        <f>IF($I$312=1,$M$312+$H$312/$Z$308*$L$21,NA())</f>
        <v>#N/A</v>
      </c>
      <c r="AX326" s="144" t="e">
        <f>IF($S$312=1,$N$312+$H$312/$Z$308*$M$21,NA())</f>
        <v>#N/A</v>
      </c>
      <c r="AY326" s="144" t="e">
        <f>IF(AND($I$312=1,$C$312=1,$S$312=0),$N$312+$H$312/$Z$308*$M$21,NA())</f>
        <v>#N/A</v>
      </c>
      <c r="AZ326" s="144" t="e">
        <f>IF(AND($I$312=1,$C$312=0),$N$312+$H$312/$Z$308*$M$21,NA())</f>
        <v>#N/A</v>
      </c>
      <c r="BA326" s="144">
        <f>IF($I$313=1,$M$313+$H$313/$Z$308*$L$21,NA())</f>
        <v>-0.714316838826512</v>
      </c>
      <c r="BB326" s="144" t="e">
        <f>IF($S$313=1,$N$313+$H$313/$Z$308*$M$21,NA())</f>
        <v>#N/A</v>
      </c>
      <c r="BC326" s="144">
        <f>IF(AND($I$313=1,$C$313=1,$S$313=0),$N$313+$H$313/$Z$308*$M$21,NA())</f>
        <v>-0.760428229138964</v>
      </c>
      <c r="BD326" s="144" t="e">
        <f>IF(AND($I$313=1,$C$313=0),$N$313+$H$313/$Z$308*$M$21,NA())</f>
        <v>#N/A</v>
      </c>
      <c r="BE326" s="144">
        <f>IF($I$314=1,$M$314+$H$314/$Z$308*$L$21,NA())</f>
        <v>-0.0239161571932877</v>
      </c>
      <c r="BF326" s="144">
        <f>IF($S$314=1,$N$314+$H$314/$Z$308*$M$21,NA())</f>
        <v>-0.526460964859603</v>
      </c>
      <c r="BG326" s="144" t="e">
        <f>IF(AND($I$314=1,$C$314=1,$S$314=0),$N$314+$H$314/$Z$308*$M$21,NA())</f>
        <v>#N/A</v>
      </c>
      <c r="BH326" s="144" t="e">
        <f>IF(AND($I$314=1,$C$314=0),$N$314+$H$314/$Z$308*$M$21,NA())</f>
        <v>#N/A</v>
      </c>
      <c r="BI326" s="144" t="e">
        <f>IF($I$315=1,$M$315+$H$315/$Z$308*$L$21,NA())</f>
        <v>#N/A</v>
      </c>
      <c r="BJ326" s="144" t="e">
        <f>IF($S$315=1,$N$315+$H$315/$Z$308*$M$21,NA())</f>
        <v>#N/A</v>
      </c>
      <c r="BK326" s="144" t="e">
        <f>IF(AND($I$315=1,$C$315=1,$S$315=0),$N$315+$H$315/$Z$308*$M$21,NA())</f>
        <v>#N/A</v>
      </c>
      <c r="BL326" s="144" t="e">
        <f>IF(AND($I$315=1,$C$315=0),$N$315+$H$315/$Z$308*$M$21,NA())</f>
        <v>#N/A</v>
      </c>
      <c r="BM326" s="144" t="e">
        <f>IF($I$316=1,$M$316+$H$316/$Z$308*$L$21,NA())</f>
        <v>#N/A</v>
      </c>
      <c r="BN326" s="144" t="e">
        <f>IF($S$316=1,$N$316+$H$316/$Z$308*$M$21,NA())</f>
        <v>#N/A</v>
      </c>
      <c r="BO326" s="144" t="e">
        <f>IF(AND($I$316=1,$C$316=1,$S$316=0),$N$316+$H$316/$Z$308*$M$21,NA())</f>
        <v>#N/A</v>
      </c>
      <c r="BP326" s="144" t="e">
        <f>IF(AND($I$316=1,$C$316=0),$N$316+$H$316/$Z$308*$M$21,NA())</f>
        <v>#N/A</v>
      </c>
    </row>
    <row r="327">
      <c r="A327" s="63" t="inlineStr">
        <is>
          <t xml:space="preserve">caption, bottom left (r)</t>
        </is>
      </c>
      <c r="D327" s="145" t="str">
        <f>IF($Q$308=0,"",'ERDR Iterations'!$K$15)</f>
        <v>|L| &gt; 1 → Step 5 corrects g</v>
      </c>
      <c r="E327" s="144">
        <f>IF($Q$308=0,NA(),-0.97)</f>
        <v>-0.97</v>
      </c>
      <c r="F327" s="144">
        <f>IF($Q$308=0,NA(),-0.955)</f>
        <v>-0.955</v>
      </c>
      <c r="AN327" s="146">
        <v>17</v>
      </c>
      <c r="AO327" s="144">
        <f>IF($I$310=1,$M$310+$H$310/$Z$308*$L$22,NA())</f>
        <v>-0.199909305653613</v>
      </c>
      <c r="AP327" s="144">
        <f>IF($S$310=1,$N$310+$H$310/$Z$308*$M$22,NA())</f>
        <v>-0.667622162761024</v>
      </c>
      <c r="AQ327" s="144" t="e">
        <f>IF(AND($I$310=1,$C$310=1,$S$310=0),$N$310+$H$310/$Z$308*$M$22,NA())</f>
        <v>#N/A</v>
      </c>
      <c r="AR327" s="144" t="e">
        <f>IF(AND($I$310=1,$C$310=0),$N$310+$H$310/$Z$308*$M$22,NA())</f>
        <v>#N/A</v>
      </c>
      <c r="AS327" s="144">
        <f>IF($I$311=1,$M$311+$H$311/$Z$308*$L$22,NA())</f>
        <v>-0.24029279533787</v>
      </c>
      <c r="AT327" s="144">
        <f>IF($S$311=1,$N$311+$H$311/$Z$308*$M$22,NA())</f>
        <v>-0.427977167510329</v>
      </c>
      <c r="AU327" s="144" t="e">
        <f>IF(AND($I$311=1,$C$311=1,$S$311=0),$N$311+$H$311/$Z$308*$M$22,NA())</f>
        <v>#N/A</v>
      </c>
      <c r="AV327" s="144" t="e">
        <f>IF(AND($I$311=1,$C$311=0),$N$311+$H$311/$Z$308*$M$22,NA())</f>
        <v>#N/A</v>
      </c>
      <c r="AW327" s="144" t="e">
        <f>IF($I$312=1,$M$312+$H$312/$Z$308*$L$22,NA())</f>
        <v>#N/A</v>
      </c>
      <c r="AX327" s="144" t="e">
        <f>IF($S$312=1,$N$312+$H$312/$Z$308*$M$22,NA())</f>
        <v>#N/A</v>
      </c>
      <c r="AY327" s="144" t="e">
        <f>IF(AND($I$312=1,$C$312=1,$S$312=0),$N$312+$H$312/$Z$308*$M$22,NA())</f>
        <v>#N/A</v>
      </c>
      <c r="AZ327" s="144" t="e">
        <f>IF(AND($I$312=1,$C$312=0),$N$312+$H$312/$Z$308*$M$22,NA())</f>
        <v>#N/A</v>
      </c>
      <c r="BA327" s="144">
        <f>IF($I$313=1,$M$313+$H$313/$Z$308*$L$22,NA())</f>
        <v>-0.639430934449427</v>
      </c>
      <c r="BB327" s="144" t="e">
        <f>IF($S$313=1,$N$313+$H$313/$Z$308*$M$22,NA())</f>
        <v>#N/A</v>
      </c>
      <c r="BC327" s="144">
        <f>IF(AND($I$313=1,$C$313=1,$S$313=0),$N$313+$H$313/$Z$308*$M$22,NA())</f>
        <v>-0.791446986362528</v>
      </c>
      <c r="BD327" s="144" t="e">
        <f>IF(AND($I$313=1,$C$313=0),$N$313+$H$313/$Z$308*$M$22,NA())</f>
        <v>#N/A</v>
      </c>
      <c r="BE327" s="144">
        <f>IF($I$314=1,$M$314+$H$314/$Z$308*$L$22,NA())</f>
        <v>0.119744303543662</v>
      </c>
      <c r="BF327" s="144">
        <f>IF($S$314=1,$N$314+$H$314/$Z$308*$M$22,NA())</f>
        <v>-0.585967076073615</v>
      </c>
      <c r="BG327" s="144" t="e">
        <f>IF(AND($I$314=1,$C$314=1,$S$314=0),$N$314+$H$314/$Z$308*$M$22,NA())</f>
        <v>#N/A</v>
      </c>
      <c r="BH327" s="144" t="e">
        <f>IF(AND($I$314=1,$C$314=0),$N$314+$H$314/$Z$308*$M$22,NA())</f>
        <v>#N/A</v>
      </c>
      <c r="BI327" s="144" t="e">
        <f>IF($I$315=1,$M$315+$H$315/$Z$308*$L$22,NA())</f>
        <v>#N/A</v>
      </c>
      <c r="BJ327" s="144" t="e">
        <f>IF($S$315=1,$N$315+$H$315/$Z$308*$M$22,NA())</f>
        <v>#N/A</v>
      </c>
      <c r="BK327" s="144" t="e">
        <f>IF(AND($I$315=1,$C$315=1,$S$315=0),$N$315+$H$315/$Z$308*$M$22,NA())</f>
        <v>#N/A</v>
      </c>
      <c r="BL327" s="144" t="e">
        <f>IF(AND($I$315=1,$C$315=0),$N$315+$H$315/$Z$308*$M$22,NA())</f>
        <v>#N/A</v>
      </c>
      <c r="BM327" s="144" t="e">
        <f>IF($I$316=1,$M$316+$H$316/$Z$308*$L$22,NA())</f>
        <v>#N/A</v>
      </c>
      <c r="BN327" s="144" t="e">
        <f>IF($S$316=1,$N$316+$H$316/$Z$308*$M$22,NA())</f>
        <v>#N/A</v>
      </c>
      <c r="BO327" s="144" t="e">
        <f>IF(AND($I$316=1,$C$316=1,$S$316=0),$N$316+$H$316/$Z$308*$M$22,NA())</f>
        <v>#N/A</v>
      </c>
      <c r="BP327" s="144" t="e">
        <f>IF(AND($I$316=1,$C$316=0),$N$316+$H$316/$Z$308*$M$22,NA())</f>
        <v>#N/A</v>
      </c>
    </row>
    <row r="328">
      <c r="AN328" s="146">
        <v>18</v>
      </c>
      <c r="AO328" s="144">
        <f>IF($I$310=1,$M$310+$H$310/$Z$308*$L$23,NA())</f>
        <v>-0.0783596869120266</v>
      </c>
      <c r="AP328" s="144">
        <f>IF($S$310=1,$N$310+$H$310/$Z$308*$M$23,NA())</f>
        <v>-0.68362447364915</v>
      </c>
      <c r="AQ328" s="144" t="e">
        <f>IF(AND($I$310=1,$C$310=1,$S$310=0),$N$310+$H$310/$Z$308*$M$23,NA())</f>
        <v>#N/A</v>
      </c>
      <c r="AR328" s="144" t="e">
        <f>IF(AND($I$310=1,$C$310=0),$N$310+$H$310/$Z$308*$M$23,NA())</f>
        <v>#N/A</v>
      </c>
      <c r="AS328" s="144">
        <f>IF($I$311=1,$M$311+$H$311/$Z$308*$L$23,NA())</f>
        <v>-0.0783596869120266</v>
      </c>
      <c r="AT328" s="144">
        <f>IF($S$311=1,$N$311+$H$311/$Z$308*$M$23,NA())</f>
        <v>-0.449296065676682</v>
      </c>
      <c r="AU328" s="144" t="e">
        <f>IF(AND($I$311=1,$C$311=1,$S$311=0),$N$311+$H$311/$Z$308*$M$23,NA())</f>
        <v>#N/A</v>
      </c>
      <c r="AV328" s="144" t="e">
        <f>IF(AND($I$311=1,$C$311=0),$N$311+$H$311/$Z$308*$M$23,NA())</f>
        <v>#N/A</v>
      </c>
      <c r="AW328" s="144" t="e">
        <f>IF($I$312=1,$M$312+$H$312/$Z$308*$L$23,NA())</f>
        <v>#N/A</v>
      </c>
      <c r="AX328" s="144" t="e">
        <f>IF($S$312=1,$N$312+$H$312/$Z$308*$M$23,NA())</f>
        <v>#N/A</v>
      </c>
      <c r="AY328" s="144" t="e">
        <f>IF(AND($I$312=1,$C$312=1,$S$312=0),$N$312+$H$312/$Z$308*$M$23,NA())</f>
        <v>#N/A</v>
      </c>
      <c r="AZ328" s="144" t="e">
        <f>IF(AND($I$312=1,$C$312=0),$N$312+$H$312/$Z$308*$M$23,NA())</f>
        <v>#N/A</v>
      </c>
      <c r="BA328" s="144">
        <f>IF($I$313=1,$M$313+$H$313/$Z$308*$L$23,NA())</f>
        <v>-0.559068460261719</v>
      </c>
      <c r="BB328" s="144" t="e">
        <f>IF($S$313=1,$N$313+$H$313/$Z$308*$M$23,NA())</f>
        <v>#N/A</v>
      </c>
      <c r="BC328" s="144">
        <f>IF(AND($I$313=1,$C$313=1,$S$313=0),$N$313+$H$313/$Z$308*$M$23,NA())</f>
        <v>-0.802026906801642</v>
      </c>
      <c r="BD328" s="144" t="e">
        <f>IF(AND($I$313=1,$C$313=0),$N$313+$H$313/$Z$308*$M$23,NA())</f>
        <v>#N/A</v>
      </c>
      <c r="BE328" s="144">
        <f>IF($I$314=1,$M$314+$H$314/$Z$308*$L$23,NA())</f>
        <v>0.273910967668243</v>
      </c>
      <c r="BF328" s="144">
        <f>IF($S$314=1,$N$314+$H$314/$Z$308*$M$23,NA())</f>
        <v>-0.606263502450333</v>
      </c>
      <c r="BG328" s="144" t="e">
        <f>IF(AND($I$314=1,$C$314=1,$S$314=0),$N$314+$H$314/$Z$308*$M$23,NA())</f>
        <v>#N/A</v>
      </c>
      <c r="BH328" s="144" t="e">
        <f>IF(AND($I$314=1,$C$314=0),$N$314+$H$314/$Z$308*$M$23,NA())</f>
        <v>#N/A</v>
      </c>
      <c r="BI328" s="144" t="e">
        <f>IF($I$315=1,$M$315+$H$315/$Z$308*$L$23,NA())</f>
        <v>#N/A</v>
      </c>
      <c r="BJ328" s="144" t="e">
        <f>IF($S$315=1,$N$315+$H$315/$Z$308*$M$23,NA())</f>
        <v>#N/A</v>
      </c>
      <c r="BK328" s="144" t="e">
        <f>IF(AND($I$315=1,$C$315=1,$S$315=0),$N$315+$H$315/$Z$308*$M$23,NA())</f>
        <v>#N/A</v>
      </c>
      <c r="BL328" s="144" t="e">
        <f>IF(AND($I$315=1,$C$315=0),$N$315+$H$315/$Z$308*$M$23,NA())</f>
        <v>#N/A</v>
      </c>
      <c r="BM328" s="144" t="e">
        <f>IF($I$316=1,$M$316+$H$316/$Z$308*$L$23,NA())</f>
        <v>#N/A</v>
      </c>
      <c r="BN328" s="144" t="e">
        <f>IF($S$316=1,$N$316+$H$316/$Z$308*$M$23,NA())</f>
        <v>#N/A</v>
      </c>
      <c r="BO328" s="144" t="e">
        <f>IF(AND($I$316=1,$C$316=1,$S$316=0),$N$316+$H$316/$Z$308*$M$23,NA())</f>
        <v>#N/A</v>
      </c>
      <c r="BP328" s="144" t="e">
        <f>IF(AND($I$316=1,$C$316=0),$N$316+$H$316/$Z$308*$M$23,NA())</f>
        <v>#N/A</v>
      </c>
    </row>
    <row r="329">
      <c r="AN329" s="146">
        <v>19</v>
      </c>
      <c r="AO329" s="144">
        <f>IF($I$310=1,$M$310+$H$310/$Z$308*$L$24,NA())</f>
        <v>0.0431899318295599</v>
      </c>
      <c r="AP329" s="144">
        <f>IF($S$310=1,$N$310+$H$310/$Z$308*$M$24,NA())</f>
        <v>-0.667622162761024</v>
      </c>
      <c r="AQ329" s="144" t="e">
        <f>IF(AND($I$310=1,$C$310=1,$S$310=0),$N$310+$H$310/$Z$308*$M$24,NA())</f>
        <v>#N/A</v>
      </c>
      <c r="AR329" s="144" t="e">
        <f>IF(AND($I$310=1,$C$310=0),$N$310+$H$310/$Z$308*$M$24,NA())</f>
        <v>#N/A</v>
      </c>
      <c r="AS329" s="144">
        <f>IF($I$311=1,$M$311+$H$311/$Z$308*$L$24,NA())</f>
        <v>0.083573421513817</v>
      </c>
      <c r="AT329" s="144">
        <f>IF($S$311=1,$N$311+$H$311/$Z$308*$M$24,NA())</f>
        <v>-0.427977167510329</v>
      </c>
      <c r="AU329" s="144" t="e">
        <f>IF(AND($I$311=1,$C$311=1,$S$311=0),$N$311+$H$311/$Z$308*$M$24,NA())</f>
        <v>#N/A</v>
      </c>
      <c r="AV329" s="144" t="e">
        <f>IF(AND($I$311=1,$C$311=0),$N$311+$H$311/$Z$308*$M$24,NA())</f>
        <v>#N/A</v>
      </c>
      <c r="AW329" s="144" t="e">
        <f>IF($I$312=1,$M$312+$H$312/$Z$308*$L$24,NA())</f>
        <v>#N/A</v>
      </c>
      <c r="AX329" s="144" t="e">
        <f>IF($S$312=1,$N$312+$H$312/$Z$308*$M$24,NA())</f>
        <v>#N/A</v>
      </c>
      <c r="AY329" s="144" t="e">
        <f>IF(AND($I$312=1,$C$312=1,$S$312=0),$N$312+$H$312/$Z$308*$M$24,NA())</f>
        <v>#N/A</v>
      </c>
      <c r="AZ329" s="144" t="e">
        <f>IF(AND($I$312=1,$C$312=0),$N$312+$H$312/$Z$308*$M$24,NA())</f>
        <v>#N/A</v>
      </c>
      <c r="BA329" s="144">
        <f>IF($I$313=1,$M$313+$H$313/$Z$308*$L$24,NA())</f>
        <v>-0.47870598607401</v>
      </c>
      <c r="BB329" s="144" t="e">
        <f>IF($S$313=1,$N$313+$H$313/$Z$308*$M$24,NA())</f>
        <v>#N/A</v>
      </c>
      <c r="BC329" s="144">
        <f>IF(AND($I$313=1,$C$313=1,$S$313=0),$N$313+$H$313/$Z$308*$M$24,NA())</f>
        <v>-0.791446986362528</v>
      </c>
      <c r="BD329" s="144" t="e">
        <f>IF(AND($I$313=1,$C$313=0),$N$313+$H$313/$Z$308*$M$24,NA())</f>
        <v>#N/A</v>
      </c>
      <c r="BE329" s="144">
        <f>IF($I$314=1,$M$314+$H$314/$Z$308*$L$24,NA())</f>
        <v>0.428077631792824</v>
      </c>
      <c r="BF329" s="144">
        <f>IF($S$314=1,$N$314+$H$314/$Z$308*$M$24,NA())</f>
        <v>-0.585967076073615</v>
      </c>
      <c r="BG329" s="144" t="e">
        <f>IF(AND($I$314=1,$C$314=1,$S$314=0),$N$314+$H$314/$Z$308*$M$24,NA())</f>
        <v>#N/A</v>
      </c>
      <c r="BH329" s="144" t="e">
        <f>IF(AND($I$314=1,$C$314=0),$N$314+$H$314/$Z$308*$M$24,NA())</f>
        <v>#N/A</v>
      </c>
      <c r="BI329" s="144" t="e">
        <f>IF($I$315=1,$M$315+$H$315/$Z$308*$L$24,NA())</f>
        <v>#N/A</v>
      </c>
      <c r="BJ329" s="144" t="e">
        <f>IF($S$315=1,$N$315+$H$315/$Z$308*$M$24,NA())</f>
        <v>#N/A</v>
      </c>
      <c r="BK329" s="144" t="e">
        <f>IF(AND($I$315=1,$C$315=1,$S$315=0),$N$315+$H$315/$Z$308*$M$24,NA())</f>
        <v>#N/A</v>
      </c>
      <c r="BL329" s="144" t="e">
        <f>IF(AND($I$315=1,$C$315=0),$N$315+$H$315/$Z$308*$M$24,NA())</f>
        <v>#N/A</v>
      </c>
      <c r="BM329" s="144" t="e">
        <f>IF($I$316=1,$M$316+$H$316/$Z$308*$L$24,NA())</f>
        <v>#N/A</v>
      </c>
      <c r="BN329" s="144" t="e">
        <f>IF($S$316=1,$N$316+$H$316/$Z$308*$M$24,NA())</f>
        <v>#N/A</v>
      </c>
      <c r="BO329" s="144" t="e">
        <f>IF(AND($I$316=1,$C$316=1,$S$316=0),$N$316+$H$316/$Z$308*$M$24,NA())</f>
        <v>#N/A</v>
      </c>
      <c r="BP329" s="144" t="e">
        <f>IF(AND($I$316=1,$C$316=0),$N$316+$H$316/$Z$308*$M$24,NA())</f>
        <v>#N/A</v>
      </c>
    </row>
    <row r="330">
      <c r="AN330" s="146">
        <v>20</v>
      </c>
      <c r="AO330" s="144">
        <f>IF($I$310=1,$M$310+$H$310/$Z$308*$L$25,NA())</f>
        <v>0.15645614492415</v>
      </c>
      <c r="AP330" s="144">
        <f>IF($S$310=1,$N$310+$H$310/$Z$308*$M$25,NA())</f>
        <v>-0.620705761138604</v>
      </c>
      <c r="AQ330" s="144" t="e">
        <f>IF(AND($I$310=1,$C$310=1,$S$310=0),$N$310+$H$310/$Z$308*$M$25,NA())</f>
        <v>#N/A</v>
      </c>
      <c r="AR330" s="144" t="e">
        <f>IF(AND($I$310=1,$C$310=0),$N$310+$H$310/$Z$308*$M$25,NA())</f>
        <v>#N/A</v>
      </c>
      <c r="AS330" s="144">
        <f>IF($I$311=1,$M$311+$H$311/$Z$308*$L$25,NA())</f>
        <v>0.234471056207554</v>
      </c>
      <c r="AT330" s="144">
        <f>IF($S$311=1,$N$311+$H$311/$Z$308*$M$25,NA())</f>
        <v>-0.365473320690162</v>
      </c>
      <c r="AU330" s="144" t="e">
        <f>IF(AND($I$311=1,$C$311=1,$S$311=0),$N$311+$H$311/$Z$308*$M$25,NA())</f>
        <v>#N/A</v>
      </c>
      <c r="AV330" s="144" t="e">
        <f>IF(AND($I$311=1,$C$311=0),$N$311+$H$311/$Z$308*$M$25,NA())</f>
        <v>#N/A</v>
      </c>
      <c r="AW330" s="144" t="e">
        <f>IF($I$312=1,$M$312+$H$312/$Z$308*$L$25,NA())</f>
        <v>#N/A</v>
      </c>
      <c r="AX330" s="144" t="e">
        <f>IF($S$312=1,$N$312+$H$312/$Z$308*$M$25,NA())</f>
        <v>#N/A</v>
      </c>
      <c r="AY330" s="144" t="e">
        <f>IF(AND($I$312=1,$C$312=1,$S$312=0),$N$312+$H$312/$Z$308*$M$25,NA())</f>
        <v>#N/A</v>
      </c>
      <c r="AZ330" s="144" t="e">
        <f>IF(AND($I$312=1,$C$312=0),$N$312+$H$312/$Z$308*$M$25,NA())</f>
        <v>#N/A</v>
      </c>
      <c r="BA330" s="144">
        <f>IF($I$313=1,$M$313+$H$313/$Z$308*$L$25,NA())</f>
        <v>-0.403820081696926</v>
      </c>
      <c r="BB330" s="144" t="e">
        <f>IF($S$313=1,$N$313+$H$313/$Z$308*$M$25,NA())</f>
        <v>#N/A</v>
      </c>
      <c r="BC330" s="144">
        <f>IF(AND($I$313=1,$C$313=1,$S$313=0),$N$313+$H$313/$Z$308*$M$25,NA())</f>
        <v>-0.760428229138965</v>
      </c>
      <c r="BD330" s="144" t="e">
        <f>IF(AND($I$313=1,$C$313=0),$N$313+$H$313/$Z$308*$M$25,NA())</f>
        <v>#N/A</v>
      </c>
      <c r="BE330" s="144">
        <f>IF($I$314=1,$M$314+$H$314/$Z$308*$L$25,NA())</f>
        <v>0.571738092529774</v>
      </c>
      <c r="BF330" s="144">
        <f>IF($S$314=1,$N$314+$H$314/$Z$308*$M$25,NA())</f>
        <v>-0.526460964859603</v>
      </c>
      <c r="BG330" s="144" t="e">
        <f>IF(AND($I$314=1,$C$314=1,$S$314=0),$N$314+$H$314/$Z$308*$M$25,NA())</f>
        <v>#N/A</v>
      </c>
      <c r="BH330" s="144" t="e">
        <f>IF(AND($I$314=1,$C$314=0),$N$314+$H$314/$Z$308*$M$25,NA())</f>
        <v>#N/A</v>
      </c>
      <c r="BI330" s="144" t="e">
        <f>IF($I$315=1,$M$315+$H$315/$Z$308*$L$25,NA())</f>
        <v>#N/A</v>
      </c>
      <c r="BJ330" s="144" t="e">
        <f>IF($S$315=1,$N$315+$H$315/$Z$308*$M$25,NA())</f>
        <v>#N/A</v>
      </c>
      <c r="BK330" s="144" t="e">
        <f>IF(AND($I$315=1,$C$315=1,$S$315=0),$N$315+$H$315/$Z$308*$M$25,NA())</f>
        <v>#N/A</v>
      </c>
      <c r="BL330" s="144" t="e">
        <f>IF(AND($I$315=1,$C$315=0),$N$315+$H$315/$Z$308*$M$25,NA())</f>
        <v>#N/A</v>
      </c>
      <c r="BM330" s="144" t="e">
        <f>IF($I$316=1,$M$316+$H$316/$Z$308*$L$25,NA())</f>
        <v>#N/A</v>
      </c>
      <c r="BN330" s="144" t="e">
        <f>IF($S$316=1,$N$316+$H$316/$Z$308*$M$25,NA())</f>
        <v>#N/A</v>
      </c>
      <c r="BO330" s="144" t="e">
        <f>IF(AND($I$316=1,$C$316=1,$S$316=0),$N$316+$H$316/$Z$308*$M$25,NA())</f>
        <v>#N/A</v>
      </c>
      <c r="BP330" s="144" t="e">
        <f>IF(AND($I$316=1,$C$316=0),$N$316+$H$316/$Z$308*$M$25,NA())</f>
        <v>#N/A</v>
      </c>
    </row>
    <row r="331">
      <c r="AN331" s="146">
        <v>21</v>
      </c>
      <c r="AO331" s="144">
        <f>IF($I$310=1,$M$310+$H$310/$Z$308*$L$26,NA())</f>
        <v>0.253720047130614</v>
      </c>
      <c r="AP331" s="144">
        <f>IF($S$310=1,$N$310+$H$310/$Z$308*$M$26,NA())</f>
        <v>-0.546072544019438</v>
      </c>
      <c r="AQ331" s="144" t="e">
        <f>IF(AND($I$310=1,$C$310=1,$S$310=0),$N$310+$H$310/$Z$308*$M$26,NA())</f>
        <v>#N/A</v>
      </c>
      <c r="AR331" s="144" t="e">
        <f>IF(AND($I$310=1,$C$310=0),$N$310+$H$310/$Z$308*$M$26,NA())</f>
        <v>#N/A</v>
      </c>
      <c r="AS331" s="144">
        <f>IF($I$311=1,$M$311+$H$311/$Z$308*$L$26,NA())</f>
        <v>0.364049792734939</v>
      </c>
      <c r="AT331" s="144">
        <f>IF($S$311=1,$N$311+$H$311/$Z$308*$M$26,NA())</f>
        <v>-0.266044059084485</v>
      </c>
      <c r="AU331" s="144" t="e">
        <f>IF(AND($I$311=1,$C$311=1,$S$311=0),$N$311+$H$311/$Z$308*$M$26,NA())</f>
        <v>#N/A</v>
      </c>
      <c r="AV331" s="144" t="e">
        <f>IF(AND($I$311=1,$C$311=0),$N$311+$H$311/$Z$308*$M$26,NA())</f>
        <v>#N/A</v>
      </c>
      <c r="AW331" s="144" t="e">
        <f>IF($I$312=1,$M$312+$H$312/$Z$308*$L$26,NA())</f>
        <v>#N/A</v>
      </c>
      <c r="AX331" s="144" t="e">
        <f>IF($S$312=1,$N$312+$H$312/$Z$308*$M$26,NA())</f>
        <v>#N/A</v>
      </c>
      <c r="AY331" s="144" t="e">
        <f>IF(AND($I$312=1,$C$312=1,$S$312=0),$N$312+$H$312/$Z$308*$M$26,NA())</f>
        <v>#N/A</v>
      </c>
      <c r="AZ331" s="144" t="e">
        <f>IF(AND($I$312=1,$C$312=0),$N$312+$H$312/$Z$308*$M$26,NA())</f>
        <v>#N/A</v>
      </c>
      <c r="BA331" s="144">
        <f>IF($I$313=1,$M$313+$H$313/$Z$308*$L$26,NA())</f>
        <v>-0.339514097758956</v>
      </c>
      <c r="BB331" s="144" t="e">
        <f>IF($S$313=1,$N$313+$H$313/$Z$308*$M$26,NA())</f>
        <v>#N/A</v>
      </c>
      <c r="BC331" s="144">
        <f>IF(AND($I$313=1,$C$313=1,$S$313=0),$N$313+$H$313/$Z$308*$M$26,NA())</f>
        <v>-0.711084512174819</v>
      </c>
      <c r="BD331" s="144" t="e">
        <f>IF(AND($I$313=1,$C$313=0),$N$313+$H$313/$Z$308*$M$26,NA())</f>
        <v>#N/A</v>
      </c>
      <c r="BE331" s="144">
        <f>IF($I$314=1,$M$314+$H$314/$Z$308*$L$26,NA())</f>
        <v>0.695102126890005</v>
      </c>
      <c r="BF331" s="144">
        <f>IF($S$314=1,$N$314+$H$314/$Z$308*$M$26,NA())</f>
        <v>-0.431800411949034</v>
      </c>
      <c r="BG331" s="144" t="e">
        <f>IF(AND($I$314=1,$C$314=1,$S$314=0),$N$314+$H$314/$Z$308*$M$26,NA())</f>
        <v>#N/A</v>
      </c>
      <c r="BH331" s="144" t="e">
        <f>IF(AND($I$314=1,$C$314=0),$N$314+$H$314/$Z$308*$M$26,NA())</f>
        <v>#N/A</v>
      </c>
      <c r="BI331" s="144" t="e">
        <f>IF($I$315=1,$M$315+$H$315/$Z$308*$L$26,NA())</f>
        <v>#N/A</v>
      </c>
      <c r="BJ331" s="144" t="e">
        <f>IF($S$315=1,$N$315+$H$315/$Z$308*$M$26,NA())</f>
        <v>#N/A</v>
      </c>
      <c r="BK331" s="144" t="e">
        <f>IF(AND($I$315=1,$C$315=1,$S$315=0),$N$315+$H$315/$Z$308*$M$26,NA())</f>
        <v>#N/A</v>
      </c>
      <c r="BL331" s="144" t="e">
        <f>IF(AND($I$315=1,$C$315=0),$N$315+$H$315/$Z$308*$M$26,NA())</f>
        <v>#N/A</v>
      </c>
      <c r="BM331" s="144" t="e">
        <f>IF($I$316=1,$M$316+$H$316/$Z$308*$L$26,NA())</f>
        <v>#N/A</v>
      </c>
      <c r="BN331" s="144" t="e">
        <f>IF($S$316=1,$N$316+$H$316/$Z$308*$M$26,NA())</f>
        <v>#N/A</v>
      </c>
      <c r="BO331" s="144" t="e">
        <f>IF(AND($I$316=1,$C$316=1,$S$316=0),$N$316+$H$316/$Z$308*$M$26,NA())</f>
        <v>#N/A</v>
      </c>
      <c r="BP331" s="144" t="e">
        <f>IF(AND($I$316=1,$C$316=0),$N$316+$H$316/$Z$308*$M$26,NA())</f>
        <v>#N/A</v>
      </c>
    </row>
    <row r="332">
      <c r="AN332" s="146">
        <v>22</v>
      </c>
      <c r="AO332" s="144">
        <f>IF($I$310=1,$M$310+$H$310/$Z$308*$L$27,NA())</f>
        <v>0.328353264249781</v>
      </c>
      <c r="AP332" s="144">
        <f>IF($S$310=1,$N$310+$H$310/$Z$308*$M$27,NA())</f>
        <v>-0.448808641812973</v>
      </c>
      <c r="AQ332" s="144" t="e">
        <f>IF(AND($I$310=1,$C$310=1,$S$310=0),$N$310+$H$310/$Z$308*$M$27,NA())</f>
        <v>#N/A</v>
      </c>
      <c r="AR332" s="144" t="e">
        <f>IF(AND($I$310=1,$C$310=0),$N$310+$H$310/$Z$308*$M$27,NA())</f>
        <v>#N/A</v>
      </c>
      <c r="AS332" s="144">
        <f>IF($I$311=1,$M$311+$H$311/$Z$308*$L$27,NA())</f>
        <v>0.463479054340615</v>
      </c>
      <c r="AT332" s="144">
        <f>IF($S$311=1,$N$311+$H$311/$Z$308*$M$27,NA())</f>
        <v>-0.136465322557101</v>
      </c>
      <c r="AU332" s="144" t="e">
        <f>IF(AND($I$311=1,$C$311=1,$S$311=0),$N$311+$H$311/$Z$308*$M$27,NA())</f>
        <v>#N/A</v>
      </c>
      <c r="AV332" s="144" t="e">
        <f>IF(AND($I$311=1,$C$311=0),$N$311+$H$311/$Z$308*$M$27,NA())</f>
        <v>#N/A</v>
      </c>
      <c r="AW332" s="144" t="e">
        <f>IF($I$312=1,$M$312+$H$312/$Z$308*$L$27,NA())</f>
        <v>#N/A</v>
      </c>
      <c r="AX332" s="144" t="e">
        <f>IF($S$312=1,$N$312+$H$312/$Z$308*$M$27,NA())</f>
        <v>#N/A</v>
      </c>
      <c r="AY332" s="144" t="e">
        <f>IF(AND($I$312=1,$C$312=1,$S$312=0),$N$312+$H$312/$Z$308*$M$27,NA())</f>
        <v>#N/A</v>
      </c>
      <c r="AZ332" s="144" t="e">
        <f>IF(AND($I$312=1,$C$312=0),$N$312+$H$312/$Z$308*$M$27,NA())</f>
        <v>#N/A</v>
      </c>
      <c r="BA332" s="144">
        <f>IF($I$313=1,$M$313+$H$313/$Z$308*$L$27,NA())</f>
        <v>-0.29017038079481</v>
      </c>
      <c r="BB332" s="144" t="e">
        <f>IF($S$313=1,$N$313+$H$313/$Z$308*$M$27,NA())</f>
        <v>#N/A</v>
      </c>
      <c r="BC332" s="144">
        <f>IF(AND($I$313=1,$C$313=1,$S$313=0),$N$313+$H$313/$Z$308*$M$27,NA())</f>
        <v>-0.646778528236849</v>
      </c>
      <c r="BD332" s="144" t="e">
        <f>IF(AND($I$313=1,$C$313=0),$N$313+$H$313/$Z$308*$M$27,NA())</f>
        <v>#N/A</v>
      </c>
      <c r="BE332" s="144">
        <f>IF($I$314=1,$M$314+$H$314/$Z$308*$L$27,NA())</f>
        <v>0.789762679800574</v>
      </c>
      <c r="BF332" s="144">
        <f>IF($S$314=1,$N$314+$H$314/$Z$308*$M$27,NA())</f>
        <v>-0.308436377588803</v>
      </c>
      <c r="BG332" s="144" t="e">
        <f>IF(AND($I$314=1,$C$314=1,$S$314=0),$N$314+$H$314/$Z$308*$M$27,NA())</f>
        <v>#N/A</v>
      </c>
      <c r="BH332" s="144" t="e">
        <f>IF(AND($I$314=1,$C$314=0),$N$314+$H$314/$Z$308*$M$27,NA())</f>
        <v>#N/A</v>
      </c>
      <c r="BI332" s="144" t="e">
        <f>IF($I$315=1,$M$315+$H$315/$Z$308*$L$27,NA())</f>
        <v>#N/A</v>
      </c>
      <c r="BJ332" s="144" t="e">
        <f>IF($S$315=1,$N$315+$H$315/$Z$308*$M$27,NA())</f>
        <v>#N/A</v>
      </c>
      <c r="BK332" s="144" t="e">
        <f>IF(AND($I$315=1,$C$315=1,$S$315=0),$N$315+$H$315/$Z$308*$M$27,NA())</f>
        <v>#N/A</v>
      </c>
      <c r="BL332" s="144" t="e">
        <f>IF(AND($I$315=1,$C$315=0),$N$315+$H$315/$Z$308*$M$27,NA())</f>
        <v>#N/A</v>
      </c>
      <c r="BM332" s="144" t="e">
        <f>IF($I$316=1,$M$316+$H$316/$Z$308*$L$27,NA())</f>
        <v>#N/A</v>
      </c>
      <c r="BN332" s="144" t="e">
        <f>IF($S$316=1,$N$316+$H$316/$Z$308*$M$27,NA())</f>
        <v>#N/A</v>
      </c>
      <c r="BO332" s="144" t="e">
        <f>IF(AND($I$316=1,$C$316=1,$S$316=0),$N$316+$H$316/$Z$308*$M$27,NA())</f>
        <v>#N/A</v>
      </c>
      <c r="BP332" s="144" t="e">
        <f>IF(AND($I$316=1,$C$316=0),$N$316+$H$316/$Z$308*$M$27,NA())</f>
        <v>#N/A</v>
      </c>
    </row>
    <row r="333">
      <c r="AN333" s="146">
        <v>23</v>
      </c>
      <c r="AO333" s="144">
        <f>IF($I$310=1,$M$310+$H$310/$Z$308*$L$28,NA())</f>
        <v>0.375269665872201</v>
      </c>
      <c r="AP333" s="144">
        <f>IF($S$310=1,$N$310+$H$310/$Z$308*$M$28,NA())</f>
        <v>-0.335542428718383</v>
      </c>
      <c r="AQ333" s="144" t="e">
        <f>IF(AND($I$310=1,$C$310=1,$S$310=0),$N$310+$H$310/$Z$308*$M$28,NA())</f>
        <v>#N/A</v>
      </c>
      <c r="AR333" s="144" t="e">
        <f>IF(AND($I$310=1,$C$310=0),$N$310+$H$310/$Z$308*$M$28,NA())</f>
        <v>#N/A</v>
      </c>
      <c r="AS333" s="144">
        <f>IF($I$311=1,$M$311+$H$311/$Z$308*$L$28,NA())</f>
        <v>0.525982901160782</v>
      </c>
      <c r="AT333" s="144">
        <f>IF($S$311=1,$N$311+$H$311/$Z$308*$M$28,NA())</f>
        <v>0.0144323121366358</v>
      </c>
      <c r="AU333" s="144" t="e">
        <f>IF(AND($I$311=1,$C$311=1,$S$311=0),$N$311+$H$311/$Z$308*$M$28,NA())</f>
        <v>#N/A</v>
      </c>
      <c r="AV333" s="144" t="e">
        <f>IF(AND($I$311=1,$C$311=0),$N$311+$H$311/$Z$308*$M$28,NA())</f>
        <v>#N/A</v>
      </c>
      <c r="AW333" s="144" t="e">
        <f>IF($I$312=1,$M$312+$H$312/$Z$308*$L$28,NA())</f>
        <v>#N/A</v>
      </c>
      <c r="AX333" s="144" t="e">
        <f>IF($S$312=1,$N$312+$H$312/$Z$308*$M$28,NA())</f>
        <v>#N/A</v>
      </c>
      <c r="AY333" s="144" t="e">
        <f>IF(AND($I$312=1,$C$312=1,$S$312=0),$N$312+$H$312/$Z$308*$M$28,NA())</f>
        <v>#N/A</v>
      </c>
      <c r="AZ333" s="144" t="e">
        <f>IF(AND($I$312=1,$C$312=0),$N$312+$H$312/$Z$308*$M$28,NA())</f>
        <v>#N/A</v>
      </c>
      <c r="BA333" s="144">
        <f>IF($I$313=1,$M$313+$H$313/$Z$308*$L$28,NA())</f>
        <v>-0.259151623571247</v>
      </c>
      <c r="BB333" s="144" t="e">
        <f>IF($S$313=1,$N$313+$H$313/$Z$308*$M$28,NA())</f>
        <v>#N/A</v>
      </c>
      <c r="BC333" s="144">
        <f>IF(AND($I$313=1,$C$313=1,$S$313=0),$N$313+$H$313/$Z$308*$M$28,NA())</f>
        <v>-0.571892623859765</v>
      </c>
      <c r="BD333" s="144" t="e">
        <f>IF(AND($I$313=1,$C$313=0),$N$313+$H$313/$Z$308*$M$28,NA())</f>
        <v>#N/A</v>
      </c>
      <c r="BE333" s="144">
        <f>IF($I$314=1,$M$314+$H$314/$Z$308*$L$28,NA())</f>
        <v>0.849268791014586</v>
      </c>
      <c r="BF333" s="144">
        <f>IF($S$314=1,$N$314+$H$314/$Z$308*$M$28,NA())</f>
        <v>-0.164775916851854</v>
      </c>
      <c r="BG333" s="144" t="e">
        <f>IF(AND($I$314=1,$C$314=1,$S$314=0),$N$314+$H$314/$Z$308*$M$28,NA())</f>
        <v>#N/A</v>
      </c>
      <c r="BH333" s="144" t="e">
        <f>IF(AND($I$314=1,$C$314=0),$N$314+$H$314/$Z$308*$M$28,NA())</f>
        <v>#N/A</v>
      </c>
      <c r="BI333" s="144" t="e">
        <f>IF($I$315=1,$M$315+$H$315/$Z$308*$L$28,NA())</f>
        <v>#N/A</v>
      </c>
      <c r="BJ333" s="144" t="e">
        <f>IF($S$315=1,$N$315+$H$315/$Z$308*$M$28,NA())</f>
        <v>#N/A</v>
      </c>
      <c r="BK333" s="144" t="e">
        <f>IF(AND($I$315=1,$C$315=1,$S$315=0),$N$315+$H$315/$Z$308*$M$28,NA())</f>
        <v>#N/A</v>
      </c>
      <c r="BL333" s="144" t="e">
        <f>IF(AND($I$315=1,$C$315=0),$N$315+$H$315/$Z$308*$M$28,NA())</f>
        <v>#N/A</v>
      </c>
      <c r="BM333" s="144" t="e">
        <f>IF($I$316=1,$M$316+$H$316/$Z$308*$L$28,NA())</f>
        <v>#N/A</v>
      </c>
      <c r="BN333" s="144" t="e">
        <f>IF($S$316=1,$N$316+$H$316/$Z$308*$M$28,NA())</f>
        <v>#N/A</v>
      </c>
      <c r="BO333" s="144" t="e">
        <f>IF(AND($I$316=1,$C$316=1,$S$316=0),$N$316+$H$316/$Z$308*$M$28,NA())</f>
        <v>#N/A</v>
      </c>
      <c r="BP333" s="144" t="e">
        <f>IF(AND($I$316=1,$C$316=0),$N$316+$H$316/$Z$308*$M$28,NA())</f>
        <v>#N/A</v>
      </c>
    </row>
    <row r="334">
      <c r="AN334" s="146">
        <v>24</v>
      </c>
      <c r="AO334" s="144">
        <f>IF($I$310=1,$M$310+$H$310/$Z$308*$L$29,NA())</f>
        <v>0.391271976760327</v>
      </c>
      <c r="AP334" s="144">
        <f>IF($S$310=1,$N$310+$H$310/$Z$308*$M$29,NA())</f>
        <v>-0.213992809976797</v>
      </c>
      <c r="AQ334" s="144" t="e">
        <f>IF(AND($I$310=1,$C$310=1,$S$310=0),$N$310+$H$310/$Z$308*$M$29,NA())</f>
        <v>#N/A</v>
      </c>
      <c r="AR334" s="144" t="e">
        <f>IF(AND($I$310=1,$C$310=0),$N$310+$H$310/$Z$308*$M$29,NA())</f>
        <v>#N/A</v>
      </c>
      <c r="AS334" s="144">
        <f>IF($I$311=1,$M$311+$H$311/$Z$308*$L$29,NA())</f>
        <v>0.547301799327135</v>
      </c>
      <c r="AT334" s="144">
        <f>IF($S$311=1,$N$311+$H$311/$Z$308*$M$29,NA())</f>
        <v>0.17636542056248</v>
      </c>
      <c r="AU334" s="144" t="e">
        <f>IF(AND($I$311=1,$C$311=1,$S$311=0),$N$311+$H$311/$Z$308*$M$29,NA())</f>
        <v>#N/A</v>
      </c>
      <c r="AV334" s="144" t="e">
        <f>IF(AND($I$311=1,$C$311=0),$N$311+$H$311/$Z$308*$M$29,NA())</f>
        <v>#N/A</v>
      </c>
      <c r="AW334" s="144" t="e">
        <f>IF($I$312=1,$M$312+$H$312/$Z$308*$L$29,NA())</f>
        <v>#N/A</v>
      </c>
      <c r="AX334" s="144" t="e">
        <f>IF($S$312=1,$N$312+$H$312/$Z$308*$M$29,NA())</f>
        <v>#N/A</v>
      </c>
      <c r="AY334" s="144" t="e">
        <f>IF(AND($I$312=1,$C$312=1,$S$312=0),$N$312+$H$312/$Z$308*$M$29,NA())</f>
        <v>#N/A</v>
      </c>
      <c r="AZ334" s="144" t="e">
        <f>IF(AND($I$312=1,$C$312=0),$N$312+$H$312/$Z$308*$M$29,NA())</f>
        <v>#N/A</v>
      </c>
      <c r="BA334" s="144">
        <f>IF($I$313=1,$M$313+$H$313/$Z$308*$L$29,NA())</f>
        <v>-0.248571703132133</v>
      </c>
      <c r="BB334" s="144" t="e">
        <f>IF($S$313=1,$N$313+$H$313/$Z$308*$M$29,NA())</f>
        <v>#N/A</v>
      </c>
      <c r="BC334" s="144">
        <f>IF(AND($I$313=1,$C$313=1,$S$313=0),$N$313+$H$313/$Z$308*$M$29,NA())</f>
        <v>-0.491530149672056</v>
      </c>
      <c r="BD334" s="144" t="e">
        <f>IF(AND($I$313=1,$C$313=0),$N$313+$H$313/$Z$308*$M$29,NA())</f>
        <v>#N/A</v>
      </c>
      <c r="BE334" s="144">
        <f>IF($I$314=1,$M$314+$H$314/$Z$308*$L$29,NA())</f>
        <v>0.869565217391304</v>
      </c>
      <c r="BF334" s="144">
        <f>IF($S$314=1,$N$314+$H$314/$Z$308*$M$29,NA())</f>
        <v>-0.0106092527272721</v>
      </c>
      <c r="BG334" s="144" t="e">
        <f>IF(AND($I$314=1,$C$314=1,$S$314=0),$N$314+$H$314/$Z$308*$M$29,NA())</f>
        <v>#N/A</v>
      </c>
      <c r="BH334" s="144" t="e">
        <f>IF(AND($I$314=1,$C$314=0),$N$314+$H$314/$Z$308*$M$29,NA())</f>
        <v>#N/A</v>
      </c>
      <c r="BI334" s="144" t="e">
        <f>IF($I$315=1,$M$315+$H$315/$Z$308*$L$29,NA())</f>
        <v>#N/A</v>
      </c>
      <c r="BJ334" s="144" t="e">
        <f>IF($S$315=1,$N$315+$H$315/$Z$308*$M$29,NA())</f>
        <v>#N/A</v>
      </c>
      <c r="BK334" s="144" t="e">
        <f>IF(AND($I$315=1,$C$315=1,$S$315=0),$N$315+$H$315/$Z$308*$M$29,NA())</f>
        <v>#N/A</v>
      </c>
      <c r="BL334" s="144" t="e">
        <f>IF(AND($I$315=1,$C$315=0),$N$315+$H$315/$Z$308*$M$29,NA())</f>
        <v>#N/A</v>
      </c>
      <c r="BM334" s="144" t="e">
        <f>IF($I$316=1,$M$316+$H$316/$Z$308*$L$29,NA())</f>
        <v>#N/A</v>
      </c>
      <c r="BN334" s="144" t="e">
        <f>IF($S$316=1,$N$316+$H$316/$Z$308*$M$29,NA())</f>
        <v>#N/A</v>
      </c>
      <c r="BO334" s="144" t="e">
        <f>IF(AND($I$316=1,$C$316=1,$S$316=0),$N$316+$H$316/$Z$308*$M$29,NA())</f>
        <v>#N/A</v>
      </c>
      <c r="BP334" s="144" t="e">
        <f>IF(AND($I$316=1,$C$316=0),$N$316+$H$316/$Z$308*$M$29,NA())</f>
        <v>#N/A</v>
      </c>
    </row>
    <row r="335"/>
    <row r="336">
      <c r="A336" s="59" t="inlineStr">
        <is>
          <t xml:space="preserve">Iteration 2 · diagram on “Hyperspheres (Iterations)” — centre = the selected Sᵢ; every own-class object carries its enemy sphere (radius r(Sⱼ)) around its own position</t>
        </is>
      </c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  <c r="AF336" s="59"/>
      <c r="AG336" s="59"/>
      <c r="AH336" s="59"/>
      <c r="AI336" s="59"/>
      <c r="AJ336" s="59"/>
      <c r="AK336" s="59"/>
      <c r="AL336" s="59"/>
      <c r="AM336" s="59"/>
      <c r="AN336" s="59"/>
      <c r="AO336" s="59"/>
      <c r="AP336" s="59"/>
      <c r="AQ336" s="59"/>
      <c r="AR336" s="59"/>
      <c r="AS336" s="59"/>
      <c r="AT336" s="59"/>
      <c r="AU336" s="59"/>
      <c r="AV336" s="59"/>
      <c r="AW336" s="59"/>
      <c r="AX336" s="59"/>
      <c r="AY336" s="59"/>
      <c r="AZ336" s="59"/>
      <c r="BA336" s="59"/>
      <c r="BB336" s="59"/>
      <c r="BC336" s="59"/>
      <c r="BD336" s="59"/>
      <c r="BE336" s="59"/>
      <c r="BF336" s="59"/>
      <c r="BG336" s="59"/>
      <c r="BH336" s="59"/>
      <c r="BI336" s="59"/>
      <c r="BJ336" s="59"/>
      <c r="BK336" s="59"/>
      <c r="BL336" s="59"/>
      <c r="BM336" s="59"/>
      <c r="BN336" s="59"/>
      <c r="BO336" s="59"/>
      <c r="BP336" s="59"/>
    </row>
    <row r="337">
      <c r="A337" s="63" t="inlineStr">
        <is>
          <t xml:space="preserve">Chart title</t>
        </is>
      </c>
      <c r="B337" s="145" t="str">
        <f>IF($Q$337=0,"Iteration 2  ·  queue empty → Step 6 (stop)","Iteration 2  ·  Sᵢ = "&amp;'ERDR Iterations'!$K$36&amp;"  ·  L = "&amp;'ERDR Iterations'!$K$39&amp;"  ·  "&amp;'ERDR Iterations'!$K$41)</f>
        <v>Iteration 2  ·  Sᵢ = S₃  ·  L = {S₃, S₇}  ·  |L| &gt; 1 → Step 5 corrects g</v>
      </c>
      <c r="P337" s="63" t="inlineStr">
        <is>
          <t xml:space="preserve">Selected</t>
        </is>
      </c>
      <c r="Q337" s="146">
        <f>'ERDR Iterations'!$K$35</f>
        <v>3</v>
      </c>
      <c r="S337" s="63" t="inlineStr">
        <is>
          <t xml:space="preserve">Box centre x</t>
        </is>
      </c>
      <c r="T337" s="144">
        <f>IF($Q$337=0,0,(MIN(O339:O345)+MAX(P339:P345))/2)</f>
        <v>0.878115330504211</v>
      </c>
      <c r="V337" s="63" t="inlineStr">
        <is>
          <t xml:space="preserve">Box centre y</t>
        </is>
      </c>
      <c r="W337" s="144">
        <f>IF($Q$337=0,0,(MIN(Q339:Q345)+MAX(R339:R345))/2)</f>
        <v>0.2391948822</v>
      </c>
      <c r="Y337" s="63" t="inlineStr">
        <is>
          <t xml:space="preserve">Half side</t>
        </is>
      </c>
      <c r="Z337" s="144">
        <f>IF($Q$337=0,1,$B$8*MAX(MAX(P339:P345)-MIN(O339:O345),MAX(R339:R345)-MIN(Q339:Q345))/2)</f>
        <v>8.44939387575369</v>
      </c>
    </row>
    <row r="338" ht="44" customHeight="1">
      <c r="A338" s="147" t="inlineStr">
        <is>
          <t xml:space="preserve">Sⱼ</t>
        </is>
      </c>
      <c r="B338" s="147" t="inlineStr">
        <is>
          <t xml:space="preserve">Class</t>
        </is>
      </c>
      <c r="C338" s="147" t="inlineStr">
        <is>
          <t xml:space="preserve">In F before</t>
        </is>
      </c>
      <c r="D338" s="147" t="inlineStr">
        <is>
          <t xml:space="preserve">Own class of Sᵢ</t>
        </is>
      </c>
      <c r="E338" s="147" t="inlineStr">
        <is>
          <t xml:space="preserve">Centre (= Sᵢ)</t>
        </is>
      </c>
      <c r="F338" s="147" t="inlineStr">
        <is>
          <t xml:space="preserve">Rank around Sᵢ</t>
        </is>
      </c>
      <c r="G338" s="147" t="inlineStr">
        <is>
          <t xml:space="preserve">ρ(Sⱼ, Sᵢ)</t>
        </is>
      </c>
      <c r="H338" s="147" t="inlineStr">
        <is>
          <t xml:space="preserve">r(Sⱼ)</t>
        </is>
      </c>
      <c r="I338" s="147" t="inlineStr">
        <is>
          <t xml:space="preserve">Own-class sphere drawn</t>
        </is>
      </c>
      <c r="J338" s="147" t="inlineStr">
        <is>
          <t xml:space="preserve">Angle θ</t>
        </is>
      </c>
      <c r="K338" s="147" t="inlineStr">
        <is>
          <t xml:space="preserve">px = ρ·cos θ</t>
        </is>
      </c>
      <c r="L338" s="147" t="inlineStr">
        <is>
          <t xml:space="preserve">py = ρ·sin θ</t>
        </is>
      </c>
      <c r="M338" s="147" t="inlineStr">
        <is>
          <t xml:space="preserve">x (fitted)</t>
        </is>
      </c>
      <c r="N338" s="147" t="inlineStr">
        <is>
          <t xml:space="preserve">y (fitted)</t>
        </is>
      </c>
      <c r="O338" s="147" t="inlineStr">
        <is>
          <t xml:space="preserve">Box x min</t>
        </is>
      </c>
      <c r="P338" s="147" t="inlineStr">
        <is>
          <t xml:space="preserve">Box x max</t>
        </is>
      </c>
      <c r="Q338" s="147" t="inlineStr">
        <is>
          <t xml:space="preserve">Box y min</t>
        </is>
      </c>
      <c r="R338" s="147" t="inlineStr">
        <is>
          <t xml:space="preserve">Box y max</t>
        </is>
      </c>
      <c r="S338" s="147" t="inlineStr">
        <is>
          <t xml:space="preserve">Sⱼ ∈ L</t>
        </is>
      </c>
      <c r="T338" s="147" t="inlineStr">
        <is>
          <t xml:space="preserve">g before</t>
        </is>
      </c>
      <c r="U338" s="147" t="inlineStr">
        <is>
          <t xml:space="preserve">g after</t>
        </is>
      </c>
      <c r="V338" s="147" t="inlineStr">
        <is>
          <t xml:space="preserve">Counter decreased</t>
        </is>
      </c>
      <c r="W338" s="147" t="inlineStr">
        <is>
          <t xml:space="preserve">Moves to D</t>
        </is>
      </c>
      <c r="X338" s="147" t="inlineStr">
        <is>
          <t xml:space="preserve">K1 in F · x</t>
        </is>
      </c>
      <c r="Y338" s="147" t="inlineStr">
        <is>
          <t xml:space="preserve">y</t>
        </is>
      </c>
      <c r="Z338" s="147" t="inlineStr">
        <is>
          <t xml:space="preserve">K1 in D · x</t>
        </is>
      </c>
      <c r="AA338" s="147" t="inlineStr">
        <is>
          <t xml:space="preserve">y</t>
        </is>
      </c>
      <c r="AB338" s="147" t="inlineStr">
        <is>
          <t xml:space="preserve">K2 in F · x</t>
        </is>
      </c>
      <c r="AC338" s="147" t="inlineStr">
        <is>
          <t xml:space="preserve">y</t>
        </is>
      </c>
      <c r="AD338" s="147" t="inlineStr">
        <is>
          <t xml:space="preserve">K2 in D · x</t>
        </is>
      </c>
      <c r="AE338" s="147" t="inlineStr">
        <is>
          <t xml:space="preserve">y</t>
        </is>
      </c>
      <c r="AF338" s="147" t="inlineStr">
        <is>
          <t xml:space="preserve">Centre K1 · x</t>
        </is>
      </c>
      <c r="AG338" s="147" t="inlineStr">
        <is>
          <t xml:space="preserve">y</t>
        </is>
      </c>
      <c r="AH338" s="147" t="inlineStr">
        <is>
          <t xml:space="preserve">Centre K2 · x</t>
        </is>
      </c>
      <c r="AI338" s="147" t="inlineStr">
        <is>
          <t xml:space="preserve">y</t>
        </is>
      </c>
      <c r="AJ338" s="147" t="inlineStr">
        <is>
          <t xml:space="preserve">Label text</t>
        </is>
      </c>
      <c r="AN338" s="147" t="inlineStr">
        <is>
          <t xml:space="preserve">k</t>
        </is>
      </c>
      <c r="AO338" s="147" t="inlineStr">
        <is>
          <t xml:space="preserve">S₁ sphere · x</t>
        </is>
      </c>
      <c r="AP338" s="147" t="inlineStr">
        <is>
          <t xml:space="preserve">y · in L</t>
        </is>
      </c>
      <c r="AQ338" s="147" t="inlineStr">
        <is>
          <t xml:space="preserve">y · in F, not in L</t>
        </is>
      </c>
      <c r="AR338" s="147" t="inlineStr">
        <is>
          <t xml:space="preserve">y · in D</t>
        </is>
      </c>
      <c r="AS338" s="147" t="inlineStr">
        <is>
          <t xml:space="preserve">S₂ sphere · x</t>
        </is>
      </c>
      <c r="AT338" s="147" t="inlineStr">
        <is>
          <t xml:space="preserve">y · in L</t>
        </is>
      </c>
      <c r="AU338" s="147" t="inlineStr">
        <is>
          <t xml:space="preserve">y · in F, not in L</t>
        </is>
      </c>
      <c r="AV338" s="147" t="inlineStr">
        <is>
          <t xml:space="preserve">y · in D</t>
        </is>
      </c>
      <c r="AW338" s="147" t="inlineStr">
        <is>
          <t xml:space="preserve">S₃ sphere · x</t>
        </is>
      </c>
      <c r="AX338" s="147" t="inlineStr">
        <is>
          <t xml:space="preserve">y · in L</t>
        </is>
      </c>
      <c r="AY338" s="147" t="inlineStr">
        <is>
          <t xml:space="preserve">y · in F, not in L</t>
        </is>
      </c>
      <c r="AZ338" s="147" t="inlineStr">
        <is>
          <t xml:space="preserve">y · in D</t>
        </is>
      </c>
      <c r="BA338" s="147" t="inlineStr">
        <is>
          <t xml:space="preserve">S₄ sphere · x</t>
        </is>
      </c>
      <c r="BB338" s="147" t="inlineStr">
        <is>
          <t xml:space="preserve">y · in L</t>
        </is>
      </c>
      <c r="BC338" s="147" t="inlineStr">
        <is>
          <t xml:space="preserve">y · in F, not in L</t>
        </is>
      </c>
      <c r="BD338" s="147" t="inlineStr">
        <is>
          <t xml:space="preserve">y · in D</t>
        </is>
      </c>
      <c r="BE338" s="147" t="inlineStr">
        <is>
          <t xml:space="preserve">S₅ sphere · x</t>
        </is>
      </c>
      <c r="BF338" s="147" t="inlineStr">
        <is>
          <t xml:space="preserve">y · in L</t>
        </is>
      </c>
      <c r="BG338" s="147" t="inlineStr">
        <is>
          <t xml:space="preserve">y · in F, not in L</t>
        </is>
      </c>
      <c r="BH338" s="147" t="inlineStr">
        <is>
          <t xml:space="preserve">y · in D</t>
        </is>
      </c>
      <c r="BI338" s="147" t="inlineStr">
        <is>
          <t xml:space="preserve">S₆ sphere · x</t>
        </is>
      </c>
      <c r="BJ338" s="147" t="inlineStr">
        <is>
          <t xml:space="preserve">y · in L</t>
        </is>
      </c>
      <c r="BK338" s="147" t="inlineStr">
        <is>
          <t xml:space="preserve">y · in F, not in L</t>
        </is>
      </c>
      <c r="BL338" s="147" t="inlineStr">
        <is>
          <t xml:space="preserve">y · in D</t>
        </is>
      </c>
      <c r="BM338" s="147" t="inlineStr">
        <is>
          <t xml:space="preserve">S₇ sphere · x</t>
        </is>
      </c>
      <c r="BN338" s="147" t="inlineStr">
        <is>
          <t xml:space="preserve">y · in L</t>
        </is>
      </c>
      <c r="BO338" s="147" t="inlineStr">
        <is>
          <t xml:space="preserve">y · in F, not in L</t>
        </is>
      </c>
      <c r="BP338" s="147" t="inlineStr">
        <is>
          <t xml:space="preserve">y · in D</t>
        </is>
      </c>
    </row>
    <row r="339">
      <c r="A339" s="62" t="inlineStr">
        <is>
          <t xml:space="preserve">S₁</t>
        </is>
      </c>
      <c r="B339" s="68">
        <f>'ERDR Iterations'!B$33</f>
        <v>2</v>
      </c>
      <c r="C339" s="146">
        <f>'ERDR Iterations'!B$34</f>
        <v>1</v>
      </c>
      <c r="D339" s="146">
        <f>'ERDR Iterations'!B$40</f>
        <v>0</v>
      </c>
      <c r="E339" s="146">
        <f>IF($Q$337=1,1,0)</f>
        <v>0</v>
      </c>
      <c r="F339" s="146">
        <f>IF(OR($Q$337=0,E339=1),0,INDEX('Sorted Neighbors'!$B$5:$H$11,$Q$337,1))</f>
        <v>3</v>
      </c>
      <c r="G339" s="144">
        <f>IF($Q$337=0,0,INDEX('Zhuravlev Distances'!$B$5:$H$11,$Q$337,1))</f>
        <v>5.60708061</v>
      </c>
      <c r="H339" s="144">
        <f>'ERDR Characteristics'!$D$5</f>
        <v>5.60708061</v>
      </c>
      <c r="I339" s="146">
        <f>D339</f>
        <v>0</v>
      </c>
      <c r="J339" s="144">
        <f>IF(F339=0,0,PI()/2-(F339-1)*$B$6)</f>
        <v>-0.523598775598299</v>
      </c>
      <c r="K339" s="144">
        <f>G339*COS(J339)</f>
        <v>4.85587424932715</v>
      </c>
      <c r="L339" s="144">
        <f>G339*SIN(J339)</f>
        <v>-2.803540305</v>
      </c>
      <c r="M339" s="144">
        <f>IF($Q$337=0,NA(),(K339-$T$337)/$Z$337)</f>
        <v>0.470774469425254</v>
      </c>
      <c r="N339" s="144">
        <f>IF($Q$337=0,NA(),(L339-$W$337)/$Z$337)</f>
        <v>-0.36011283554095</v>
      </c>
      <c r="O339" s="144">
        <f>K339-I339*H339</f>
        <v>4.85587424932715</v>
      </c>
      <c r="P339" s="144">
        <f>K339+I339*H339</f>
        <v>4.85587424932715</v>
      </c>
      <c r="Q339" s="144">
        <f>L339-I339*H339</f>
        <v>-2.803540305</v>
      </c>
      <c r="R339" s="144">
        <f>L339+I339*H339</f>
        <v>-2.803540305</v>
      </c>
      <c r="S339" s="146">
        <f>'ERDR Iterations'!B$46</f>
        <v>0</v>
      </c>
      <c r="T339" s="146">
        <f>'ERDR Iterations'!B$36</f>
        <v>2</v>
      </c>
      <c r="U339" s="146">
        <f>'ERDR Iterations'!B$49</f>
        <v>2</v>
      </c>
      <c r="V339" s="146">
        <f>'ERDR Iterations'!B$48</f>
        <v>0</v>
      </c>
      <c r="W339" s="146">
        <f>'ERDR Iterations'!B$51</f>
        <v>0</v>
      </c>
      <c r="X339" s="144" t="e">
        <f>IF(AND($Q$337&gt;0,E339=0,B339=1,C339=1),M339,NA())</f>
        <v>#N/A</v>
      </c>
      <c r="Y339" s="144" t="e">
        <f>IF(AND($Q$337&gt;0,E339=0,B339=1,C339=1),N339,NA())</f>
        <v>#N/A</v>
      </c>
      <c r="Z339" s="144" t="e">
        <f>IF(AND($Q$337&gt;0,E339=0,B339=1,C339=0),M339,NA())</f>
        <v>#N/A</v>
      </c>
      <c r="AA339" s="144" t="e">
        <f>IF(AND($Q$337&gt;0,E339=0,B339=1,C339=0),N339,NA())</f>
        <v>#N/A</v>
      </c>
      <c r="AB339" s="144">
        <f>IF(AND($Q$337&gt;0,E339=0,B339=2,C339=1),M339,NA())</f>
        <v>0.470774469425254</v>
      </c>
      <c r="AC339" s="144">
        <f>IF(AND($Q$337&gt;0,E339=0,B339=2,C339=1),N339,NA())</f>
        <v>-0.36011283554095</v>
      </c>
      <c r="AD339" s="144" t="e">
        <f>IF(AND($Q$337&gt;0,E339=0,B339=2,C339=0),M339,NA())</f>
        <v>#N/A</v>
      </c>
      <c r="AE339" s="144" t="e">
        <f>IF(AND($Q$337&gt;0,E339=0,B339=2,C339=0),N339,NA())</f>
        <v>#N/A</v>
      </c>
      <c r="AF339" s="144" t="e">
        <f>IF(AND(E339=1,B339=1),M339,NA())</f>
        <v>#N/A</v>
      </c>
      <c r="AG339" s="144" t="e">
        <f>IF(AND(E339=1,B339=1),N339,NA())</f>
        <v>#N/A</v>
      </c>
      <c r="AH339" s="144" t="e">
        <f>IF(AND(E339=1,B339=2),M339,NA())</f>
        <v>#N/A</v>
      </c>
      <c r="AI339" s="144" t="e">
        <f>IF(AND(E339=1,B339=2),N339,NA())</f>
        <v>#N/A</v>
      </c>
      <c r="AJ339" s="145" t="str">
        <f>A339&amp;IF(E339=1," = Sᵢ",IF(C339=0," (in D)",""))&amp;IF(V339=1,"  ·  g "&amp;T339&amp;"→"&amp;U339,"")&amp;IF(W339=1,"  → D","")</f>
        <v>S₁</v>
      </c>
      <c r="AN339" s="146">
        <v>0</v>
      </c>
      <c r="AO339" s="144" t="e">
        <f>IF($I$339=1,$M$339+$H$339/$Z$337*$L$5,NA())</f>
        <v>#N/A</v>
      </c>
      <c r="AP339" s="144" t="e">
        <f>IF($S$339=1,$N$339+$H$339/$Z$337*$M$5,NA())</f>
        <v>#N/A</v>
      </c>
      <c r="AQ339" s="144" t="e">
        <f>IF(AND($I$339=1,$C$339=1,$S$339=0),$N$339+$H$339/$Z$337*$M$5,NA())</f>
        <v>#N/A</v>
      </c>
      <c r="AR339" s="144" t="e">
        <f>IF(AND($I$339=1,$C$339=0),$N$339+$H$339/$Z$337*$M$5,NA())</f>
        <v>#N/A</v>
      </c>
      <c r="AS339" s="144" t="e">
        <f>IF($I$340=1,$M$340+$H$340/$Z$337*$L$5,NA())</f>
        <v>#N/A</v>
      </c>
      <c r="AT339" s="144" t="e">
        <f>IF($S$340=1,$N$340+$H$340/$Z$337*$M$5,NA())</f>
        <v>#N/A</v>
      </c>
      <c r="AU339" s="144" t="e">
        <f>IF(AND($I$340=1,$C$340=1,$S$340=0),$N$340+$H$340/$Z$337*$M$5,NA())</f>
        <v>#N/A</v>
      </c>
      <c r="AV339" s="144" t="e">
        <f>IF(AND($I$340=1,$C$340=0),$N$340+$H$340/$Z$337*$M$5,NA())</f>
        <v>#N/A</v>
      </c>
      <c r="AW339" s="144">
        <f>IF($I$341=1,$M$341+$H$341/$Z$337*$L$5,NA())</f>
        <v>0.559681007778083</v>
      </c>
      <c r="AX339" s="144">
        <f>IF($S$341=1,$N$341+$H$341/$Z$337*$M$5,NA())</f>
        <v>-0.0283091172831216</v>
      </c>
      <c r="AY339" s="144" t="e">
        <f>IF(AND($I$341=1,$C$341=1,$S$341=0),$N$341+$H$341/$Z$337*$M$5,NA())</f>
        <v>#N/A</v>
      </c>
      <c r="AZ339" s="144" t="e">
        <f>IF(AND($I$341=1,$C$341=0),$N$341+$H$341/$Z$337*$M$5,NA())</f>
        <v>#N/A</v>
      </c>
      <c r="BA339" s="144" t="e">
        <f>IF($I$342=1,$M$342+$H$342/$Z$337*$L$5,NA())</f>
        <v>#N/A</v>
      </c>
      <c r="BB339" s="144" t="e">
        <f>IF($S$342=1,$N$342+$H$342/$Z$337*$M$5,NA())</f>
        <v>#N/A</v>
      </c>
      <c r="BC339" s="144" t="e">
        <f>IF(AND($I$342=1,$C$342=1,$S$342=0),$N$342+$H$342/$Z$337*$M$5,NA())</f>
        <v>#N/A</v>
      </c>
      <c r="BD339" s="144" t="e">
        <f>IF(AND($I$342=1,$C$342=0),$N$342+$H$342/$Z$337*$M$5,NA())</f>
        <v>#N/A</v>
      </c>
      <c r="BE339" s="144" t="e">
        <f>IF($I$343=1,$M$343+$H$343/$Z$337*$L$5,NA())</f>
        <v>#N/A</v>
      </c>
      <c r="BF339" s="144" t="e">
        <f>IF($S$343=1,$N$343+$H$343/$Z$337*$M$5,NA())</f>
        <v>#N/A</v>
      </c>
      <c r="BG339" s="144" t="e">
        <f>IF(AND($I$343=1,$C$343=1,$S$343=0),$N$343+$H$343/$Z$337*$M$5,NA())</f>
        <v>#N/A</v>
      </c>
      <c r="BH339" s="144" t="e">
        <f>IF(AND($I$343=1,$C$343=0),$N$343+$H$343/$Z$337*$M$5,NA())</f>
        <v>#N/A</v>
      </c>
      <c r="BI339" s="144">
        <f>IF($I$344=1,$M$344+$H$344/$Z$337*$L$5,NA())</f>
        <v>0.869565217391304</v>
      </c>
      <c r="BJ339" s="144" t="e">
        <f>IF($S$344=1,$N$344+$H$344/$Z$337*$M$5,NA())</f>
        <v>#N/A</v>
      </c>
      <c r="BK339" s="144">
        <f>IF(AND($I$344=1,$C$344=1,$S$344=0),$N$344+$H$344/$Z$337*$M$5,NA())</f>
        <v>0.280427724732935</v>
      </c>
      <c r="BL339" s="144" t="e">
        <f>IF(AND($I$344=1,$C$344=0),$N$344+$H$344/$Z$337*$M$5,NA())</f>
        <v>#N/A</v>
      </c>
      <c r="BM339" s="144">
        <f>IF($I$345=1,$M$345+$H$345/$Z$337*$L$5,NA())</f>
        <v>0.358944805827892</v>
      </c>
      <c r="BN339" s="144">
        <f>IF($S$345=1,$N$345+$H$345/$Z$337*$M$5,NA())</f>
        <v>0.301297414457782</v>
      </c>
      <c r="BO339" s="144" t="e">
        <f>IF(AND($I$345=1,$C$345=1,$S$345=0),$N$345+$H$345/$Z$337*$M$5,NA())</f>
        <v>#N/A</v>
      </c>
      <c r="BP339" s="144" t="e">
        <f>IF(AND($I$345=1,$C$345=0),$N$345+$H$345/$Z$337*$M$5,NA())</f>
        <v>#N/A</v>
      </c>
    </row>
    <row r="340">
      <c r="A340" s="62" t="inlineStr">
        <is>
          <t xml:space="preserve">S₂</t>
        </is>
      </c>
      <c r="B340" s="68">
        <f>'ERDR Iterations'!C$33</f>
        <v>2</v>
      </c>
      <c r="C340" s="146">
        <f>'ERDR Iterations'!C$34</f>
        <v>1</v>
      </c>
      <c r="D340" s="146">
        <f>'ERDR Iterations'!C$40</f>
        <v>0</v>
      </c>
      <c r="E340" s="146">
        <f>IF($Q$337=2,1,0)</f>
        <v>0</v>
      </c>
      <c r="F340" s="146">
        <f>IF(OR($Q$337=0,E340=1),0,INDEX('Sorted Neighbors'!$B$5:$H$11,$Q$337,2))</f>
        <v>6</v>
      </c>
      <c r="G340" s="144">
        <f>IF($Q$337=0,0,INDEX('Zhuravlev Distances'!$B$5:$H$11,$Q$337,2))</f>
        <v>7.4699698919</v>
      </c>
      <c r="H340" s="144">
        <f>'ERDR Characteristics'!$D$6</f>
        <v>7.4699698919</v>
      </c>
      <c r="I340" s="146">
        <f>D340</f>
        <v>0</v>
      </c>
      <c r="J340" s="144">
        <f>IF(F340=0,0,PI()/2-(F340-1)*$B$6)</f>
        <v>-3.66519142918809</v>
      </c>
      <c r="K340" s="144">
        <f>G340*COS(J340)</f>
        <v>-6.4691836918903</v>
      </c>
      <c r="L340" s="144">
        <f>G340*SIN(J340)</f>
        <v>3.73498494595</v>
      </c>
      <c r="M340" s="144">
        <f>IF($Q$337=0,NA(),(K340-$T$337)/$Z$337)</f>
        <v>-0.869565217391304</v>
      </c>
      <c r="N340" s="144">
        <f>IF($Q$337=0,NA(),(L340-$W$337)/$Z$337)</f>
        <v>0.413732643448128</v>
      </c>
      <c r="O340" s="144">
        <f>K340-I340*H340</f>
        <v>-6.4691836918903</v>
      </c>
      <c r="P340" s="144">
        <f>K340+I340*H340</f>
        <v>-6.4691836918903</v>
      </c>
      <c r="Q340" s="144">
        <f>L340-I340*H340</f>
        <v>3.73498494595</v>
      </c>
      <c r="R340" s="144">
        <f>L340+I340*H340</f>
        <v>3.73498494595</v>
      </c>
      <c r="S340" s="146">
        <f>'ERDR Iterations'!C$46</f>
        <v>0</v>
      </c>
      <c r="T340" s="146">
        <f>'ERDR Iterations'!C$36</f>
        <v>3</v>
      </c>
      <c r="U340" s="146">
        <f>'ERDR Iterations'!C$49</f>
        <v>3</v>
      </c>
      <c r="V340" s="146">
        <f>'ERDR Iterations'!C$48</f>
        <v>0</v>
      </c>
      <c r="W340" s="146">
        <f>'ERDR Iterations'!C$51</f>
        <v>0</v>
      </c>
      <c r="X340" s="144" t="e">
        <f>IF(AND($Q$337&gt;0,E340=0,B340=1,C340=1),M340,NA())</f>
        <v>#N/A</v>
      </c>
      <c r="Y340" s="144" t="e">
        <f>IF(AND($Q$337&gt;0,E340=0,B340=1,C340=1),N340,NA())</f>
        <v>#N/A</v>
      </c>
      <c r="Z340" s="144" t="e">
        <f>IF(AND($Q$337&gt;0,E340=0,B340=1,C340=0),M340,NA())</f>
        <v>#N/A</v>
      </c>
      <c r="AA340" s="144" t="e">
        <f>IF(AND($Q$337&gt;0,E340=0,B340=1,C340=0),N340,NA())</f>
        <v>#N/A</v>
      </c>
      <c r="AB340" s="144">
        <f>IF(AND($Q$337&gt;0,E340=0,B340=2,C340=1),M340,NA())</f>
        <v>-0.869565217391304</v>
      </c>
      <c r="AC340" s="144">
        <f>IF(AND($Q$337&gt;0,E340=0,B340=2,C340=1),N340,NA())</f>
        <v>0.413732643448128</v>
      </c>
      <c r="AD340" s="144" t="e">
        <f>IF(AND($Q$337&gt;0,E340=0,B340=2,C340=0),M340,NA())</f>
        <v>#N/A</v>
      </c>
      <c r="AE340" s="144" t="e">
        <f>IF(AND($Q$337&gt;0,E340=0,B340=2,C340=0),N340,NA())</f>
        <v>#N/A</v>
      </c>
      <c r="AF340" s="144" t="e">
        <f>IF(AND(E340=1,B340=1),M340,NA())</f>
        <v>#N/A</v>
      </c>
      <c r="AG340" s="144" t="e">
        <f>IF(AND(E340=1,B340=1),N340,NA())</f>
        <v>#N/A</v>
      </c>
      <c r="AH340" s="144" t="e">
        <f>IF(AND(E340=1,B340=2),M340,NA())</f>
        <v>#N/A</v>
      </c>
      <c r="AI340" s="144" t="e">
        <f>IF(AND(E340=1,B340=2),N340,NA())</f>
        <v>#N/A</v>
      </c>
      <c r="AJ340" s="145" t="str">
        <f>A340&amp;IF(E340=1," = Sᵢ",IF(C340=0," (in D)",""))&amp;IF(V340=1,"  ·  g "&amp;T340&amp;"→"&amp;U340,"")&amp;IF(W340=1,"  → D","")</f>
        <v>S₂</v>
      </c>
      <c r="AN340" s="146">
        <v>1</v>
      </c>
      <c r="AO340" s="144" t="e">
        <f>IF($I$339=1,$M$339+$H$339/$Z$337*$L$6,NA())</f>
        <v>#N/A</v>
      </c>
      <c r="AP340" s="144" t="e">
        <f>IF($S$339=1,$N$339+$H$339/$Z$337*$M$6,NA())</f>
        <v>#N/A</v>
      </c>
      <c r="AQ340" s="144" t="e">
        <f>IF(AND($I$339=1,$C$339=1,$S$339=0),$N$339+$H$339/$Z$337*$M$6,NA())</f>
        <v>#N/A</v>
      </c>
      <c r="AR340" s="144" t="e">
        <f>IF(AND($I$339=1,$C$339=0),$N$339+$H$339/$Z$337*$M$6,NA())</f>
        <v>#N/A</v>
      </c>
      <c r="AS340" s="144" t="e">
        <f>IF($I$340=1,$M$340+$H$340/$Z$337*$L$6,NA())</f>
        <v>#N/A</v>
      </c>
      <c r="AT340" s="144" t="e">
        <f>IF($S$340=1,$N$340+$H$340/$Z$337*$M$6,NA())</f>
        <v>#N/A</v>
      </c>
      <c r="AU340" s="144" t="e">
        <f>IF(AND($I$340=1,$C$340=1,$S$340=0),$N$340+$H$340/$Z$337*$M$6,NA())</f>
        <v>#N/A</v>
      </c>
      <c r="AV340" s="144" t="e">
        <f>IF(AND($I$340=1,$C$340=0),$N$340+$H$340/$Z$337*$M$6,NA())</f>
        <v>#N/A</v>
      </c>
      <c r="AW340" s="144">
        <f>IF($I$341=1,$M$341+$H$341/$Z$337*$L$6,NA())</f>
        <v>0.537069132710383</v>
      </c>
      <c r="AX340" s="144">
        <f>IF($S$341=1,$N$341+$H$341/$Z$337*$M$6,NA())</f>
        <v>0.143445125758793</v>
      </c>
      <c r="AY340" s="144" t="e">
        <f>IF(AND($I$341=1,$C$341=1,$S$341=0),$N$341+$H$341/$Z$337*$M$6,NA())</f>
        <v>#N/A</v>
      </c>
      <c r="AZ340" s="144" t="e">
        <f>IF(AND($I$341=1,$C$341=0),$N$341+$H$341/$Z$337*$M$6,NA())</f>
        <v>#N/A</v>
      </c>
      <c r="BA340" s="144" t="e">
        <f>IF($I$342=1,$M$342+$H$342/$Z$337*$L$6,NA())</f>
        <v>#N/A</v>
      </c>
      <c r="BB340" s="144" t="e">
        <f>IF($S$342=1,$N$342+$H$342/$Z$337*$M$6,NA())</f>
        <v>#N/A</v>
      </c>
      <c r="BC340" s="144" t="e">
        <f>IF(AND($I$342=1,$C$342=1,$S$342=0),$N$342+$H$342/$Z$337*$M$6,NA())</f>
        <v>#N/A</v>
      </c>
      <c r="BD340" s="144" t="e">
        <f>IF(AND($I$342=1,$C$342=0),$N$342+$H$342/$Z$337*$M$6,NA())</f>
        <v>#N/A</v>
      </c>
      <c r="BE340" s="144" t="e">
        <f>IF($I$343=1,$M$343+$H$343/$Z$337*$L$6,NA())</f>
        <v>#N/A</v>
      </c>
      <c r="BF340" s="144" t="e">
        <f>IF($S$343=1,$N$343+$H$343/$Z$337*$M$6,NA())</f>
        <v>#N/A</v>
      </c>
      <c r="BG340" s="144" t="e">
        <f>IF(AND($I$343=1,$C$343=1,$S$343=0),$N$343+$H$343/$Z$337*$M$6,NA())</f>
        <v>#N/A</v>
      </c>
      <c r="BH340" s="144" t="e">
        <f>IF(AND($I$343=1,$C$343=0),$N$343+$H$343/$Z$337*$M$6,NA())</f>
        <v>#N/A</v>
      </c>
      <c r="BI340" s="144">
        <f>IF($I$344=1,$M$344+$H$344/$Z$337*$L$6,NA())</f>
        <v>0.854615386653234</v>
      </c>
      <c r="BJ340" s="144" t="e">
        <f>IF($S$344=1,$N$344+$H$344/$Z$337*$M$6,NA())</f>
        <v>#N/A</v>
      </c>
      <c r="BK340" s="144">
        <f>IF(AND($I$344=1,$C$344=1,$S$344=0),$N$344+$H$344/$Z$337*$M$6,NA())</f>
        <v>0.393982963046183</v>
      </c>
      <c r="BL340" s="144" t="e">
        <f>IF(AND($I$344=1,$C$344=0),$N$344+$H$344/$Z$337*$M$6,NA())</f>
        <v>#N/A</v>
      </c>
      <c r="BM340" s="144">
        <f>IF($I$345=1,$M$345+$H$345/$Z$337*$L$6,NA())</f>
        <v>0.343172850975515</v>
      </c>
      <c r="BN340" s="144">
        <f>IF($S$345=1,$N$345+$H$345/$Z$337*$M$6,NA())</f>
        <v>0.421097305393441</v>
      </c>
      <c r="BO340" s="144" t="e">
        <f>IF(AND($I$345=1,$C$345=1,$S$345=0),$N$345+$H$345/$Z$337*$M$6,NA())</f>
        <v>#N/A</v>
      </c>
      <c r="BP340" s="144" t="e">
        <f>IF(AND($I$345=1,$C$345=0),$N$345+$H$345/$Z$337*$M$6,NA())</f>
        <v>#N/A</v>
      </c>
    </row>
    <row r="341">
      <c r="A341" s="62" t="inlineStr">
        <is>
          <t xml:space="preserve">S₃</t>
        </is>
      </c>
      <c r="B341" s="68">
        <f>'ERDR Iterations'!D$33</f>
        <v>1</v>
      </c>
      <c r="C341" s="146">
        <f>'ERDR Iterations'!D$34</f>
        <v>1</v>
      </c>
      <c r="D341" s="146">
        <f>'ERDR Iterations'!D$40</f>
        <v>1</v>
      </c>
      <c r="E341" s="146">
        <f>IF($Q$337=3,1,0)</f>
        <v>1</v>
      </c>
      <c r="F341" s="146">
        <f>IF(OR($Q$337=0,E341=1),0,INDEX('Sorted Neighbors'!$B$5:$H$11,$Q$337,3))</f>
        <v>0</v>
      </c>
      <c r="G341" s="144">
        <f>IF($Q$337=0,0,INDEX('Zhuravlev Distances'!$B$5:$H$11,$Q$337,3))</f>
        <v>0</v>
      </c>
      <c r="H341" s="144">
        <f>'ERDR Characteristics'!$D$7</f>
        <v>5.60708061</v>
      </c>
      <c r="I341" s="146">
        <f>D341</f>
        <v>1</v>
      </c>
      <c r="J341" s="144">
        <f>IF(F341=0,0,PI()/2-(F341-1)*$B$6)</f>
        <v>0</v>
      </c>
      <c r="K341" s="144">
        <f>G341*COS(J341)</f>
        <v>0</v>
      </c>
      <c r="L341" s="144">
        <f>G341*SIN(J341)</f>
        <v>0</v>
      </c>
      <c r="M341" s="144">
        <f>IF($Q$337=0,NA(),(K341-$T$337)/$Z$337)</f>
        <v>-0.103926428737574</v>
      </c>
      <c r="N341" s="144">
        <f>IF($Q$337=0,NA(),(L341-$W$337)/$Z$337)</f>
        <v>-0.0283091172831216</v>
      </c>
      <c r="O341" s="144">
        <f>K341-I341*H341</f>
        <v>-5.60708061</v>
      </c>
      <c r="P341" s="144">
        <f>K341+I341*H341</f>
        <v>5.60708061</v>
      </c>
      <c r="Q341" s="144">
        <f>L341-I341*H341</f>
        <v>-5.60708061</v>
      </c>
      <c r="R341" s="144">
        <f>L341+I341*H341</f>
        <v>5.60708061</v>
      </c>
      <c r="S341" s="146">
        <f>'ERDR Iterations'!D$46</f>
        <v>1</v>
      </c>
      <c r="T341" s="146">
        <f>'ERDR Iterations'!D$36</f>
        <v>3</v>
      </c>
      <c r="U341" s="146">
        <f>'ERDR Iterations'!D$49</f>
        <v>2</v>
      </c>
      <c r="V341" s="146">
        <f>'ERDR Iterations'!D$48</f>
        <v>1</v>
      </c>
      <c r="W341" s="146">
        <f>'ERDR Iterations'!D$51</f>
        <v>0</v>
      </c>
      <c r="X341" s="144" t="e">
        <f>IF(AND($Q$337&gt;0,E341=0,B341=1,C341=1),M341,NA())</f>
        <v>#N/A</v>
      </c>
      <c r="Y341" s="144" t="e">
        <f>IF(AND($Q$337&gt;0,E341=0,B341=1,C341=1),N341,NA())</f>
        <v>#N/A</v>
      </c>
      <c r="Z341" s="144" t="e">
        <f>IF(AND($Q$337&gt;0,E341=0,B341=1,C341=0),M341,NA())</f>
        <v>#N/A</v>
      </c>
      <c r="AA341" s="144" t="e">
        <f>IF(AND($Q$337&gt;0,E341=0,B341=1,C341=0),N341,NA())</f>
        <v>#N/A</v>
      </c>
      <c r="AB341" s="144" t="e">
        <f>IF(AND($Q$337&gt;0,E341=0,B341=2,C341=1),M341,NA())</f>
        <v>#N/A</v>
      </c>
      <c r="AC341" s="144" t="e">
        <f>IF(AND($Q$337&gt;0,E341=0,B341=2,C341=1),N341,NA())</f>
        <v>#N/A</v>
      </c>
      <c r="AD341" s="144" t="e">
        <f>IF(AND($Q$337&gt;0,E341=0,B341=2,C341=0),M341,NA())</f>
        <v>#N/A</v>
      </c>
      <c r="AE341" s="144" t="e">
        <f>IF(AND($Q$337&gt;0,E341=0,B341=2,C341=0),N341,NA())</f>
        <v>#N/A</v>
      </c>
      <c r="AF341" s="144">
        <f>IF(AND(E341=1,B341=1),M341,NA())</f>
        <v>-0.103926428737574</v>
      </c>
      <c r="AG341" s="144">
        <f>IF(AND(E341=1,B341=1),N341,NA())</f>
        <v>-0.0283091172831216</v>
      </c>
      <c r="AH341" s="144" t="e">
        <f>IF(AND(E341=1,B341=2),M341,NA())</f>
        <v>#N/A</v>
      </c>
      <c r="AI341" s="144" t="e">
        <f>IF(AND(E341=1,B341=2),N341,NA())</f>
        <v>#N/A</v>
      </c>
      <c r="AJ341" s="145" t="str">
        <f>A341&amp;IF(E341=1," = Sᵢ",IF(C341=0," (in D)",""))&amp;IF(V341=1,"  ·  g "&amp;T341&amp;"→"&amp;U341,"")&amp;IF(W341=1,"  → D","")</f>
        <v>S₃ = Sᵢ  ·  g 3→2</v>
      </c>
      <c r="AN341" s="146">
        <v>2</v>
      </c>
      <c r="AO341" s="144" t="e">
        <f>IF($I$339=1,$M$339+$H$339/$Z$337*$L$7,NA())</f>
        <v>#N/A</v>
      </c>
      <c r="AP341" s="144" t="e">
        <f>IF($S$339=1,$N$339+$H$339/$Z$337*$M$7,NA())</f>
        <v>#N/A</v>
      </c>
      <c r="AQ341" s="144" t="e">
        <f>IF(AND($I$339=1,$C$339=1,$S$339=0),$N$339+$H$339/$Z$337*$M$7,NA())</f>
        <v>#N/A</v>
      </c>
      <c r="AR341" s="144" t="e">
        <f>IF(AND($I$339=1,$C$339=0),$N$339+$H$339/$Z$337*$M$7,NA())</f>
        <v>#N/A</v>
      </c>
      <c r="AS341" s="144" t="e">
        <f>IF($I$340=1,$M$340+$H$340/$Z$337*$L$7,NA())</f>
        <v>#N/A</v>
      </c>
      <c r="AT341" s="144" t="e">
        <f>IF($S$340=1,$N$340+$H$340/$Z$337*$M$7,NA())</f>
        <v>#N/A</v>
      </c>
      <c r="AU341" s="144" t="e">
        <f>IF(AND($I$340=1,$C$340=1,$S$340=0),$N$340+$H$340/$Z$337*$M$7,NA())</f>
        <v>#N/A</v>
      </c>
      <c r="AV341" s="144" t="e">
        <f>IF(AND($I$340=1,$C$340=0),$N$340+$H$340/$Z$337*$M$7,NA())</f>
        <v>#N/A</v>
      </c>
      <c r="AW341" s="144">
        <f>IF($I$341=1,$M$341+$H$341/$Z$337*$L$7,NA())</f>
        <v>0.470774469425254</v>
      </c>
      <c r="AX341" s="144">
        <f>IF($S$341=1,$N$341+$H$341/$Z$337*$M$7,NA())</f>
        <v>0.303494600974707</v>
      </c>
      <c r="AY341" s="144" t="e">
        <f>IF(AND($I$341=1,$C$341=1,$S$341=0),$N$341+$H$341/$Z$337*$M$7,NA())</f>
        <v>#N/A</v>
      </c>
      <c r="AZ341" s="144" t="e">
        <f>IF(AND($I$341=1,$C$341=0),$N$341+$H$341/$Z$337*$M$7,NA())</f>
        <v>#N/A</v>
      </c>
      <c r="BA341" s="144" t="e">
        <f>IF($I$342=1,$M$342+$H$342/$Z$337*$L$7,NA())</f>
        <v>#N/A</v>
      </c>
      <c r="BB341" s="144" t="e">
        <f>IF($S$342=1,$N$342+$H$342/$Z$337*$M$7,NA())</f>
        <v>#N/A</v>
      </c>
      <c r="BC341" s="144" t="e">
        <f>IF(AND($I$342=1,$C$342=1,$S$342=0),$N$342+$H$342/$Z$337*$M$7,NA())</f>
        <v>#N/A</v>
      </c>
      <c r="BD341" s="144" t="e">
        <f>IF(AND($I$342=1,$C$342=0),$N$342+$H$342/$Z$337*$M$7,NA())</f>
        <v>#N/A</v>
      </c>
      <c r="BE341" s="144" t="e">
        <f>IF($I$343=1,$M$343+$H$343/$Z$337*$L$7,NA())</f>
        <v>#N/A</v>
      </c>
      <c r="BF341" s="144" t="e">
        <f>IF($S$343=1,$N$343+$H$343/$Z$337*$M$7,NA())</f>
        <v>#N/A</v>
      </c>
      <c r="BG341" s="144" t="e">
        <f>IF(AND($I$343=1,$C$343=1,$S$343=0),$N$343+$H$343/$Z$337*$M$7,NA())</f>
        <v>#N/A</v>
      </c>
      <c r="BH341" s="144" t="e">
        <f>IF(AND($I$343=1,$C$343=0),$N$343+$H$343/$Z$337*$M$7,NA())</f>
        <v>#N/A</v>
      </c>
      <c r="BI341" s="144">
        <f>IF($I$344=1,$M$344+$H$344/$Z$337*$L$7,NA())</f>
        <v>0.810784700698057</v>
      </c>
      <c r="BJ341" s="144" t="e">
        <f>IF($S$344=1,$N$344+$H$344/$Z$337*$M$7,NA())</f>
        <v>#N/A</v>
      </c>
      <c r="BK341" s="144">
        <f>IF(AND($I$344=1,$C$344=1,$S$344=0),$N$344+$H$344/$Z$337*$M$7,NA())</f>
        <v>0.499799599527287</v>
      </c>
      <c r="BL341" s="144" t="e">
        <f>IF(AND($I$344=1,$C$344=0),$N$344+$H$344/$Z$337*$M$7,NA())</f>
        <v>#N/A</v>
      </c>
      <c r="BM341" s="144">
        <f>IF($I$345=1,$M$345+$H$345/$Z$337*$L$7,NA())</f>
        <v>0.296931819077185</v>
      </c>
      <c r="BN341" s="144">
        <f>IF($S$345=1,$N$345+$H$345/$Z$337*$M$7,NA())</f>
        <v>0.532733031740515</v>
      </c>
      <c r="BO341" s="144" t="e">
        <f>IF(AND($I$345=1,$C$345=1,$S$345=0),$N$345+$H$345/$Z$337*$M$7,NA())</f>
        <v>#N/A</v>
      </c>
      <c r="BP341" s="144" t="e">
        <f>IF(AND($I$345=1,$C$345=0),$N$345+$H$345/$Z$337*$M$7,NA())</f>
        <v>#N/A</v>
      </c>
    </row>
    <row r="342">
      <c r="A342" s="62" t="inlineStr">
        <is>
          <t xml:space="preserve">S₄</t>
        </is>
      </c>
      <c r="B342" s="68">
        <f>'ERDR Iterations'!E$33</f>
        <v>2</v>
      </c>
      <c r="C342" s="146">
        <f>'ERDR Iterations'!E$34</f>
        <v>1</v>
      </c>
      <c r="D342" s="146">
        <f>'ERDR Iterations'!E$40</f>
        <v>0</v>
      </c>
      <c r="E342" s="146">
        <f>IF($Q$337=4,1,0)</f>
        <v>0</v>
      </c>
      <c r="F342" s="146">
        <f>IF(OR($Q$337=0,E342=1),0,INDEX('Sorted Neighbors'!$B$5:$H$11,$Q$337,4))</f>
        <v>4</v>
      </c>
      <c r="G342" s="144">
        <f>IF($Q$337=0,0,INDEX('Zhuravlev Distances'!$B$5:$H$11,$Q$337,4))</f>
        <v>6.2175670209</v>
      </c>
      <c r="H342" s="144">
        <f>'ERDR Characteristics'!$D$8</f>
        <v>3.7071187508</v>
      </c>
      <c r="I342" s="146">
        <f>D342</f>
        <v>0</v>
      </c>
      <c r="J342" s="144">
        <f>IF(F342=0,0,PI()/2-(F342-1)*$B$6)</f>
        <v>-1.5707963267949</v>
      </c>
      <c r="K342" s="144">
        <f>G342*COS(J342)</f>
        <v>3.80716177531467e-16</v>
      </c>
      <c r="L342" s="144">
        <f>G342*SIN(J342)</f>
        <v>-6.2175670209</v>
      </c>
      <c r="M342" s="144">
        <f>IF($Q$337=0,NA(),(K342-$T$337)/$Z$337)</f>
        <v>-0.103926428737574</v>
      </c>
      <c r="N342" s="144">
        <f>IF($Q$337=0,NA(),(L342-$W$337)/$Z$337)</f>
        <v>-0.764168649023248</v>
      </c>
      <c r="O342" s="144">
        <f>K342-I342*H342</f>
        <v>3.80716177531467e-16</v>
      </c>
      <c r="P342" s="144">
        <f>K342+I342*H342</f>
        <v>3.80716177531467e-16</v>
      </c>
      <c r="Q342" s="144">
        <f>L342-I342*H342</f>
        <v>-6.2175670209</v>
      </c>
      <c r="R342" s="144">
        <f>L342+I342*H342</f>
        <v>-6.2175670209</v>
      </c>
      <c r="S342" s="146">
        <f>'ERDR Iterations'!E$46</f>
        <v>0</v>
      </c>
      <c r="T342" s="146">
        <f>'ERDR Iterations'!E$36</f>
        <v>1</v>
      </c>
      <c r="U342" s="146">
        <f>'ERDR Iterations'!E$49</f>
        <v>1</v>
      </c>
      <c r="V342" s="146">
        <f>'ERDR Iterations'!E$48</f>
        <v>0</v>
      </c>
      <c r="W342" s="146">
        <f>'ERDR Iterations'!E$51</f>
        <v>0</v>
      </c>
      <c r="X342" s="144" t="e">
        <f>IF(AND($Q$337&gt;0,E342=0,B342=1,C342=1),M342,NA())</f>
        <v>#N/A</v>
      </c>
      <c r="Y342" s="144" t="e">
        <f>IF(AND($Q$337&gt;0,E342=0,B342=1,C342=1),N342,NA())</f>
        <v>#N/A</v>
      </c>
      <c r="Z342" s="144" t="e">
        <f>IF(AND($Q$337&gt;0,E342=0,B342=1,C342=0),M342,NA())</f>
        <v>#N/A</v>
      </c>
      <c r="AA342" s="144" t="e">
        <f>IF(AND($Q$337&gt;0,E342=0,B342=1,C342=0),N342,NA())</f>
        <v>#N/A</v>
      </c>
      <c r="AB342" s="144">
        <f>IF(AND($Q$337&gt;0,E342=0,B342=2,C342=1),M342,NA())</f>
        <v>-0.103926428737574</v>
      </c>
      <c r="AC342" s="144">
        <f>IF(AND($Q$337&gt;0,E342=0,B342=2,C342=1),N342,NA())</f>
        <v>-0.764168649023248</v>
      </c>
      <c r="AD342" s="144" t="e">
        <f>IF(AND($Q$337&gt;0,E342=0,B342=2,C342=0),M342,NA())</f>
        <v>#N/A</v>
      </c>
      <c r="AE342" s="144" t="e">
        <f>IF(AND($Q$337&gt;0,E342=0,B342=2,C342=0),N342,NA())</f>
        <v>#N/A</v>
      </c>
      <c r="AF342" s="144" t="e">
        <f>IF(AND(E342=1,B342=1),M342,NA())</f>
        <v>#N/A</v>
      </c>
      <c r="AG342" s="144" t="e">
        <f>IF(AND(E342=1,B342=1),N342,NA())</f>
        <v>#N/A</v>
      </c>
      <c r="AH342" s="144" t="e">
        <f>IF(AND(E342=1,B342=2),M342,NA())</f>
        <v>#N/A</v>
      </c>
      <c r="AI342" s="144" t="e">
        <f>IF(AND(E342=1,B342=2),N342,NA())</f>
        <v>#N/A</v>
      </c>
      <c r="AJ342" s="145" t="str">
        <f>A342&amp;IF(E342=1," = Sᵢ",IF(C342=0," (in D)",""))&amp;IF(V342=1,"  ·  g "&amp;T342&amp;"→"&amp;U342,"")&amp;IF(W342=1,"  → D","")</f>
        <v>S₄</v>
      </c>
      <c r="AN342" s="146">
        <v>3</v>
      </c>
      <c r="AO342" s="144" t="e">
        <f>IF($I$339=1,$M$339+$H$339/$Z$337*$L$8,NA())</f>
        <v>#N/A</v>
      </c>
      <c r="AP342" s="144" t="e">
        <f>IF($S$339=1,$N$339+$H$339/$Z$337*$M$8,NA())</f>
        <v>#N/A</v>
      </c>
      <c r="AQ342" s="144" t="e">
        <f>IF(AND($I$339=1,$C$339=1,$S$339=0),$N$339+$H$339/$Z$337*$M$8,NA())</f>
        <v>#N/A</v>
      </c>
      <c r="AR342" s="144" t="e">
        <f>IF(AND($I$339=1,$C$339=0),$N$339+$H$339/$Z$337*$M$8,NA())</f>
        <v>#N/A</v>
      </c>
      <c r="AS342" s="144" t="e">
        <f>IF($I$340=1,$M$340+$H$340/$Z$337*$L$8,NA())</f>
        <v>#N/A</v>
      </c>
      <c r="AT342" s="144" t="e">
        <f>IF($S$340=1,$N$340+$H$340/$Z$337*$M$8,NA())</f>
        <v>#N/A</v>
      </c>
      <c r="AU342" s="144" t="e">
        <f>IF(AND($I$340=1,$C$340=1,$S$340=0),$N$340+$H$340/$Z$337*$M$8,NA())</f>
        <v>#N/A</v>
      </c>
      <c r="AV342" s="144" t="e">
        <f>IF(AND($I$340=1,$C$340=0),$N$340+$H$340/$Z$337*$M$8,NA())</f>
        <v>#N/A</v>
      </c>
      <c r="AW342" s="144">
        <f>IF($I$341=1,$M$341+$H$341/$Z$337*$L$8,NA())</f>
        <v>0.365314889668469</v>
      </c>
      <c r="AX342" s="144">
        <f>IF($S$341=1,$N$341+$H$341/$Z$337*$M$8,NA())</f>
        <v>0.440932201122921</v>
      </c>
      <c r="AY342" s="144" t="e">
        <f>IF(AND($I$341=1,$C$341=1,$S$341=0),$N$341+$H$341/$Z$337*$M$8,NA())</f>
        <v>#N/A</v>
      </c>
      <c r="AZ342" s="144" t="e">
        <f>IF(AND($I$341=1,$C$341=0),$N$341+$H$341/$Z$337*$M$8,NA())</f>
        <v>#N/A</v>
      </c>
      <c r="BA342" s="144" t="e">
        <f>IF($I$342=1,$M$342+$H$342/$Z$337*$L$8,NA())</f>
        <v>#N/A</v>
      </c>
      <c r="BB342" s="144" t="e">
        <f>IF($S$342=1,$N$342+$H$342/$Z$337*$M$8,NA())</f>
        <v>#N/A</v>
      </c>
      <c r="BC342" s="144" t="e">
        <f>IF(AND($I$342=1,$C$342=1,$S$342=0),$N$342+$H$342/$Z$337*$M$8,NA())</f>
        <v>#N/A</v>
      </c>
      <c r="BD342" s="144" t="e">
        <f>IF(AND($I$342=1,$C$342=0),$N$342+$H$342/$Z$337*$M$8,NA())</f>
        <v>#N/A</v>
      </c>
      <c r="BE342" s="144" t="e">
        <f>IF($I$343=1,$M$343+$H$343/$Z$337*$L$8,NA())</f>
        <v>#N/A</v>
      </c>
      <c r="BF342" s="144" t="e">
        <f>IF($S$343=1,$N$343+$H$343/$Z$337*$M$8,NA())</f>
        <v>#N/A</v>
      </c>
      <c r="BG342" s="144" t="e">
        <f>IF(AND($I$343=1,$C$343=1,$S$343=0),$N$343+$H$343/$Z$337*$M$8,NA())</f>
        <v>#N/A</v>
      </c>
      <c r="BH342" s="144" t="e">
        <f>IF(AND($I$343=1,$C$343=0),$N$343+$H$343/$Z$337*$M$8,NA())</f>
        <v>#N/A</v>
      </c>
      <c r="BI342" s="144">
        <f>IF($I$344=1,$M$344+$H$344/$Z$337*$L$8,NA())</f>
        <v>0.741060148339986</v>
      </c>
      <c r="BJ342" s="144" t="e">
        <f>IF($S$344=1,$N$344+$H$344/$Z$337*$M$8,NA())</f>
        <v>#N/A</v>
      </c>
      <c r="BK342" s="144">
        <f>IF(AND($I$344=1,$C$344=1,$S$344=0),$N$344+$H$344/$Z$337*$M$8,NA())</f>
        <v>0.590666405270319</v>
      </c>
      <c r="BL342" s="144" t="e">
        <f>IF(AND($I$344=1,$C$344=0),$N$344+$H$344/$Z$337*$M$8,NA())</f>
        <v>#N/A</v>
      </c>
      <c r="BM342" s="144">
        <f>IF($I$345=1,$M$345+$H$345/$Z$337*$L$8,NA())</f>
        <v>0.223372960039856</v>
      </c>
      <c r="BN342" s="144">
        <f>IF($S$345=1,$N$345+$H$345/$Z$337*$M$8,NA())</f>
        <v>0.628596803235212</v>
      </c>
      <c r="BO342" s="144" t="e">
        <f>IF(AND($I$345=1,$C$345=1,$S$345=0),$N$345+$H$345/$Z$337*$M$8,NA())</f>
        <v>#N/A</v>
      </c>
      <c r="BP342" s="144" t="e">
        <f>IF(AND($I$345=1,$C$345=0),$N$345+$H$345/$Z$337*$M$8,NA())</f>
        <v>#N/A</v>
      </c>
    </row>
    <row r="343">
      <c r="A343" s="62" t="inlineStr">
        <is>
          <t xml:space="preserve">S₅</t>
        </is>
      </c>
      <c r="B343" s="68">
        <f>'ERDR Iterations'!F$33</f>
        <v>2</v>
      </c>
      <c r="C343" s="146">
        <f>'ERDR Iterations'!F$34</f>
        <v>1</v>
      </c>
      <c r="D343" s="146">
        <f>'ERDR Iterations'!F$40</f>
        <v>0</v>
      </c>
      <c r="E343" s="146">
        <f>IF($Q$337=5,1,0)</f>
        <v>0</v>
      </c>
      <c r="F343" s="146">
        <f>IF(OR($Q$337=0,E343=1),0,INDEX('Sorted Neighbors'!$B$5:$H$11,$Q$337,5))</f>
        <v>5</v>
      </c>
      <c r="G343" s="144">
        <f>IF($Q$337=0,0,INDEX('Zhuravlev Distances'!$B$5:$H$11,$Q$337,5))</f>
        <v>7.3117496807</v>
      </c>
      <c r="H343" s="144">
        <f>'ERDR Characteristics'!$D$9</f>
        <v>7.1117040273</v>
      </c>
      <c r="I343" s="146">
        <f>D343</f>
        <v>0</v>
      </c>
      <c r="J343" s="144">
        <f>IF(F343=0,0,PI()/2-(F343-1)*$B$6)</f>
        <v>-2.61799387799149</v>
      </c>
      <c r="K343" s="144">
        <f>G343*COS(J343)</f>
        <v>-6.33216096959896</v>
      </c>
      <c r="L343" s="144">
        <f>G343*SIN(J343)</f>
        <v>-3.65587484035</v>
      </c>
      <c r="M343" s="144">
        <f>IF($Q$337=0,NA(),(K343-$T$337)/$Z$337)</f>
        <v>-0.853348347364149</v>
      </c>
      <c r="N343" s="144">
        <f>IF($Q$337=0,NA(),(L343-$W$337)/$Z$337)</f>
        <v>-0.460988063738781</v>
      </c>
      <c r="O343" s="144">
        <f>K343-I343*H343</f>
        <v>-6.33216096959896</v>
      </c>
      <c r="P343" s="144">
        <f>K343+I343*H343</f>
        <v>-6.33216096959896</v>
      </c>
      <c r="Q343" s="144">
        <f>L343-I343*H343</f>
        <v>-3.65587484035</v>
      </c>
      <c r="R343" s="144">
        <f>L343+I343*H343</f>
        <v>-3.65587484035</v>
      </c>
      <c r="S343" s="146">
        <f>'ERDR Iterations'!F$46</f>
        <v>0</v>
      </c>
      <c r="T343" s="146">
        <f>'ERDR Iterations'!F$36</f>
        <v>2</v>
      </c>
      <c r="U343" s="146">
        <f>'ERDR Iterations'!F$49</f>
        <v>2</v>
      </c>
      <c r="V343" s="146">
        <f>'ERDR Iterations'!F$48</f>
        <v>0</v>
      </c>
      <c r="W343" s="146">
        <f>'ERDR Iterations'!F$51</f>
        <v>0</v>
      </c>
      <c r="X343" s="144" t="e">
        <f>IF(AND($Q$337&gt;0,E343=0,B343=1,C343=1),M343,NA())</f>
        <v>#N/A</v>
      </c>
      <c r="Y343" s="144" t="e">
        <f>IF(AND($Q$337&gt;0,E343=0,B343=1,C343=1),N343,NA())</f>
        <v>#N/A</v>
      </c>
      <c r="Z343" s="144" t="e">
        <f>IF(AND($Q$337&gt;0,E343=0,B343=1,C343=0),M343,NA())</f>
        <v>#N/A</v>
      </c>
      <c r="AA343" s="144" t="e">
        <f>IF(AND($Q$337&gt;0,E343=0,B343=1,C343=0),N343,NA())</f>
        <v>#N/A</v>
      </c>
      <c r="AB343" s="144">
        <f>IF(AND($Q$337&gt;0,E343=0,B343=2,C343=1),M343,NA())</f>
        <v>-0.853348347364149</v>
      </c>
      <c r="AC343" s="144">
        <f>IF(AND($Q$337&gt;0,E343=0,B343=2,C343=1),N343,NA())</f>
        <v>-0.460988063738781</v>
      </c>
      <c r="AD343" s="144" t="e">
        <f>IF(AND($Q$337&gt;0,E343=0,B343=2,C343=0),M343,NA())</f>
        <v>#N/A</v>
      </c>
      <c r="AE343" s="144" t="e">
        <f>IF(AND($Q$337&gt;0,E343=0,B343=2,C343=0),N343,NA())</f>
        <v>#N/A</v>
      </c>
      <c r="AF343" s="144" t="e">
        <f>IF(AND(E343=1,B343=1),M343,NA())</f>
        <v>#N/A</v>
      </c>
      <c r="AG343" s="144" t="e">
        <f>IF(AND(E343=1,B343=1),N343,NA())</f>
        <v>#N/A</v>
      </c>
      <c r="AH343" s="144" t="e">
        <f>IF(AND(E343=1,B343=2),M343,NA())</f>
        <v>#N/A</v>
      </c>
      <c r="AI343" s="144" t="e">
        <f>IF(AND(E343=1,B343=2),N343,NA())</f>
        <v>#N/A</v>
      </c>
      <c r="AJ343" s="145" t="str">
        <f>A343&amp;IF(E343=1," = Sᵢ",IF(C343=0," (in D)",""))&amp;IF(V343=1,"  ·  g "&amp;T343&amp;"→"&amp;U343,"")&amp;IF(W343=1,"  → D","")</f>
        <v>S₅</v>
      </c>
      <c r="AN343" s="146">
        <v>4</v>
      </c>
      <c r="AO343" s="144" t="e">
        <f>IF($I$339=1,$M$339+$H$339/$Z$337*$L$9,NA())</f>
        <v>#N/A</v>
      </c>
      <c r="AP343" s="144" t="e">
        <f>IF($S$339=1,$N$339+$H$339/$Z$337*$M$9,NA())</f>
        <v>#N/A</v>
      </c>
      <c r="AQ343" s="144" t="e">
        <f>IF(AND($I$339=1,$C$339=1,$S$339=0),$N$339+$H$339/$Z$337*$M$9,NA())</f>
        <v>#N/A</v>
      </c>
      <c r="AR343" s="144" t="e">
        <f>IF(AND($I$339=1,$C$339=0),$N$339+$H$339/$Z$337*$M$9,NA())</f>
        <v>#N/A</v>
      </c>
      <c r="AS343" s="144" t="e">
        <f>IF($I$340=1,$M$340+$H$340/$Z$337*$L$9,NA())</f>
        <v>#N/A</v>
      </c>
      <c r="AT343" s="144" t="e">
        <f>IF($S$340=1,$N$340+$H$340/$Z$337*$M$9,NA())</f>
        <v>#N/A</v>
      </c>
      <c r="AU343" s="144" t="e">
        <f>IF(AND($I$340=1,$C$340=1,$S$340=0),$N$340+$H$340/$Z$337*$M$9,NA())</f>
        <v>#N/A</v>
      </c>
      <c r="AV343" s="144" t="e">
        <f>IF(AND($I$340=1,$C$340=0),$N$340+$H$340/$Z$337*$M$9,NA())</f>
        <v>#N/A</v>
      </c>
      <c r="AW343" s="144">
        <f>IF($I$341=1,$M$341+$H$341/$Z$337*$L$9,NA())</f>
        <v>0.227877289520255</v>
      </c>
      <c r="AX343" s="144">
        <f>IF($S$341=1,$N$341+$H$341/$Z$337*$M$9,NA())</f>
        <v>0.546391780879707</v>
      </c>
      <c r="AY343" s="144" t="e">
        <f>IF(AND($I$341=1,$C$341=1,$S$341=0),$N$341+$H$341/$Z$337*$M$9,NA())</f>
        <v>#N/A</v>
      </c>
      <c r="AZ343" s="144" t="e">
        <f>IF(AND($I$341=1,$C$341=0),$N$341+$H$341/$Z$337*$M$9,NA())</f>
        <v>#N/A</v>
      </c>
      <c r="BA343" s="144" t="e">
        <f>IF($I$342=1,$M$342+$H$342/$Z$337*$L$9,NA())</f>
        <v>#N/A</v>
      </c>
      <c r="BB343" s="144" t="e">
        <f>IF($S$342=1,$N$342+$H$342/$Z$337*$M$9,NA())</f>
        <v>#N/A</v>
      </c>
      <c r="BC343" s="144" t="e">
        <f>IF(AND($I$342=1,$C$342=1,$S$342=0),$N$342+$H$342/$Z$337*$M$9,NA())</f>
        <v>#N/A</v>
      </c>
      <c r="BD343" s="144" t="e">
        <f>IF(AND($I$342=1,$C$342=0),$N$342+$H$342/$Z$337*$M$9,NA())</f>
        <v>#N/A</v>
      </c>
      <c r="BE343" s="144" t="e">
        <f>IF($I$343=1,$M$343+$H$343/$Z$337*$L$9,NA())</f>
        <v>#N/A</v>
      </c>
      <c r="BF343" s="144" t="e">
        <f>IF($S$343=1,$N$343+$H$343/$Z$337*$M$9,NA())</f>
        <v>#N/A</v>
      </c>
      <c r="BG343" s="144" t="e">
        <f>IF(AND($I$343=1,$C$343=1,$S$343=0),$N$343+$H$343/$Z$337*$M$9,NA())</f>
        <v>#N/A</v>
      </c>
      <c r="BH343" s="144" t="e">
        <f>IF(AND($I$343=1,$C$343=0),$N$343+$H$343/$Z$337*$M$9,NA())</f>
        <v>#N/A</v>
      </c>
      <c r="BI343" s="144">
        <f>IF($I$344=1,$M$344+$H$344/$Z$337*$L$9,NA())</f>
        <v>0.650193342596953</v>
      </c>
      <c r="BJ343" s="144" t="e">
        <f>IF($S$344=1,$N$344+$H$344/$Z$337*$M$9,NA())</f>
        <v>#N/A</v>
      </c>
      <c r="BK343" s="144">
        <f>IF(AND($I$344=1,$C$344=1,$S$344=0),$N$344+$H$344/$Z$337*$M$9,NA())</f>
        <v>0.66039095762839</v>
      </c>
      <c r="BL343" s="144" t="e">
        <f>IF(AND($I$344=1,$C$344=0),$N$344+$H$344/$Z$337*$M$9,NA())</f>
        <v>#N/A</v>
      </c>
      <c r="BM343" s="144">
        <f>IF($I$345=1,$M$345+$H$345/$Z$337*$L$9,NA())</f>
        <v>0.127509188545159</v>
      </c>
      <c r="BN343" s="144">
        <f>IF($S$345=1,$N$345+$H$345/$Z$337*$M$9,NA())</f>
        <v>0.702155662272541</v>
      </c>
      <c r="BO343" s="144" t="e">
        <f>IF(AND($I$345=1,$C$345=1,$S$345=0),$N$345+$H$345/$Z$337*$M$9,NA())</f>
        <v>#N/A</v>
      </c>
      <c r="BP343" s="144" t="e">
        <f>IF(AND($I$345=1,$C$345=0),$N$345+$H$345/$Z$337*$M$9,NA())</f>
        <v>#N/A</v>
      </c>
    </row>
    <row r="344">
      <c r="A344" s="62" t="inlineStr">
        <is>
          <t xml:space="preserve">S₆</t>
        </is>
      </c>
      <c r="B344" s="68">
        <f>'ERDR Iterations'!G$33</f>
        <v>1</v>
      </c>
      <c r="C344" s="146">
        <f>'ERDR Iterations'!G$34</f>
        <v>1</v>
      </c>
      <c r="D344" s="146">
        <f>'ERDR Iterations'!G$40</f>
        <v>1</v>
      </c>
      <c r="E344" s="146">
        <f>IF($Q$337=6,1,0)</f>
        <v>0</v>
      </c>
      <c r="F344" s="146">
        <f>IF(OR($Q$337=0,E344=1),0,INDEX('Sorted Neighbors'!$B$5:$H$11,$Q$337,6))</f>
        <v>2</v>
      </c>
      <c r="G344" s="144">
        <f>IF($Q$337=0,0,INDEX('Zhuravlev Distances'!$B$5:$H$11,$Q$337,6))</f>
        <v>5.2172783643</v>
      </c>
      <c r="H344" s="144">
        <f>'ERDR Characteristics'!$D$10</f>
        <v>3.7071187508</v>
      </c>
      <c r="I344" s="146">
        <f>D344</f>
        <v>1</v>
      </c>
      <c r="J344" s="144">
        <f>IF(F344=0,0,PI()/2-(F344-1)*$B$6)</f>
        <v>0.523598775598299</v>
      </c>
      <c r="K344" s="144">
        <f>G344*COS(J344)</f>
        <v>4.51829560209872</v>
      </c>
      <c r="L344" s="144">
        <f>G344*SIN(J344)</f>
        <v>2.60863918215</v>
      </c>
      <c r="M344" s="144">
        <f>IF($Q$337=0,NA(),(K344-$T$337)/$Z$337)</f>
        <v>0.430821467802601</v>
      </c>
      <c r="N344" s="144">
        <f>IF($Q$337=0,NA(),(L344-$W$337)/$Z$337)</f>
        <v>0.280427724732935</v>
      </c>
      <c r="O344" s="144">
        <f>K344-I344*H344</f>
        <v>0.811176851298723</v>
      </c>
      <c r="P344" s="144">
        <f>K344+I344*H344</f>
        <v>8.22541435289872</v>
      </c>
      <c r="Q344" s="144">
        <f>L344-I344*H344</f>
        <v>-1.09847956865</v>
      </c>
      <c r="R344" s="144">
        <f>L344+I344*H344</f>
        <v>6.31575793295</v>
      </c>
      <c r="S344" s="146">
        <f>'ERDR Iterations'!G$46</f>
        <v>0</v>
      </c>
      <c r="T344" s="146">
        <f>'ERDR Iterations'!G$36</f>
        <v>1</v>
      </c>
      <c r="U344" s="146">
        <f>'ERDR Iterations'!G$49</f>
        <v>1</v>
      </c>
      <c r="V344" s="146">
        <f>'ERDR Iterations'!G$48</f>
        <v>0</v>
      </c>
      <c r="W344" s="146">
        <f>'ERDR Iterations'!G$51</f>
        <v>0</v>
      </c>
      <c r="X344" s="144">
        <f>IF(AND($Q$337&gt;0,E344=0,B344=1,C344=1),M344,NA())</f>
        <v>0.430821467802601</v>
      </c>
      <c r="Y344" s="144">
        <f>IF(AND($Q$337&gt;0,E344=0,B344=1,C344=1),N344,NA())</f>
        <v>0.280427724732935</v>
      </c>
      <c r="Z344" s="144" t="e">
        <f>IF(AND($Q$337&gt;0,E344=0,B344=1,C344=0),M344,NA())</f>
        <v>#N/A</v>
      </c>
      <c r="AA344" s="144" t="e">
        <f>IF(AND($Q$337&gt;0,E344=0,B344=1,C344=0),N344,NA())</f>
        <v>#N/A</v>
      </c>
      <c r="AB344" s="144" t="e">
        <f>IF(AND($Q$337&gt;0,E344=0,B344=2,C344=1),M344,NA())</f>
        <v>#N/A</v>
      </c>
      <c r="AC344" s="144" t="e">
        <f>IF(AND($Q$337&gt;0,E344=0,B344=2,C344=1),N344,NA())</f>
        <v>#N/A</v>
      </c>
      <c r="AD344" s="144" t="e">
        <f>IF(AND($Q$337&gt;0,E344=0,B344=2,C344=0),M344,NA())</f>
        <v>#N/A</v>
      </c>
      <c r="AE344" s="144" t="e">
        <f>IF(AND($Q$337&gt;0,E344=0,B344=2,C344=0),N344,NA())</f>
        <v>#N/A</v>
      </c>
      <c r="AF344" s="144" t="e">
        <f>IF(AND(E344=1,B344=1),M344,NA())</f>
        <v>#N/A</v>
      </c>
      <c r="AG344" s="144" t="e">
        <f>IF(AND(E344=1,B344=1),N344,NA())</f>
        <v>#N/A</v>
      </c>
      <c r="AH344" s="144" t="e">
        <f>IF(AND(E344=1,B344=2),M344,NA())</f>
        <v>#N/A</v>
      </c>
      <c r="AI344" s="144" t="e">
        <f>IF(AND(E344=1,B344=2),N344,NA())</f>
        <v>#N/A</v>
      </c>
      <c r="AJ344" s="145" t="str">
        <f>A344&amp;IF(E344=1," = Sᵢ",IF(C344=0," (in D)",""))&amp;IF(V344=1,"  ·  g "&amp;T344&amp;"→"&amp;U344,"")&amp;IF(W344=1,"  → D","")</f>
        <v>S₆</v>
      </c>
      <c r="AN344" s="146">
        <v>5</v>
      </c>
      <c r="AO344" s="144" t="e">
        <f>IF($I$339=1,$M$339+$H$339/$Z$337*$L$10,NA())</f>
        <v>#N/A</v>
      </c>
      <c r="AP344" s="144" t="e">
        <f>IF($S$339=1,$N$339+$H$339/$Z$337*$M$10,NA())</f>
        <v>#N/A</v>
      </c>
      <c r="AQ344" s="144" t="e">
        <f>IF(AND($I$339=1,$C$339=1,$S$339=0),$N$339+$H$339/$Z$337*$M$10,NA())</f>
        <v>#N/A</v>
      </c>
      <c r="AR344" s="144" t="e">
        <f>IF(AND($I$339=1,$C$339=0),$N$339+$H$339/$Z$337*$M$10,NA())</f>
        <v>#N/A</v>
      </c>
      <c r="AS344" s="144" t="e">
        <f>IF($I$340=1,$M$340+$H$340/$Z$337*$L$10,NA())</f>
        <v>#N/A</v>
      </c>
      <c r="AT344" s="144" t="e">
        <f>IF($S$340=1,$N$340+$H$340/$Z$337*$M$10,NA())</f>
        <v>#N/A</v>
      </c>
      <c r="AU344" s="144" t="e">
        <f>IF(AND($I$340=1,$C$340=1,$S$340=0),$N$340+$H$340/$Z$337*$M$10,NA())</f>
        <v>#N/A</v>
      </c>
      <c r="AV344" s="144" t="e">
        <f>IF(AND($I$340=1,$C$340=0),$N$340+$H$340/$Z$337*$M$10,NA())</f>
        <v>#N/A</v>
      </c>
      <c r="AW344" s="144">
        <f>IF($I$341=1,$M$341+$H$341/$Z$337*$L$10,NA())</f>
        <v>0.0678278143043399</v>
      </c>
      <c r="AX344" s="144">
        <f>IF($S$341=1,$N$341+$H$341/$Z$337*$M$10,NA())</f>
        <v>0.612686444164835</v>
      </c>
      <c r="AY344" s="144" t="e">
        <f>IF(AND($I$341=1,$C$341=1,$S$341=0),$N$341+$H$341/$Z$337*$M$10,NA())</f>
        <v>#N/A</v>
      </c>
      <c r="AZ344" s="144" t="e">
        <f>IF(AND($I$341=1,$C$341=0),$N$341+$H$341/$Z$337*$M$10,NA())</f>
        <v>#N/A</v>
      </c>
      <c r="BA344" s="144" t="e">
        <f>IF($I$342=1,$M$342+$H$342/$Z$337*$L$10,NA())</f>
        <v>#N/A</v>
      </c>
      <c r="BB344" s="144" t="e">
        <f>IF($S$342=1,$N$342+$H$342/$Z$337*$M$10,NA())</f>
        <v>#N/A</v>
      </c>
      <c r="BC344" s="144" t="e">
        <f>IF(AND($I$342=1,$C$342=1,$S$342=0),$N$342+$H$342/$Z$337*$M$10,NA())</f>
        <v>#N/A</v>
      </c>
      <c r="BD344" s="144" t="e">
        <f>IF(AND($I$342=1,$C$342=0),$N$342+$H$342/$Z$337*$M$10,NA())</f>
        <v>#N/A</v>
      </c>
      <c r="BE344" s="144" t="e">
        <f>IF($I$343=1,$M$343+$H$343/$Z$337*$L$10,NA())</f>
        <v>#N/A</v>
      </c>
      <c r="BF344" s="144" t="e">
        <f>IF($S$343=1,$N$343+$H$343/$Z$337*$M$10,NA())</f>
        <v>#N/A</v>
      </c>
      <c r="BG344" s="144" t="e">
        <f>IF(AND($I$343=1,$C$343=1,$S$343=0),$N$343+$H$343/$Z$337*$M$10,NA())</f>
        <v>#N/A</v>
      </c>
      <c r="BH344" s="144" t="e">
        <f>IF(AND($I$343=1,$C$343=0),$N$343+$H$343/$Z$337*$M$10,NA())</f>
        <v>#N/A</v>
      </c>
      <c r="BI344" s="144">
        <f>IF($I$344=1,$M$344+$H$344/$Z$337*$L$10,NA())</f>
        <v>0.544376706115849</v>
      </c>
      <c r="BJ344" s="144" t="e">
        <f>IF($S$344=1,$N$344+$H$344/$Z$337*$M$10,NA())</f>
        <v>#N/A</v>
      </c>
      <c r="BK344" s="144">
        <f>IF(AND($I$344=1,$C$344=1,$S$344=0),$N$344+$H$344/$Z$337*$M$10,NA())</f>
        <v>0.704221643583567</v>
      </c>
      <c r="BL344" s="144" t="e">
        <f>IF(AND($I$344=1,$C$344=0),$N$344+$H$344/$Z$337*$M$10,NA())</f>
        <v>#N/A</v>
      </c>
      <c r="BM344" s="144">
        <f>IF($I$345=1,$M$345+$H$345/$Z$337*$L$10,NA())</f>
        <v>0.0158734621980847</v>
      </c>
      <c r="BN344" s="144">
        <f>IF($S$345=1,$N$345+$H$345/$Z$337*$M$10,NA())</f>
        <v>0.748396694170871</v>
      </c>
      <c r="BO344" s="144" t="e">
        <f>IF(AND($I$345=1,$C$345=1,$S$345=0),$N$345+$H$345/$Z$337*$M$10,NA())</f>
        <v>#N/A</v>
      </c>
      <c r="BP344" s="144" t="e">
        <f>IF(AND($I$345=1,$C$345=0),$N$345+$H$345/$Z$337*$M$10,NA())</f>
        <v>#N/A</v>
      </c>
    </row>
    <row r="345">
      <c r="A345" s="62" t="inlineStr">
        <is>
          <t xml:space="preserve">S₇</t>
        </is>
      </c>
      <c r="B345" s="68">
        <f>'ERDR Iterations'!H$33</f>
        <v>1</v>
      </c>
      <c r="C345" s="146">
        <f>'ERDR Iterations'!H$34</f>
        <v>1</v>
      </c>
      <c r="D345" s="146">
        <f>'ERDR Iterations'!H$40</f>
        <v>1</v>
      </c>
      <c r="E345" s="146">
        <f>IF($Q$337=7,1,0)</f>
        <v>0</v>
      </c>
      <c r="F345" s="146">
        <f>IF(OR($Q$337=0,E345=1),0,INDEX('Sorted Neighbors'!$B$5:$H$11,$Q$337,7))</f>
        <v>1</v>
      </c>
      <c r="G345" s="144">
        <f>IF($Q$337=0,0,INDEX('Zhuravlev Distances'!$B$5:$H$11,$Q$337,7))</f>
        <v>2.7849754107</v>
      </c>
      <c r="H345" s="144">
        <f>'ERDR Characteristics'!$D$11</f>
        <v>3.9109813746</v>
      </c>
      <c r="I345" s="146">
        <f>D345</f>
        <v>1</v>
      </c>
      <c r="J345" s="144">
        <f>IF(F345=0,0,PI()/2-(F345-1)*$B$6)</f>
        <v>1.5707963267949</v>
      </c>
      <c r="K345" s="144">
        <f>G345*COS(J345)</f>
        <v>1.70530561120892e-16</v>
      </c>
      <c r="L345" s="144">
        <f>G345*SIN(J345)</f>
        <v>2.7849754107</v>
      </c>
      <c r="M345" s="144">
        <f>IF($Q$337=0,NA(),(K345-$T$337)/$Z$337)</f>
        <v>-0.103926428737574</v>
      </c>
      <c r="N345" s="144">
        <f>IF($Q$337=0,NA(),(L345-$W$337)/$Z$337)</f>
        <v>0.301297414457782</v>
      </c>
      <c r="O345" s="144">
        <f>K345-I345*H345</f>
        <v>-3.9109813746</v>
      </c>
      <c r="P345" s="144">
        <f>K345+I345*H345</f>
        <v>3.9109813746</v>
      </c>
      <c r="Q345" s="144">
        <f>L345-I345*H345</f>
        <v>-1.1260059639</v>
      </c>
      <c r="R345" s="144">
        <f>L345+I345*H345</f>
        <v>6.6959567853</v>
      </c>
      <c r="S345" s="146">
        <f>'ERDR Iterations'!H$46</f>
        <v>1</v>
      </c>
      <c r="T345" s="146">
        <f>'ERDR Iterations'!H$36</f>
        <v>2</v>
      </c>
      <c r="U345" s="146">
        <f>'ERDR Iterations'!H$49</f>
        <v>1</v>
      </c>
      <c r="V345" s="146">
        <f>'ERDR Iterations'!H$48</f>
        <v>1</v>
      </c>
      <c r="W345" s="146">
        <f>'ERDR Iterations'!H$51</f>
        <v>1</v>
      </c>
      <c r="X345" s="144">
        <f>IF(AND($Q$337&gt;0,E345=0,B345=1,C345=1),M345,NA())</f>
        <v>-0.103926428737574</v>
      </c>
      <c r="Y345" s="144">
        <f>IF(AND($Q$337&gt;0,E345=0,B345=1,C345=1),N345,NA())</f>
        <v>0.301297414457782</v>
      </c>
      <c r="Z345" s="144" t="e">
        <f>IF(AND($Q$337&gt;0,E345=0,B345=1,C345=0),M345,NA())</f>
        <v>#N/A</v>
      </c>
      <c r="AA345" s="144" t="e">
        <f>IF(AND($Q$337&gt;0,E345=0,B345=1,C345=0),N345,NA())</f>
        <v>#N/A</v>
      </c>
      <c r="AB345" s="144" t="e">
        <f>IF(AND($Q$337&gt;0,E345=0,B345=2,C345=1),M345,NA())</f>
        <v>#N/A</v>
      </c>
      <c r="AC345" s="144" t="e">
        <f>IF(AND($Q$337&gt;0,E345=0,B345=2,C345=1),N345,NA())</f>
        <v>#N/A</v>
      </c>
      <c r="AD345" s="144" t="e">
        <f>IF(AND($Q$337&gt;0,E345=0,B345=2,C345=0),M345,NA())</f>
        <v>#N/A</v>
      </c>
      <c r="AE345" s="144" t="e">
        <f>IF(AND($Q$337&gt;0,E345=0,B345=2,C345=0),N345,NA())</f>
        <v>#N/A</v>
      </c>
      <c r="AF345" s="144" t="e">
        <f>IF(AND(E345=1,B345=1),M345,NA())</f>
        <v>#N/A</v>
      </c>
      <c r="AG345" s="144" t="e">
        <f>IF(AND(E345=1,B345=1),N345,NA())</f>
        <v>#N/A</v>
      </c>
      <c r="AH345" s="144" t="e">
        <f>IF(AND(E345=1,B345=2),M345,NA())</f>
        <v>#N/A</v>
      </c>
      <c r="AI345" s="144" t="e">
        <f>IF(AND(E345=1,B345=2),N345,NA())</f>
        <v>#N/A</v>
      </c>
      <c r="AJ345" s="145" t="str">
        <f>A345&amp;IF(E345=1," = Sᵢ",IF(C345=0," (in D)",""))&amp;IF(V345=1,"  ·  g "&amp;T345&amp;"→"&amp;U345,"")&amp;IF(W345=1,"  → D","")</f>
        <v>S₇  ·  g 2→1  → D</v>
      </c>
      <c r="AN345" s="146">
        <v>6</v>
      </c>
      <c r="AO345" s="144" t="e">
        <f>IF($I$339=1,$M$339+$H$339/$Z$337*$L$11,NA())</f>
        <v>#N/A</v>
      </c>
      <c r="AP345" s="144" t="e">
        <f>IF($S$339=1,$N$339+$H$339/$Z$337*$M$11,NA())</f>
        <v>#N/A</v>
      </c>
      <c r="AQ345" s="144" t="e">
        <f>IF(AND($I$339=1,$C$339=1,$S$339=0),$N$339+$H$339/$Z$337*$M$11,NA())</f>
        <v>#N/A</v>
      </c>
      <c r="AR345" s="144" t="e">
        <f>IF(AND($I$339=1,$C$339=0),$N$339+$H$339/$Z$337*$M$11,NA())</f>
        <v>#N/A</v>
      </c>
      <c r="AS345" s="144" t="e">
        <f>IF($I$340=1,$M$340+$H$340/$Z$337*$L$11,NA())</f>
        <v>#N/A</v>
      </c>
      <c r="AT345" s="144" t="e">
        <f>IF($S$340=1,$N$340+$H$340/$Z$337*$M$11,NA())</f>
        <v>#N/A</v>
      </c>
      <c r="AU345" s="144" t="e">
        <f>IF(AND($I$340=1,$C$340=1,$S$340=0),$N$340+$H$340/$Z$337*$M$11,NA())</f>
        <v>#N/A</v>
      </c>
      <c r="AV345" s="144" t="e">
        <f>IF(AND($I$340=1,$C$340=0),$N$340+$H$340/$Z$337*$M$11,NA())</f>
        <v>#N/A</v>
      </c>
      <c r="AW345" s="144">
        <f>IF($I$341=1,$M$341+$H$341/$Z$337*$L$11,NA())</f>
        <v>-0.103926428737574</v>
      </c>
      <c r="AX345" s="144">
        <f>IF($S$341=1,$N$341+$H$341/$Z$337*$M$11,NA())</f>
        <v>0.635298319232536</v>
      </c>
      <c r="AY345" s="144" t="e">
        <f>IF(AND($I$341=1,$C$341=1,$S$341=0),$N$341+$H$341/$Z$337*$M$11,NA())</f>
        <v>#N/A</v>
      </c>
      <c r="AZ345" s="144" t="e">
        <f>IF(AND($I$341=1,$C$341=0),$N$341+$H$341/$Z$337*$M$11,NA())</f>
        <v>#N/A</v>
      </c>
      <c r="BA345" s="144" t="e">
        <f>IF($I$342=1,$M$342+$H$342/$Z$337*$L$11,NA())</f>
        <v>#N/A</v>
      </c>
      <c r="BB345" s="144" t="e">
        <f>IF($S$342=1,$N$342+$H$342/$Z$337*$M$11,NA())</f>
        <v>#N/A</v>
      </c>
      <c r="BC345" s="144" t="e">
        <f>IF(AND($I$342=1,$C$342=1,$S$342=0),$N$342+$H$342/$Z$337*$M$11,NA())</f>
        <v>#N/A</v>
      </c>
      <c r="BD345" s="144" t="e">
        <f>IF(AND($I$342=1,$C$342=0),$N$342+$H$342/$Z$337*$M$11,NA())</f>
        <v>#N/A</v>
      </c>
      <c r="BE345" s="144" t="e">
        <f>IF($I$343=1,$M$343+$H$343/$Z$337*$L$11,NA())</f>
        <v>#N/A</v>
      </c>
      <c r="BF345" s="144" t="e">
        <f>IF($S$343=1,$N$343+$H$343/$Z$337*$M$11,NA())</f>
        <v>#N/A</v>
      </c>
      <c r="BG345" s="144" t="e">
        <f>IF(AND($I$343=1,$C$343=1,$S$343=0),$N$343+$H$343/$Z$337*$M$11,NA())</f>
        <v>#N/A</v>
      </c>
      <c r="BH345" s="144" t="e">
        <f>IF(AND($I$343=1,$C$343=0),$N$343+$H$343/$Z$337*$M$11,NA())</f>
        <v>#N/A</v>
      </c>
      <c r="BI345" s="144">
        <f>IF($I$344=1,$M$344+$H$344/$Z$337*$L$11,NA())</f>
        <v>0.430821467802601</v>
      </c>
      <c r="BJ345" s="144" t="e">
        <f>IF($S$344=1,$N$344+$H$344/$Z$337*$M$11,NA())</f>
        <v>#N/A</v>
      </c>
      <c r="BK345" s="144">
        <f>IF(AND($I$344=1,$C$344=1,$S$344=0),$N$344+$H$344/$Z$337*$M$11,NA())</f>
        <v>0.719171474321638</v>
      </c>
      <c r="BL345" s="144" t="e">
        <f>IF(AND($I$344=1,$C$344=0),$N$344+$H$344/$Z$337*$M$11,NA())</f>
        <v>#N/A</v>
      </c>
      <c r="BM345" s="144">
        <f>IF($I$345=1,$M$345+$H$345/$Z$337*$L$11,NA())</f>
        <v>-0.103926428737574</v>
      </c>
      <c r="BN345" s="144">
        <f>IF($S$345=1,$N$345+$H$345/$Z$337*$M$11,NA())</f>
        <v>0.764168649023248</v>
      </c>
      <c r="BO345" s="144" t="e">
        <f>IF(AND($I$345=1,$C$345=1,$S$345=0),$N$345+$H$345/$Z$337*$M$11,NA())</f>
        <v>#N/A</v>
      </c>
      <c r="BP345" s="144" t="e">
        <f>IF(AND($I$345=1,$C$345=0),$N$345+$H$345/$Z$337*$M$11,NA())</f>
        <v>#N/A</v>
      </c>
    </row>
    <row r="346">
      <c r="A346" s="63" t="inlineStr">
        <is>
          <t xml:space="preserve">Message</t>
        </is>
      </c>
      <c r="D346" s="145" t="str">
        <f>"Queue empty → Step 6:   D = "&amp;'Training &amp; Validation'!$B$19&amp;"   ·   F = "&amp;'Training &amp; Validation'!$B$20</f>
        <v>Queue empty → Step 6:   D = {S₁, S₂, S₅, S₆, S₇}   ·   F = {S₃, S₄}</v>
      </c>
      <c r="E346" s="144" t="e">
        <f>IF($Q$337=0,0,NA())</f>
        <v>#N/A</v>
      </c>
      <c r="F346" s="144" t="e">
        <f>IF($Q$337=0,0,NA())</f>
        <v>#N/A</v>
      </c>
      <c r="AN346" s="146">
        <v>7</v>
      </c>
      <c r="AO346" s="144" t="e">
        <f>IF($I$339=1,$M$339+$H$339/$Z$337*$L$12,NA())</f>
        <v>#N/A</v>
      </c>
      <c r="AP346" s="144" t="e">
        <f>IF($S$339=1,$N$339+$H$339/$Z$337*$M$12,NA())</f>
        <v>#N/A</v>
      </c>
      <c r="AQ346" s="144" t="e">
        <f>IF(AND($I$339=1,$C$339=1,$S$339=0),$N$339+$H$339/$Z$337*$M$12,NA())</f>
        <v>#N/A</v>
      </c>
      <c r="AR346" s="144" t="e">
        <f>IF(AND($I$339=1,$C$339=0),$N$339+$H$339/$Z$337*$M$12,NA())</f>
        <v>#N/A</v>
      </c>
      <c r="AS346" s="144" t="e">
        <f>IF($I$340=1,$M$340+$H$340/$Z$337*$L$12,NA())</f>
        <v>#N/A</v>
      </c>
      <c r="AT346" s="144" t="e">
        <f>IF($S$340=1,$N$340+$H$340/$Z$337*$M$12,NA())</f>
        <v>#N/A</v>
      </c>
      <c r="AU346" s="144" t="e">
        <f>IF(AND($I$340=1,$C$340=1,$S$340=0),$N$340+$H$340/$Z$337*$M$12,NA())</f>
        <v>#N/A</v>
      </c>
      <c r="AV346" s="144" t="e">
        <f>IF(AND($I$340=1,$C$340=0),$N$340+$H$340/$Z$337*$M$12,NA())</f>
        <v>#N/A</v>
      </c>
      <c r="AW346" s="144">
        <f>IF($I$341=1,$M$341+$H$341/$Z$337*$L$12,NA())</f>
        <v>-0.275680671779488</v>
      </c>
      <c r="AX346" s="144">
        <f>IF($S$341=1,$N$341+$H$341/$Z$337*$M$12,NA())</f>
        <v>0.612686444164835</v>
      </c>
      <c r="AY346" s="144" t="e">
        <f>IF(AND($I$341=1,$C$341=1,$S$341=0),$N$341+$H$341/$Z$337*$M$12,NA())</f>
        <v>#N/A</v>
      </c>
      <c r="AZ346" s="144" t="e">
        <f>IF(AND($I$341=1,$C$341=0),$N$341+$H$341/$Z$337*$M$12,NA())</f>
        <v>#N/A</v>
      </c>
      <c r="BA346" s="144" t="e">
        <f>IF($I$342=1,$M$342+$H$342/$Z$337*$L$12,NA())</f>
        <v>#N/A</v>
      </c>
      <c r="BB346" s="144" t="e">
        <f>IF($S$342=1,$N$342+$H$342/$Z$337*$M$12,NA())</f>
        <v>#N/A</v>
      </c>
      <c r="BC346" s="144" t="e">
        <f>IF(AND($I$342=1,$C$342=1,$S$342=0),$N$342+$H$342/$Z$337*$M$12,NA())</f>
        <v>#N/A</v>
      </c>
      <c r="BD346" s="144" t="e">
        <f>IF(AND($I$342=1,$C$342=0),$N$342+$H$342/$Z$337*$M$12,NA())</f>
        <v>#N/A</v>
      </c>
      <c r="BE346" s="144" t="e">
        <f>IF($I$343=1,$M$343+$H$343/$Z$337*$L$12,NA())</f>
        <v>#N/A</v>
      </c>
      <c r="BF346" s="144" t="e">
        <f>IF($S$343=1,$N$343+$H$343/$Z$337*$M$12,NA())</f>
        <v>#N/A</v>
      </c>
      <c r="BG346" s="144" t="e">
        <f>IF(AND($I$343=1,$C$343=1,$S$343=0),$N$343+$H$343/$Z$337*$M$12,NA())</f>
        <v>#N/A</v>
      </c>
      <c r="BH346" s="144" t="e">
        <f>IF(AND($I$343=1,$C$343=0),$N$343+$H$343/$Z$337*$M$12,NA())</f>
        <v>#N/A</v>
      </c>
      <c r="BI346" s="144">
        <f>IF($I$344=1,$M$344+$H$344/$Z$337*$L$12,NA())</f>
        <v>0.317266229489353</v>
      </c>
      <c r="BJ346" s="144" t="e">
        <f>IF($S$344=1,$N$344+$H$344/$Z$337*$M$12,NA())</f>
        <v>#N/A</v>
      </c>
      <c r="BK346" s="144">
        <f>IF(AND($I$344=1,$C$344=1,$S$344=0),$N$344+$H$344/$Z$337*$M$12,NA())</f>
        <v>0.704221643583567</v>
      </c>
      <c r="BL346" s="144" t="e">
        <f>IF(AND($I$344=1,$C$344=0),$N$344+$H$344/$Z$337*$M$12,NA())</f>
        <v>#N/A</v>
      </c>
      <c r="BM346" s="144">
        <f>IF($I$345=1,$M$345+$H$345/$Z$337*$L$12,NA())</f>
        <v>-0.223726319673233</v>
      </c>
      <c r="BN346" s="144">
        <f>IF($S$345=1,$N$345+$H$345/$Z$337*$M$12,NA())</f>
        <v>0.748396694170871</v>
      </c>
      <c r="BO346" s="144" t="e">
        <f>IF(AND($I$345=1,$C$345=1,$S$345=0),$N$345+$H$345/$Z$337*$M$12,NA())</f>
        <v>#N/A</v>
      </c>
      <c r="BP346" s="144" t="e">
        <f>IF(AND($I$345=1,$C$345=0),$N$345+$H$345/$Z$337*$M$12,NA())</f>
        <v>#N/A</v>
      </c>
    </row>
    <row r="347">
      <c r="A347" s="147" t="inlineStr">
        <is>
          <t xml:space="preserve">Label slot</t>
        </is>
      </c>
      <c r="B347" s="147" t="inlineStr">
        <is>
          <t xml:space="preserve">Rank t</t>
        </is>
      </c>
      <c r="C347" s="147" t="inlineStr">
        <is>
          <t xml:space="preserve">Object</t>
        </is>
      </c>
      <c r="D347" s="147" t="inlineStr">
        <is>
          <t xml:space="preserve">Label</t>
        </is>
      </c>
      <c r="E347" s="147" t="inlineStr">
        <is>
          <t xml:space="preserve">x</t>
        </is>
      </c>
      <c r="F347" s="147" t="inlineStr">
        <is>
          <t xml:space="preserve">y</t>
        </is>
      </c>
      <c r="AN347" s="146">
        <v>8</v>
      </c>
      <c r="AO347" s="144" t="e">
        <f>IF($I$339=1,$M$339+$H$339/$Z$337*$L$13,NA())</f>
        <v>#N/A</v>
      </c>
      <c r="AP347" s="144" t="e">
        <f>IF($S$339=1,$N$339+$H$339/$Z$337*$M$13,NA())</f>
        <v>#N/A</v>
      </c>
      <c r="AQ347" s="144" t="e">
        <f>IF(AND($I$339=1,$C$339=1,$S$339=0),$N$339+$H$339/$Z$337*$M$13,NA())</f>
        <v>#N/A</v>
      </c>
      <c r="AR347" s="144" t="e">
        <f>IF(AND($I$339=1,$C$339=0),$N$339+$H$339/$Z$337*$M$13,NA())</f>
        <v>#N/A</v>
      </c>
      <c r="AS347" s="144" t="e">
        <f>IF($I$340=1,$M$340+$H$340/$Z$337*$L$13,NA())</f>
        <v>#N/A</v>
      </c>
      <c r="AT347" s="144" t="e">
        <f>IF($S$340=1,$N$340+$H$340/$Z$337*$M$13,NA())</f>
        <v>#N/A</v>
      </c>
      <c r="AU347" s="144" t="e">
        <f>IF(AND($I$340=1,$C$340=1,$S$340=0),$N$340+$H$340/$Z$337*$M$13,NA())</f>
        <v>#N/A</v>
      </c>
      <c r="AV347" s="144" t="e">
        <f>IF(AND($I$340=1,$C$340=0),$N$340+$H$340/$Z$337*$M$13,NA())</f>
        <v>#N/A</v>
      </c>
      <c r="AW347" s="144">
        <f>IF($I$341=1,$M$341+$H$341/$Z$337*$L$13,NA())</f>
        <v>-0.435730146995403</v>
      </c>
      <c r="AX347" s="144">
        <f>IF($S$341=1,$N$341+$H$341/$Z$337*$M$13,NA())</f>
        <v>0.546391780879707</v>
      </c>
      <c r="AY347" s="144" t="e">
        <f>IF(AND($I$341=1,$C$341=1,$S$341=0),$N$341+$H$341/$Z$337*$M$13,NA())</f>
        <v>#N/A</v>
      </c>
      <c r="AZ347" s="144" t="e">
        <f>IF(AND($I$341=1,$C$341=0),$N$341+$H$341/$Z$337*$M$13,NA())</f>
        <v>#N/A</v>
      </c>
      <c r="BA347" s="144" t="e">
        <f>IF($I$342=1,$M$342+$H$342/$Z$337*$L$13,NA())</f>
        <v>#N/A</v>
      </c>
      <c r="BB347" s="144" t="e">
        <f>IF($S$342=1,$N$342+$H$342/$Z$337*$M$13,NA())</f>
        <v>#N/A</v>
      </c>
      <c r="BC347" s="144" t="e">
        <f>IF(AND($I$342=1,$C$342=1,$S$342=0),$N$342+$H$342/$Z$337*$M$13,NA())</f>
        <v>#N/A</v>
      </c>
      <c r="BD347" s="144" t="e">
        <f>IF(AND($I$342=1,$C$342=0),$N$342+$H$342/$Z$337*$M$13,NA())</f>
        <v>#N/A</v>
      </c>
      <c r="BE347" s="144" t="e">
        <f>IF($I$343=1,$M$343+$H$343/$Z$337*$L$13,NA())</f>
        <v>#N/A</v>
      </c>
      <c r="BF347" s="144" t="e">
        <f>IF($S$343=1,$N$343+$H$343/$Z$337*$M$13,NA())</f>
        <v>#N/A</v>
      </c>
      <c r="BG347" s="144" t="e">
        <f>IF(AND($I$343=1,$C$343=1,$S$343=0),$N$343+$H$343/$Z$337*$M$13,NA())</f>
        <v>#N/A</v>
      </c>
      <c r="BH347" s="144" t="e">
        <f>IF(AND($I$343=1,$C$343=0),$N$343+$H$343/$Z$337*$M$13,NA())</f>
        <v>#N/A</v>
      </c>
      <c r="BI347" s="144">
        <f>IF($I$344=1,$M$344+$H$344/$Z$337*$L$13,NA())</f>
        <v>0.211449593008249</v>
      </c>
      <c r="BJ347" s="144" t="e">
        <f>IF($S$344=1,$N$344+$H$344/$Z$337*$M$13,NA())</f>
        <v>#N/A</v>
      </c>
      <c r="BK347" s="144">
        <f>IF(AND($I$344=1,$C$344=1,$S$344=0),$N$344+$H$344/$Z$337*$M$13,NA())</f>
        <v>0.66039095762839</v>
      </c>
      <c r="BL347" s="144" t="e">
        <f>IF(AND($I$344=1,$C$344=0),$N$344+$H$344/$Z$337*$M$13,NA())</f>
        <v>#N/A</v>
      </c>
      <c r="BM347" s="144">
        <f>IF($I$345=1,$M$345+$H$345/$Z$337*$L$13,NA())</f>
        <v>-0.335362046020307</v>
      </c>
      <c r="BN347" s="144">
        <f>IF($S$345=1,$N$345+$H$345/$Z$337*$M$13,NA())</f>
        <v>0.702155662272541</v>
      </c>
      <c r="BO347" s="144" t="e">
        <f>IF(AND($I$345=1,$C$345=1,$S$345=0),$N$345+$H$345/$Z$337*$M$13,NA())</f>
        <v>#N/A</v>
      </c>
      <c r="BP347" s="144" t="e">
        <f>IF(AND($I$345=1,$C$345=0),$N$345+$H$345/$Z$337*$M$13,NA())</f>
        <v>#N/A</v>
      </c>
    </row>
    <row r="348">
      <c r="A348" s="63" t="inlineStr">
        <is>
          <t xml:space="preserve">slot 1 (t)</t>
        </is>
      </c>
      <c r="B348" s="146">
        <v>1</v>
      </c>
      <c r="C348" s="146">
        <f>IFERROR(MATCH(B348,$F$339:$F$345,0),NA())</f>
        <v>7</v>
      </c>
      <c r="D348" s="145" t="str">
        <f>IFERROR(INDEX($AJ$339:$AJ$345,C348),"")</f>
        <v>S₇  ·  g 2→1  → D</v>
      </c>
      <c r="E348" s="144">
        <f>IFERROR(INDEX($M$339:$M$345,C348),NA())</f>
        <v>-0.103926428737574</v>
      </c>
      <c r="F348" s="144">
        <f>IFERROR(INDEX($N$339:$N$345,C348),NA())</f>
        <v>0.301297414457782</v>
      </c>
      <c r="AN348" s="146">
        <v>9</v>
      </c>
      <c r="AO348" s="144" t="e">
        <f>IF($I$339=1,$M$339+$H$339/$Z$337*$L$14,NA())</f>
        <v>#N/A</v>
      </c>
      <c r="AP348" s="144" t="e">
        <f>IF($S$339=1,$N$339+$H$339/$Z$337*$M$14,NA())</f>
        <v>#N/A</v>
      </c>
      <c r="AQ348" s="144" t="e">
        <f>IF(AND($I$339=1,$C$339=1,$S$339=0),$N$339+$H$339/$Z$337*$M$14,NA())</f>
        <v>#N/A</v>
      </c>
      <c r="AR348" s="144" t="e">
        <f>IF(AND($I$339=1,$C$339=0),$N$339+$H$339/$Z$337*$M$14,NA())</f>
        <v>#N/A</v>
      </c>
      <c r="AS348" s="144" t="e">
        <f>IF($I$340=1,$M$340+$H$340/$Z$337*$L$14,NA())</f>
        <v>#N/A</v>
      </c>
      <c r="AT348" s="144" t="e">
        <f>IF($S$340=1,$N$340+$H$340/$Z$337*$M$14,NA())</f>
        <v>#N/A</v>
      </c>
      <c r="AU348" s="144" t="e">
        <f>IF(AND($I$340=1,$C$340=1,$S$340=0),$N$340+$H$340/$Z$337*$M$14,NA())</f>
        <v>#N/A</v>
      </c>
      <c r="AV348" s="144" t="e">
        <f>IF(AND($I$340=1,$C$340=0),$N$340+$H$340/$Z$337*$M$14,NA())</f>
        <v>#N/A</v>
      </c>
      <c r="AW348" s="144">
        <f>IF($I$341=1,$M$341+$H$341/$Z$337*$L$14,NA())</f>
        <v>-0.573167747143617</v>
      </c>
      <c r="AX348" s="144">
        <f>IF($S$341=1,$N$341+$H$341/$Z$337*$M$14,NA())</f>
        <v>0.440932201122921</v>
      </c>
      <c r="AY348" s="144" t="e">
        <f>IF(AND($I$341=1,$C$341=1,$S$341=0),$N$341+$H$341/$Z$337*$M$14,NA())</f>
        <v>#N/A</v>
      </c>
      <c r="AZ348" s="144" t="e">
        <f>IF(AND($I$341=1,$C$341=0),$N$341+$H$341/$Z$337*$M$14,NA())</f>
        <v>#N/A</v>
      </c>
      <c r="BA348" s="144" t="e">
        <f>IF($I$342=1,$M$342+$H$342/$Z$337*$L$14,NA())</f>
        <v>#N/A</v>
      </c>
      <c r="BB348" s="144" t="e">
        <f>IF($S$342=1,$N$342+$H$342/$Z$337*$M$14,NA())</f>
        <v>#N/A</v>
      </c>
      <c r="BC348" s="144" t="e">
        <f>IF(AND($I$342=1,$C$342=1,$S$342=0),$N$342+$H$342/$Z$337*$M$14,NA())</f>
        <v>#N/A</v>
      </c>
      <c r="BD348" s="144" t="e">
        <f>IF(AND($I$342=1,$C$342=0),$N$342+$H$342/$Z$337*$M$14,NA())</f>
        <v>#N/A</v>
      </c>
      <c r="BE348" s="144" t="e">
        <f>IF($I$343=1,$M$343+$H$343/$Z$337*$L$14,NA())</f>
        <v>#N/A</v>
      </c>
      <c r="BF348" s="144" t="e">
        <f>IF($S$343=1,$N$343+$H$343/$Z$337*$M$14,NA())</f>
        <v>#N/A</v>
      </c>
      <c r="BG348" s="144" t="e">
        <f>IF(AND($I$343=1,$C$343=1,$S$343=0),$N$343+$H$343/$Z$337*$M$14,NA())</f>
        <v>#N/A</v>
      </c>
      <c r="BH348" s="144" t="e">
        <f>IF(AND($I$343=1,$C$343=0),$N$343+$H$343/$Z$337*$M$14,NA())</f>
        <v>#N/A</v>
      </c>
      <c r="BI348" s="144">
        <f>IF($I$344=1,$M$344+$H$344/$Z$337*$L$14,NA())</f>
        <v>0.120582787265216</v>
      </c>
      <c r="BJ348" s="144" t="e">
        <f>IF($S$344=1,$N$344+$H$344/$Z$337*$M$14,NA())</f>
        <v>#N/A</v>
      </c>
      <c r="BK348" s="144">
        <f>IF(AND($I$344=1,$C$344=1,$S$344=0),$N$344+$H$344/$Z$337*$M$14,NA())</f>
        <v>0.59066640527032</v>
      </c>
      <c r="BL348" s="144" t="e">
        <f>IF(AND($I$344=1,$C$344=0),$N$344+$H$344/$Z$337*$M$14,NA())</f>
        <v>#N/A</v>
      </c>
      <c r="BM348" s="144">
        <f>IF($I$345=1,$M$345+$H$345/$Z$337*$L$14,NA())</f>
        <v>-0.431225817515004</v>
      </c>
      <c r="BN348" s="144">
        <f>IF($S$345=1,$N$345+$H$345/$Z$337*$M$14,NA())</f>
        <v>0.628596803235212</v>
      </c>
      <c r="BO348" s="144" t="e">
        <f>IF(AND($I$345=1,$C$345=1,$S$345=0),$N$345+$H$345/$Z$337*$M$14,NA())</f>
        <v>#N/A</v>
      </c>
      <c r="BP348" s="144" t="e">
        <f>IF(AND($I$345=1,$C$345=0),$N$345+$H$345/$Z$337*$M$14,NA())</f>
        <v>#N/A</v>
      </c>
    </row>
    <row r="349">
      <c r="A349" s="63" t="inlineStr">
        <is>
          <t xml:space="preserve">slot 2 (r)</t>
        </is>
      </c>
      <c r="B349" s="146">
        <v>2</v>
      </c>
      <c r="C349" s="146">
        <f>IFERROR(MATCH(B349,$F$339:$F$345,0),NA())</f>
        <v>6</v>
      </c>
      <c r="D349" s="145" t="str">
        <f>IFERROR(INDEX($AJ$339:$AJ$345,C349),"")</f>
        <v>S₆</v>
      </c>
      <c r="E349" s="144">
        <f>IFERROR(INDEX($M$339:$M$345,C349),NA())</f>
        <v>0.430821467802601</v>
      </c>
      <c r="F349" s="144">
        <f>IFERROR(INDEX($N$339:$N$345,C349),NA())</f>
        <v>0.280427724732935</v>
      </c>
      <c r="AN349" s="146">
        <v>10</v>
      </c>
      <c r="AO349" s="144" t="e">
        <f>IF($I$339=1,$M$339+$H$339/$Z$337*$L$15,NA())</f>
        <v>#N/A</v>
      </c>
      <c r="AP349" s="144" t="e">
        <f>IF($S$339=1,$N$339+$H$339/$Z$337*$M$15,NA())</f>
        <v>#N/A</v>
      </c>
      <c r="AQ349" s="144" t="e">
        <f>IF(AND($I$339=1,$C$339=1,$S$339=0),$N$339+$H$339/$Z$337*$M$15,NA())</f>
        <v>#N/A</v>
      </c>
      <c r="AR349" s="144" t="e">
        <f>IF(AND($I$339=1,$C$339=0),$N$339+$H$339/$Z$337*$M$15,NA())</f>
        <v>#N/A</v>
      </c>
      <c r="AS349" s="144" t="e">
        <f>IF($I$340=1,$M$340+$H$340/$Z$337*$L$15,NA())</f>
        <v>#N/A</v>
      </c>
      <c r="AT349" s="144" t="e">
        <f>IF($S$340=1,$N$340+$H$340/$Z$337*$M$15,NA())</f>
        <v>#N/A</v>
      </c>
      <c r="AU349" s="144" t="e">
        <f>IF(AND($I$340=1,$C$340=1,$S$340=0),$N$340+$H$340/$Z$337*$M$15,NA())</f>
        <v>#N/A</v>
      </c>
      <c r="AV349" s="144" t="e">
        <f>IF(AND($I$340=1,$C$340=0),$N$340+$H$340/$Z$337*$M$15,NA())</f>
        <v>#N/A</v>
      </c>
      <c r="AW349" s="144">
        <f>IF($I$341=1,$M$341+$H$341/$Z$337*$L$15,NA())</f>
        <v>-0.678627326900403</v>
      </c>
      <c r="AX349" s="144">
        <f>IF($S$341=1,$N$341+$H$341/$Z$337*$M$15,NA())</f>
        <v>0.303494600974707</v>
      </c>
      <c r="AY349" s="144" t="e">
        <f>IF(AND($I$341=1,$C$341=1,$S$341=0),$N$341+$H$341/$Z$337*$M$15,NA())</f>
        <v>#N/A</v>
      </c>
      <c r="AZ349" s="144" t="e">
        <f>IF(AND($I$341=1,$C$341=0),$N$341+$H$341/$Z$337*$M$15,NA())</f>
        <v>#N/A</v>
      </c>
      <c r="BA349" s="144" t="e">
        <f>IF($I$342=1,$M$342+$H$342/$Z$337*$L$15,NA())</f>
        <v>#N/A</v>
      </c>
      <c r="BB349" s="144" t="e">
        <f>IF($S$342=1,$N$342+$H$342/$Z$337*$M$15,NA())</f>
        <v>#N/A</v>
      </c>
      <c r="BC349" s="144" t="e">
        <f>IF(AND($I$342=1,$C$342=1,$S$342=0),$N$342+$H$342/$Z$337*$M$15,NA())</f>
        <v>#N/A</v>
      </c>
      <c r="BD349" s="144" t="e">
        <f>IF(AND($I$342=1,$C$342=0),$N$342+$H$342/$Z$337*$M$15,NA())</f>
        <v>#N/A</v>
      </c>
      <c r="BE349" s="144" t="e">
        <f>IF($I$343=1,$M$343+$H$343/$Z$337*$L$15,NA())</f>
        <v>#N/A</v>
      </c>
      <c r="BF349" s="144" t="e">
        <f>IF($S$343=1,$N$343+$H$343/$Z$337*$M$15,NA())</f>
        <v>#N/A</v>
      </c>
      <c r="BG349" s="144" t="e">
        <f>IF(AND($I$343=1,$C$343=1,$S$343=0),$N$343+$H$343/$Z$337*$M$15,NA())</f>
        <v>#N/A</v>
      </c>
      <c r="BH349" s="144" t="e">
        <f>IF(AND($I$343=1,$C$343=0),$N$343+$H$343/$Z$337*$M$15,NA())</f>
        <v>#N/A</v>
      </c>
      <c r="BI349" s="144">
        <f>IF($I$344=1,$M$344+$H$344/$Z$337*$L$15,NA())</f>
        <v>0.0508582349071455</v>
      </c>
      <c r="BJ349" s="144" t="e">
        <f>IF($S$344=1,$N$344+$H$344/$Z$337*$M$15,NA())</f>
        <v>#N/A</v>
      </c>
      <c r="BK349" s="144">
        <f>IF(AND($I$344=1,$C$344=1,$S$344=0),$N$344+$H$344/$Z$337*$M$15,NA())</f>
        <v>0.499799599527287</v>
      </c>
      <c r="BL349" s="144" t="e">
        <f>IF(AND($I$344=1,$C$344=0),$N$344+$H$344/$Z$337*$M$15,NA())</f>
        <v>#N/A</v>
      </c>
      <c r="BM349" s="144">
        <f>IF($I$345=1,$M$345+$H$345/$Z$337*$L$15,NA())</f>
        <v>-0.504784676552334</v>
      </c>
      <c r="BN349" s="144">
        <f>IF($S$345=1,$N$345+$H$345/$Z$337*$M$15,NA())</f>
        <v>0.532733031740515</v>
      </c>
      <c r="BO349" s="144" t="e">
        <f>IF(AND($I$345=1,$C$345=1,$S$345=0),$N$345+$H$345/$Z$337*$M$15,NA())</f>
        <v>#N/A</v>
      </c>
      <c r="BP349" s="144" t="e">
        <f>IF(AND($I$345=1,$C$345=0),$N$345+$H$345/$Z$337*$M$15,NA())</f>
        <v>#N/A</v>
      </c>
    </row>
    <row r="350">
      <c r="A350" s="63" t="inlineStr">
        <is>
          <t xml:space="preserve">slot 3 (r)</t>
        </is>
      </c>
      <c r="B350" s="146">
        <v>3</v>
      </c>
      <c r="C350" s="146">
        <f>IFERROR(MATCH(B350,$F$339:$F$345,0),NA())</f>
        <v>1</v>
      </c>
      <c r="D350" s="145" t="str">
        <f>IFERROR(INDEX($AJ$339:$AJ$345,C350),"")</f>
        <v>S₁</v>
      </c>
      <c r="E350" s="144">
        <f>IFERROR(INDEX($M$339:$M$345,C350),NA())</f>
        <v>0.470774469425254</v>
      </c>
      <c r="F350" s="144">
        <f>IFERROR(INDEX($N$339:$N$345,C350),NA())</f>
        <v>-0.36011283554095</v>
      </c>
      <c r="AN350" s="146">
        <v>11</v>
      </c>
      <c r="AO350" s="144" t="e">
        <f>IF($I$339=1,$M$339+$H$339/$Z$337*$L$16,NA())</f>
        <v>#N/A</v>
      </c>
      <c r="AP350" s="144" t="e">
        <f>IF($S$339=1,$N$339+$H$339/$Z$337*$M$16,NA())</f>
        <v>#N/A</v>
      </c>
      <c r="AQ350" s="144" t="e">
        <f>IF(AND($I$339=1,$C$339=1,$S$339=0),$N$339+$H$339/$Z$337*$M$16,NA())</f>
        <v>#N/A</v>
      </c>
      <c r="AR350" s="144" t="e">
        <f>IF(AND($I$339=1,$C$339=0),$N$339+$H$339/$Z$337*$M$16,NA())</f>
        <v>#N/A</v>
      </c>
      <c r="AS350" s="144" t="e">
        <f>IF($I$340=1,$M$340+$H$340/$Z$337*$L$16,NA())</f>
        <v>#N/A</v>
      </c>
      <c r="AT350" s="144" t="e">
        <f>IF($S$340=1,$N$340+$H$340/$Z$337*$M$16,NA())</f>
        <v>#N/A</v>
      </c>
      <c r="AU350" s="144" t="e">
        <f>IF(AND($I$340=1,$C$340=1,$S$340=0),$N$340+$H$340/$Z$337*$M$16,NA())</f>
        <v>#N/A</v>
      </c>
      <c r="AV350" s="144" t="e">
        <f>IF(AND($I$340=1,$C$340=0),$N$340+$H$340/$Z$337*$M$16,NA())</f>
        <v>#N/A</v>
      </c>
      <c r="AW350" s="144">
        <f>IF($I$341=1,$M$341+$H$341/$Z$337*$L$16,NA())</f>
        <v>-0.744921990185531</v>
      </c>
      <c r="AX350" s="144">
        <f>IF($S$341=1,$N$341+$H$341/$Z$337*$M$16,NA())</f>
        <v>0.143445125758793</v>
      </c>
      <c r="AY350" s="144" t="e">
        <f>IF(AND($I$341=1,$C$341=1,$S$341=0),$N$341+$H$341/$Z$337*$M$16,NA())</f>
        <v>#N/A</v>
      </c>
      <c r="AZ350" s="144" t="e">
        <f>IF(AND($I$341=1,$C$341=0),$N$341+$H$341/$Z$337*$M$16,NA())</f>
        <v>#N/A</v>
      </c>
      <c r="BA350" s="144" t="e">
        <f>IF($I$342=1,$M$342+$H$342/$Z$337*$L$16,NA())</f>
        <v>#N/A</v>
      </c>
      <c r="BB350" s="144" t="e">
        <f>IF($S$342=1,$N$342+$H$342/$Z$337*$M$16,NA())</f>
        <v>#N/A</v>
      </c>
      <c r="BC350" s="144" t="e">
        <f>IF(AND($I$342=1,$C$342=1,$S$342=0),$N$342+$H$342/$Z$337*$M$16,NA())</f>
        <v>#N/A</v>
      </c>
      <c r="BD350" s="144" t="e">
        <f>IF(AND($I$342=1,$C$342=0),$N$342+$H$342/$Z$337*$M$16,NA())</f>
        <v>#N/A</v>
      </c>
      <c r="BE350" s="144" t="e">
        <f>IF($I$343=1,$M$343+$H$343/$Z$337*$L$16,NA())</f>
        <v>#N/A</v>
      </c>
      <c r="BF350" s="144" t="e">
        <f>IF($S$343=1,$N$343+$H$343/$Z$337*$M$16,NA())</f>
        <v>#N/A</v>
      </c>
      <c r="BG350" s="144" t="e">
        <f>IF(AND($I$343=1,$C$343=1,$S$343=0),$N$343+$H$343/$Z$337*$M$16,NA())</f>
        <v>#N/A</v>
      </c>
      <c r="BH350" s="144" t="e">
        <f>IF(AND($I$343=1,$C$343=0),$N$343+$H$343/$Z$337*$M$16,NA())</f>
        <v>#N/A</v>
      </c>
      <c r="BI350" s="144">
        <f>IF($I$344=1,$M$344+$H$344/$Z$337*$L$16,NA())</f>
        <v>0.00702754895196867</v>
      </c>
      <c r="BJ350" s="144" t="e">
        <f>IF($S$344=1,$N$344+$H$344/$Z$337*$M$16,NA())</f>
        <v>#N/A</v>
      </c>
      <c r="BK350" s="144">
        <f>IF(AND($I$344=1,$C$344=1,$S$344=0),$N$344+$H$344/$Z$337*$M$16,NA())</f>
        <v>0.393982963046183</v>
      </c>
      <c r="BL350" s="144" t="e">
        <f>IF(AND($I$344=1,$C$344=0),$N$344+$H$344/$Z$337*$M$16,NA())</f>
        <v>#N/A</v>
      </c>
      <c r="BM350" s="144">
        <f>IF($I$345=1,$M$345+$H$345/$Z$337*$L$16,NA())</f>
        <v>-0.551025708450663</v>
      </c>
      <c r="BN350" s="144">
        <f>IF($S$345=1,$N$345+$H$345/$Z$337*$M$16,NA())</f>
        <v>0.421097305393441</v>
      </c>
      <c r="BO350" s="144" t="e">
        <f>IF(AND($I$345=1,$C$345=1,$S$345=0),$N$345+$H$345/$Z$337*$M$16,NA())</f>
        <v>#N/A</v>
      </c>
      <c r="BP350" s="144" t="e">
        <f>IF(AND($I$345=1,$C$345=0),$N$345+$H$345/$Z$337*$M$16,NA())</f>
        <v>#N/A</v>
      </c>
    </row>
    <row r="351">
      <c r="A351" s="63" t="inlineStr">
        <is>
          <t xml:space="preserve">slot 4 (b)</t>
        </is>
      </c>
      <c r="B351" s="146">
        <v>4</v>
      </c>
      <c r="C351" s="146">
        <f>IFERROR(MATCH(B351,$F$339:$F$345,0),NA())</f>
        <v>4</v>
      </c>
      <c r="D351" s="145" t="str">
        <f>IFERROR(INDEX($AJ$339:$AJ$345,C351),"")</f>
        <v>S₄</v>
      </c>
      <c r="E351" s="144">
        <f>IFERROR(INDEX($M$339:$M$345,C351),NA())</f>
        <v>-0.103926428737574</v>
      </c>
      <c r="F351" s="144">
        <f>IFERROR(INDEX($N$339:$N$345,C351),NA())</f>
        <v>-0.764168649023248</v>
      </c>
      <c r="AN351" s="146">
        <v>12</v>
      </c>
      <c r="AO351" s="144" t="e">
        <f>IF($I$339=1,$M$339+$H$339/$Z$337*$L$17,NA())</f>
        <v>#N/A</v>
      </c>
      <c r="AP351" s="144" t="e">
        <f>IF($S$339=1,$N$339+$H$339/$Z$337*$M$17,NA())</f>
        <v>#N/A</v>
      </c>
      <c r="AQ351" s="144" t="e">
        <f>IF(AND($I$339=1,$C$339=1,$S$339=0),$N$339+$H$339/$Z$337*$M$17,NA())</f>
        <v>#N/A</v>
      </c>
      <c r="AR351" s="144" t="e">
        <f>IF(AND($I$339=1,$C$339=0),$N$339+$H$339/$Z$337*$M$17,NA())</f>
        <v>#N/A</v>
      </c>
      <c r="AS351" s="144" t="e">
        <f>IF($I$340=1,$M$340+$H$340/$Z$337*$L$17,NA())</f>
        <v>#N/A</v>
      </c>
      <c r="AT351" s="144" t="e">
        <f>IF($S$340=1,$N$340+$H$340/$Z$337*$M$17,NA())</f>
        <v>#N/A</v>
      </c>
      <c r="AU351" s="144" t="e">
        <f>IF(AND($I$340=1,$C$340=1,$S$340=0),$N$340+$H$340/$Z$337*$M$17,NA())</f>
        <v>#N/A</v>
      </c>
      <c r="AV351" s="144" t="e">
        <f>IF(AND($I$340=1,$C$340=0),$N$340+$H$340/$Z$337*$M$17,NA())</f>
        <v>#N/A</v>
      </c>
      <c r="AW351" s="144">
        <f>IF($I$341=1,$M$341+$H$341/$Z$337*$L$17,NA())</f>
        <v>-0.767533865253232</v>
      </c>
      <c r="AX351" s="144">
        <f>IF($S$341=1,$N$341+$H$341/$Z$337*$M$17,NA())</f>
        <v>-0.0283091172831215</v>
      </c>
      <c r="AY351" s="144" t="e">
        <f>IF(AND($I$341=1,$C$341=1,$S$341=0),$N$341+$H$341/$Z$337*$M$17,NA())</f>
        <v>#N/A</v>
      </c>
      <c r="AZ351" s="144" t="e">
        <f>IF(AND($I$341=1,$C$341=0),$N$341+$H$341/$Z$337*$M$17,NA())</f>
        <v>#N/A</v>
      </c>
      <c r="BA351" s="144" t="e">
        <f>IF($I$342=1,$M$342+$H$342/$Z$337*$L$17,NA())</f>
        <v>#N/A</v>
      </c>
      <c r="BB351" s="144" t="e">
        <f>IF($S$342=1,$N$342+$H$342/$Z$337*$M$17,NA())</f>
        <v>#N/A</v>
      </c>
      <c r="BC351" s="144" t="e">
        <f>IF(AND($I$342=1,$C$342=1,$S$342=0),$N$342+$H$342/$Z$337*$M$17,NA())</f>
        <v>#N/A</v>
      </c>
      <c r="BD351" s="144" t="e">
        <f>IF(AND($I$342=1,$C$342=0),$N$342+$H$342/$Z$337*$M$17,NA())</f>
        <v>#N/A</v>
      </c>
      <c r="BE351" s="144" t="e">
        <f>IF($I$343=1,$M$343+$H$343/$Z$337*$L$17,NA())</f>
        <v>#N/A</v>
      </c>
      <c r="BF351" s="144" t="e">
        <f>IF($S$343=1,$N$343+$H$343/$Z$337*$M$17,NA())</f>
        <v>#N/A</v>
      </c>
      <c r="BG351" s="144" t="e">
        <f>IF(AND($I$343=1,$C$343=1,$S$343=0),$N$343+$H$343/$Z$337*$M$17,NA())</f>
        <v>#N/A</v>
      </c>
      <c r="BH351" s="144" t="e">
        <f>IF(AND($I$343=1,$C$343=0),$N$343+$H$343/$Z$337*$M$17,NA())</f>
        <v>#N/A</v>
      </c>
      <c r="BI351" s="144">
        <f>IF($I$344=1,$M$344+$H$344/$Z$337*$L$17,NA())</f>
        <v>-0.00792228178610238</v>
      </c>
      <c r="BJ351" s="144" t="e">
        <f>IF($S$344=1,$N$344+$H$344/$Z$337*$M$17,NA())</f>
        <v>#N/A</v>
      </c>
      <c r="BK351" s="144">
        <f>IF(AND($I$344=1,$C$344=1,$S$344=0),$N$344+$H$344/$Z$337*$M$17,NA())</f>
        <v>0.280427724732935</v>
      </c>
      <c r="BL351" s="144" t="e">
        <f>IF(AND($I$344=1,$C$344=0),$N$344+$H$344/$Z$337*$M$17,NA())</f>
        <v>#N/A</v>
      </c>
      <c r="BM351" s="144">
        <f>IF($I$345=1,$M$345+$H$345/$Z$337*$L$17,NA())</f>
        <v>-0.566797663303041</v>
      </c>
      <c r="BN351" s="144">
        <f>IF($S$345=1,$N$345+$H$345/$Z$337*$M$17,NA())</f>
        <v>0.301297414457782</v>
      </c>
      <c r="BO351" s="144" t="e">
        <f>IF(AND($I$345=1,$C$345=1,$S$345=0),$N$345+$H$345/$Z$337*$M$17,NA())</f>
        <v>#N/A</v>
      </c>
      <c r="BP351" s="144" t="e">
        <f>IF(AND($I$345=1,$C$345=0),$N$345+$H$345/$Z$337*$M$17,NA())</f>
        <v>#N/A</v>
      </c>
    </row>
    <row r="352">
      <c r="A352" s="63" t="inlineStr">
        <is>
          <t xml:space="preserve">slot 5 (l)</t>
        </is>
      </c>
      <c r="B352" s="146">
        <v>5</v>
      </c>
      <c r="C352" s="146">
        <f>IFERROR(MATCH(B352,$F$339:$F$345,0),NA())</f>
        <v>5</v>
      </c>
      <c r="D352" s="145" t="str">
        <f>IFERROR(INDEX($AJ$339:$AJ$345,C352),"")</f>
        <v>S₅</v>
      </c>
      <c r="E352" s="144">
        <f>IFERROR(INDEX($M$339:$M$345,C352),NA())</f>
        <v>-0.853348347364149</v>
      </c>
      <c r="F352" s="144">
        <f>IFERROR(INDEX($N$339:$N$345,C352),NA())</f>
        <v>-0.460988063738781</v>
      </c>
      <c r="AN352" s="146">
        <v>13</v>
      </c>
      <c r="AO352" s="144" t="e">
        <f>IF($I$339=1,$M$339+$H$339/$Z$337*$L$18,NA())</f>
        <v>#N/A</v>
      </c>
      <c r="AP352" s="144" t="e">
        <f>IF($S$339=1,$N$339+$H$339/$Z$337*$M$18,NA())</f>
        <v>#N/A</v>
      </c>
      <c r="AQ352" s="144" t="e">
        <f>IF(AND($I$339=1,$C$339=1,$S$339=0),$N$339+$H$339/$Z$337*$M$18,NA())</f>
        <v>#N/A</v>
      </c>
      <c r="AR352" s="144" t="e">
        <f>IF(AND($I$339=1,$C$339=0),$N$339+$H$339/$Z$337*$M$18,NA())</f>
        <v>#N/A</v>
      </c>
      <c r="AS352" s="144" t="e">
        <f>IF($I$340=1,$M$340+$H$340/$Z$337*$L$18,NA())</f>
        <v>#N/A</v>
      </c>
      <c r="AT352" s="144" t="e">
        <f>IF($S$340=1,$N$340+$H$340/$Z$337*$M$18,NA())</f>
        <v>#N/A</v>
      </c>
      <c r="AU352" s="144" t="e">
        <f>IF(AND($I$340=1,$C$340=1,$S$340=0),$N$340+$H$340/$Z$337*$M$18,NA())</f>
        <v>#N/A</v>
      </c>
      <c r="AV352" s="144" t="e">
        <f>IF(AND($I$340=1,$C$340=0),$N$340+$H$340/$Z$337*$M$18,NA())</f>
        <v>#N/A</v>
      </c>
      <c r="AW352" s="144">
        <f>IF($I$341=1,$M$341+$H$341/$Z$337*$L$18,NA())</f>
        <v>-0.744921990185531</v>
      </c>
      <c r="AX352" s="144">
        <f>IF($S$341=1,$N$341+$H$341/$Z$337*$M$18,NA())</f>
        <v>-0.200063360325036</v>
      </c>
      <c r="AY352" s="144" t="e">
        <f>IF(AND($I$341=1,$C$341=1,$S$341=0),$N$341+$H$341/$Z$337*$M$18,NA())</f>
        <v>#N/A</v>
      </c>
      <c r="AZ352" s="144" t="e">
        <f>IF(AND($I$341=1,$C$341=0),$N$341+$H$341/$Z$337*$M$18,NA())</f>
        <v>#N/A</v>
      </c>
      <c r="BA352" s="144" t="e">
        <f>IF($I$342=1,$M$342+$H$342/$Z$337*$L$18,NA())</f>
        <v>#N/A</v>
      </c>
      <c r="BB352" s="144" t="e">
        <f>IF($S$342=1,$N$342+$H$342/$Z$337*$M$18,NA())</f>
        <v>#N/A</v>
      </c>
      <c r="BC352" s="144" t="e">
        <f>IF(AND($I$342=1,$C$342=1,$S$342=0),$N$342+$H$342/$Z$337*$M$18,NA())</f>
        <v>#N/A</v>
      </c>
      <c r="BD352" s="144" t="e">
        <f>IF(AND($I$342=1,$C$342=0),$N$342+$H$342/$Z$337*$M$18,NA())</f>
        <v>#N/A</v>
      </c>
      <c r="BE352" s="144" t="e">
        <f>IF($I$343=1,$M$343+$H$343/$Z$337*$L$18,NA())</f>
        <v>#N/A</v>
      </c>
      <c r="BF352" s="144" t="e">
        <f>IF($S$343=1,$N$343+$H$343/$Z$337*$M$18,NA())</f>
        <v>#N/A</v>
      </c>
      <c r="BG352" s="144" t="e">
        <f>IF(AND($I$343=1,$C$343=1,$S$343=0),$N$343+$H$343/$Z$337*$M$18,NA())</f>
        <v>#N/A</v>
      </c>
      <c r="BH352" s="144" t="e">
        <f>IF(AND($I$343=1,$C$343=0),$N$343+$H$343/$Z$337*$M$18,NA())</f>
        <v>#N/A</v>
      </c>
      <c r="BI352" s="144">
        <f>IF($I$344=1,$M$344+$H$344/$Z$337*$L$18,NA())</f>
        <v>0.00702754895196861</v>
      </c>
      <c r="BJ352" s="144" t="e">
        <f>IF($S$344=1,$N$344+$H$344/$Z$337*$M$18,NA())</f>
        <v>#N/A</v>
      </c>
      <c r="BK352" s="144">
        <f>IF(AND($I$344=1,$C$344=1,$S$344=0),$N$344+$H$344/$Z$337*$M$18,NA())</f>
        <v>0.166872486419687</v>
      </c>
      <c r="BL352" s="144" t="e">
        <f>IF(AND($I$344=1,$C$344=0),$N$344+$H$344/$Z$337*$M$18,NA())</f>
        <v>#N/A</v>
      </c>
      <c r="BM352" s="144">
        <f>IF($I$345=1,$M$345+$H$345/$Z$337*$L$18,NA())</f>
        <v>-0.551025708450664</v>
      </c>
      <c r="BN352" s="144">
        <f>IF($S$345=1,$N$345+$H$345/$Z$337*$M$18,NA())</f>
        <v>0.181497523522123</v>
      </c>
      <c r="BO352" s="144" t="e">
        <f>IF(AND($I$345=1,$C$345=1,$S$345=0),$N$345+$H$345/$Z$337*$M$18,NA())</f>
        <v>#N/A</v>
      </c>
      <c r="BP352" s="144" t="e">
        <f>IF(AND($I$345=1,$C$345=0),$N$345+$H$345/$Z$337*$M$18,NA())</f>
        <v>#N/A</v>
      </c>
    </row>
    <row r="353">
      <c r="A353" s="63" t="inlineStr">
        <is>
          <t xml:space="preserve">slot 6 (l)</t>
        </is>
      </c>
      <c r="B353" s="146">
        <v>6</v>
      </c>
      <c r="C353" s="146">
        <f>IFERROR(MATCH(B353,$F$339:$F$345,0),NA())</f>
        <v>2</v>
      </c>
      <c r="D353" s="145" t="str">
        <f>IFERROR(INDEX($AJ$339:$AJ$345,C353),"")</f>
        <v>S₂</v>
      </c>
      <c r="E353" s="144">
        <f>IFERROR(INDEX($M$339:$M$345,C353),NA())</f>
        <v>-0.869565217391304</v>
      </c>
      <c r="F353" s="144">
        <f>IFERROR(INDEX($N$339:$N$345,C353),NA())</f>
        <v>0.413732643448128</v>
      </c>
      <c r="AN353" s="146">
        <v>14</v>
      </c>
      <c r="AO353" s="144" t="e">
        <f>IF($I$339=1,$M$339+$H$339/$Z$337*$L$19,NA())</f>
        <v>#N/A</v>
      </c>
      <c r="AP353" s="144" t="e">
        <f>IF($S$339=1,$N$339+$H$339/$Z$337*$M$19,NA())</f>
        <v>#N/A</v>
      </c>
      <c r="AQ353" s="144" t="e">
        <f>IF(AND($I$339=1,$C$339=1,$S$339=0),$N$339+$H$339/$Z$337*$M$19,NA())</f>
        <v>#N/A</v>
      </c>
      <c r="AR353" s="144" t="e">
        <f>IF(AND($I$339=1,$C$339=0),$N$339+$H$339/$Z$337*$M$19,NA())</f>
        <v>#N/A</v>
      </c>
      <c r="AS353" s="144" t="e">
        <f>IF($I$340=1,$M$340+$H$340/$Z$337*$L$19,NA())</f>
        <v>#N/A</v>
      </c>
      <c r="AT353" s="144" t="e">
        <f>IF($S$340=1,$N$340+$H$340/$Z$337*$M$19,NA())</f>
        <v>#N/A</v>
      </c>
      <c r="AU353" s="144" t="e">
        <f>IF(AND($I$340=1,$C$340=1,$S$340=0),$N$340+$H$340/$Z$337*$M$19,NA())</f>
        <v>#N/A</v>
      </c>
      <c r="AV353" s="144" t="e">
        <f>IF(AND($I$340=1,$C$340=0),$N$340+$H$340/$Z$337*$M$19,NA())</f>
        <v>#N/A</v>
      </c>
      <c r="AW353" s="144">
        <f>IF($I$341=1,$M$341+$H$341/$Z$337*$L$19,NA())</f>
        <v>-0.678627326900403</v>
      </c>
      <c r="AX353" s="144">
        <f>IF($S$341=1,$N$341+$H$341/$Z$337*$M$19,NA())</f>
        <v>-0.36011283554095</v>
      </c>
      <c r="AY353" s="144" t="e">
        <f>IF(AND($I$341=1,$C$341=1,$S$341=0),$N$341+$H$341/$Z$337*$M$19,NA())</f>
        <v>#N/A</v>
      </c>
      <c r="AZ353" s="144" t="e">
        <f>IF(AND($I$341=1,$C$341=0),$N$341+$H$341/$Z$337*$M$19,NA())</f>
        <v>#N/A</v>
      </c>
      <c r="BA353" s="144" t="e">
        <f>IF($I$342=1,$M$342+$H$342/$Z$337*$L$19,NA())</f>
        <v>#N/A</v>
      </c>
      <c r="BB353" s="144" t="e">
        <f>IF($S$342=1,$N$342+$H$342/$Z$337*$M$19,NA())</f>
        <v>#N/A</v>
      </c>
      <c r="BC353" s="144" t="e">
        <f>IF(AND($I$342=1,$C$342=1,$S$342=0),$N$342+$H$342/$Z$337*$M$19,NA())</f>
        <v>#N/A</v>
      </c>
      <c r="BD353" s="144" t="e">
        <f>IF(AND($I$342=1,$C$342=0),$N$342+$H$342/$Z$337*$M$19,NA())</f>
        <v>#N/A</v>
      </c>
      <c r="BE353" s="144" t="e">
        <f>IF($I$343=1,$M$343+$H$343/$Z$337*$L$19,NA())</f>
        <v>#N/A</v>
      </c>
      <c r="BF353" s="144" t="e">
        <f>IF($S$343=1,$N$343+$H$343/$Z$337*$M$19,NA())</f>
        <v>#N/A</v>
      </c>
      <c r="BG353" s="144" t="e">
        <f>IF(AND($I$343=1,$C$343=1,$S$343=0),$N$343+$H$343/$Z$337*$M$19,NA())</f>
        <v>#N/A</v>
      </c>
      <c r="BH353" s="144" t="e">
        <f>IF(AND($I$343=1,$C$343=0),$N$343+$H$343/$Z$337*$M$19,NA())</f>
        <v>#N/A</v>
      </c>
      <c r="BI353" s="144">
        <f>IF($I$344=1,$M$344+$H$344/$Z$337*$L$19,NA())</f>
        <v>0.0508582349071455</v>
      </c>
      <c r="BJ353" s="144" t="e">
        <f>IF($S$344=1,$N$344+$H$344/$Z$337*$M$19,NA())</f>
        <v>#N/A</v>
      </c>
      <c r="BK353" s="144">
        <f>IF(AND($I$344=1,$C$344=1,$S$344=0),$N$344+$H$344/$Z$337*$M$19,NA())</f>
        <v>0.0610558499385832</v>
      </c>
      <c r="BL353" s="144" t="e">
        <f>IF(AND($I$344=1,$C$344=0),$N$344+$H$344/$Z$337*$M$19,NA())</f>
        <v>#N/A</v>
      </c>
      <c r="BM353" s="144">
        <f>IF($I$345=1,$M$345+$H$345/$Z$337*$L$19,NA())</f>
        <v>-0.504784676552334</v>
      </c>
      <c r="BN353" s="144">
        <f>IF($S$345=1,$N$345+$H$345/$Z$337*$M$19,NA())</f>
        <v>0.0698617971750485</v>
      </c>
      <c r="BO353" s="144" t="e">
        <f>IF(AND($I$345=1,$C$345=1,$S$345=0),$N$345+$H$345/$Z$337*$M$19,NA())</f>
        <v>#N/A</v>
      </c>
      <c r="BP353" s="144" t="e">
        <f>IF(AND($I$345=1,$C$345=0),$N$345+$H$345/$Z$337*$M$19,NA())</f>
        <v>#N/A</v>
      </c>
    </row>
    <row r="354">
      <c r="A354" s="63" t="inlineStr">
        <is>
          <t xml:space="preserve">centre (b)</t>
        </is>
      </c>
      <c r="C354" s="146">
        <f>IF($Q$337=0,NA(),$Q$337)</f>
        <v>3</v>
      </c>
      <c r="D354" s="145" t="str">
        <f>IF($Q$337=0,"",INDEX($AJ$339:$AJ$345,$Q$337))</f>
        <v>S₃ = Sᵢ  ·  g 3→2</v>
      </c>
      <c r="E354" s="144">
        <f>IF($Q$337=0,NA(),INDEX($M$339:$M$345,$Q$337))</f>
        <v>-0.103926428737574</v>
      </c>
      <c r="F354" s="144">
        <f>IF($Q$337=0,NA(),INDEX($N$339:$N$345,$Q$337))</f>
        <v>-0.0283091172831216</v>
      </c>
      <c r="AN354" s="146">
        <v>15</v>
      </c>
      <c r="AO354" s="144" t="e">
        <f>IF($I$339=1,$M$339+$H$339/$Z$337*$L$20,NA())</f>
        <v>#N/A</v>
      </c>
      <c r="AP354" s="144" t="e">
        <f>IF($S$339=1,$N$339+$H$339/$Z$337*$M$20,NA())</f>
        <v>#N/A</v>
      </c>
      <c r="AQ354" s="144" t="e">
        <f>IF(AND($I$339=1,$C$339=1,$S$339=0),$N$339+$H$339/$Z$337*$M$20,NA())</f>
        <v>#N/A</v>
      </c>
      <c r="AR354" s="144" t="e">
        <f>IF(AND($I$339=1,$C$339=0),$N$339+$H$339/$Z$337*$M$20,NA())</f>
        <v>#N/A</v>
      </c>
      <c r="AS354" s="144" t="e">
        <f>IF($I$340=1,$M$340+$H$340/$Z$337*$L$20,NA())</f>
        <v>#N/A</v>
      </c>
      <c r="AT354" s="144" t="e">
        <f>IF($S$340=1,$N$340+$H$340/$Z$337*$M$20,NA())</f>
        <v>#N/A</v>
      </c>
      <c r="AU354" s="144" t="e">
        <f>IF(AND($I$340=1,$C$340=1,$S$340=0),$N$340+$H$340/$Z$337*$M$20,NA())</f>
        <v>#N/A</v>
      </c>
      <c r="AV354" s="144" t="e">
        <f>IF(AND($I$340=1,$C$340=0),$N$340+$H$340/$Z$337*$M$20,NA())</f>
        <v>#N/A</v>
      </c>
      <c r="AW354" s="144">
        <f>IF($I$341=1,$M$341+$H$341/$Z$337*$L$20,NA())</f>
        <v>-0.573167747143617</v>
      </c>
      <c r="AX354" s="144">
        <f>IF($S$341=1,$N$341+$H$341/$Z$337*$M$20,NA())</f>
        <v>-0.497550435689164</v>
      </c>
      <c r="AY354" s="144" t="e">
        <f>IF(AND($I$341=1,$C$341=1,$S$341=0),$N$341+$H$341/$Z$337*$M$20,NA())</f>
        <v>#N/A</v>
      </c>
      <c r="AZ354" s="144" t="e">
        <f>IF(AND($I$341=1,$C$341=0),$N$341+$H$341/$Z$337*$M$20,NA())</f>
        <v>#N/A</v>
      </c>
      <c r="BA354" s="144" t="e">
        <f>IF($I$342=1,$M$342+$H$342/$Z$337*$L$20,NA())</f>
        <v>#N/A</v>
      </c>
      <c r="BB354" s="144" t="e">
        <f>IF($S$342=1,$N$342+$H$342/$Z$337*$M$20,NA())</f>
        <v>#N/A</v>
      </c>
      <c r="BC354" s="144" t="e">
        <f>IF(AND($I$342=1,$C$342=1,$S$342=0),$N$342+$H$342/$Z$337*$M$20,NA())</f>
        <v>#N/A</v>
      </c>
      <c r="BD354" s="144" t="e">
        <f>IF(AND($I$342=1,$C$342=0),$N$342+$H$342/$Z$337*$M$20,NA())</f>
        <v>#N/A</v>
      </c>
      <c r="BE354" s="144" t="e">
        <f>IF($I$343=1,$M$343+$H$343/$Z$337*$L$20,NA())</f>
        <v>#N/A</v>
      </c>
      <c r="BF354" s="144" t="e">
        <f>IF($S$343=1,$N$343+$H$343/$Z$337*$M$20,NA())</f>
        <v>#N/A</v>
      </c>
      <c r="BG354" s="144" t="e">
        <f>IF(AND($I$343=1,$C$343=1,$S$343=0),$N$343+$H$343/$Z$337*$M$20,NA())</f>
        <v>#N/A</v>
      </c>
      <c r="BH354" s="144" t="e">
        <f>IF(AND($I$343=1,$C$343=0),$N$343+$H$343/$Z$337*$M$20,NA())</f>
        <v>#N/A</v>
      </c>
      <c r="BI354" s="144">
        <f>IF($I$344=1,$M$344+$H$344/$Z$337*$L$20,NA())</f>
        <v>0.120582787265216</v>
      </c>
      <c r="BJ354" s="144" t="e">
        <f>IF($S$344=1,$N$344+$H$344/$Z$337*$M$20,NA())</f>
        <v>#N/A</v>
      </c>
      <c r="BK354" s="144">
        <f>IF(AND($I$344=1,$C$344=1,$S$344=0),$N$344+$H$344/$Z$337*$M$20,NA())</f>
        <v>-0.0298109558044498</v>
      </c>
      <c r="BL354" s="144" t="e">
        <f>IF(AND($I$344=1,$C$344=0),$N$344+$H$344/$Z$337*$M$20,NA())</f>
        <v>#N/A</v>
      </c>
      <c r="BM354" s="144">
        <f>IF($I$345=1,$M$345+$H$345/$Z$337*$L$20,NA())</f>
        <v>-0.431225817515005</v>
      </c>
      <c r="BN354" s="144">
        <f>IF($S$345=1,$N$345+$H$345/$Z$337*$M$20,NA())</f>
        <v>-0.0260019743196486</v>
      </c>
      <c r="BO354" s="144" t="e">
        <f>IF(AND($I$345=1,$C$345=1,$S$345=0),$N$345+$H$345/$Z$337*$M$20,NA())</f>
        <v>#N/A</v>
      </c>
      <c r="BP354" s="144" t="e">
        <f>IF(AND($I$345=1,$C$345=0),$N$345+$H$345/$Z$337*$M$20,NA())</f>
        <v>#N/A</v>
      </c>
    </row>
    <row r="355">
      <c r="A355" s="63" t="inlineStr">
        <is>
          <t xml:space="preserve">caption, top left (r)</t>
        </is>
      </c>
      <c r="D355" s="145" t="str">
        <f>IF($Q$337=0,"","Sᵢ = "&amp;'ERDR Iterations'!$K$36&amp;"   ·   L = "&amp;'ERDR Iterations'!$K$39)</f>
        <v>Sᵢ = S₃   ·   L = {S₃, S₇}</v>
      </c>
      <c r="E355" s="144">
        <f>IF($Q$337=0,NA(),-0.97)</f>
        <v>-0.97</v>
      </c>
      <c r="F355" s="144">
        <f>IF($Q$337=0,NA(),0.955)</f>
        <v>0.955</v>
      </c>
      <c r="AN355" s="146">
        <v>16</v>
      </c>
      <c r="AO355" s="144" t="e">
        <f>IF($I$339=1,$M$339+$H$339/$Z$337*$L$21,NA())</f>
        <v>#N/A</v>
      </c>
      <c r="AP355" s="144" t="e">
        <f>IF($S$339=1,$N$339+$H$339/$Z$337*$M$21,NA())</f>
        <v>#N/A</v>
      </c>
      <c r="AQ355" s="144" t="e">
        <f>IF(AND($I$339=1,$C$339=1,$S$339=0),$N$339+$H$339/$Z$337*$M$21,NA())</f>
        <v>#N/A</v>
      </c>
      <c r="AR355" s="144" t="e">
        <f>IF(AND($I$339=1,$C$339=0),$N$339+$H$339/$Z$337*$M$21,NA())</f>
        <v>#N/A</v>
      </c>
      <c r="AS355" s="144" t="e">
        <f>IF($I$340=1,$M$340+$H$340/$Z$337*$L$21,NA())</f>
        <v>#N/A</v>
      </c>
      <c r="AT355" s="144" t="e">
        <f>IF($S$340=1,$N$340+$H$340/$Z$337*$M$21,NA())</f>
        <v>#N/A</v>
      </c>
      <c r="AU355" s="144" t="e">
        <f>IF(AND($I$340=1,$C$340=1,$S$340=0),$N$340+$H$340/$Z$337*$M$21,NA())</f>
        <v>#N/A</v>
      </c>
      <c r="AV355" s="144" t="e">
        <f>IF(AND($I$340=1,$C$340=0),$N$340+$H$340/$Z$337*$M$21,NA())</f>
        <v>#N/A</v>
      </c>
      <c r="AW355" s="144">
        <f>IF($I$341=1,$M$341+$H$341/$Z$337*$L$21,NA())</f>
        <v>-0.435730146995403</v>
      </c>
      <c r="AX355" s="144">
        <f>IF($S$341=1,$N$341+$H$341/$Z$337*$M$21,NA())</f>
        <v>-0.60301001544595</v>
      </c>
      <c r="AY355" s="144" t="e">
        <f>IF(AND($I$341=1,$C$341=1,$S$341=0),$N$341+$H$341/$Z$337*$M$21,NA())</f>
        <v>#N/A</v>
      </c>
      <c r="AZ355" s="144" t="e">
        <f>IF(AND($I$341=1,$C$341=0),$N$341+$H$341/$Z$337*$M$21,NA())</f>
        <v>#N/A</v>
      </c>
      <c r="BA355" s="144" t="e">
        <f>IF($I$342=1,$M$342+$H$342/$Z$337*$L$21,NA())</f>
        <v>#N/A</v>
      </c>
      <c r="BB355" s="144" t="e">
        <f>IF($S$342=1,$N$342+$H$342/$Z$337*$M$21,NA())</f>
        <v>#N/A</v>
      </c>
      <c r="BC355" s="144" t="e">
        <f>IF(AND($I$342=1,$C$342=1,$S$342=0),$N$342+$H$342/$Z$337*$M$21,NA())</f>
        <v>#N/A</v>
      </c>
      <c r="BD355" s="144" t="e">
        <f>IF(AND($I$342=1,$C$342=0),$N$342+$H$342/$Z$337*$M$21,NA())</f>
        <v>#N/A</v>
      </c>
      <c r="BE355" s="144" t="e">
        <f>IF($I$343=1,$M$343+$H$343/$Z$337*$L$21,NA())</f>
        <v>#N/A</v>
      </c>
      <c r="BF355" s="144" t="e">
        <f>IF($S$343=1,$N$343+$H$343/$Z$337*$M$21,NA())</f>
        <v>#N/A</v>
      </c>
      <c r="BG355" s="144" t="e">
        <f>IF(AND($I$343=1,$C$343=1,$S$343=0),$N$343+$H$343/$Z$337*$M$21,NA())</f>
        <v>#N/A</v>
      </c>
      <c r="BH355" s="144" t="e">
        <f>IF(AND($I$343=1,$C$343=0),$N$343+$H$343/$Z$337*$M$21,NA())</f>
        <v>#N/A</v>
      </c>
      <c r="BI355" s="144">
        <f>IF($I$344=1,$M$344+$H$344/$Z$337*$L$21,NA())</f>
        <v>0.211449593008249</v>
      </c>
      <c r="BJ355" s="144" t="e">
        <f>IF($S$344=1,$N$344+$H$344/$Z$337*$M$21,NA())</f>
        <v>#N/A</v>
      </c>
      <c r="BK355" s="144">
        <f>IF(AND($I$344=1,$C$344=1,$S$344=0),$N$344+$H$344/$Z$337*$M$21,NA())</f>
        <v>-0.0995355081625206</v>
      </c>
      <c r="BL355" s="144" t="e">
        <f>IF(AND($I$344=1,$C$344=0),$N$344+$H$344/$Z$337*$M$21,NA())</f>
        <v>#N/A</v>
      </c>
      <c r="BM355" s="144">
        <f>IF($I$345=1,$M$345+$H$345/$Z$337*$L$21,NA())</f>
        <v>-0.335362046020308</v>
      </c>
      <c r="BN355" s="144">
        <f>IF($S$345=1,$N$345+$H$345/$Z$337*$M$21,NA())</f>
        <v>-0.0995608333569779</v>
      </c>
      <c r="BO355" s="144" t="e">
        <f>IF(AND($I$345=1,$C$345=1,$S$345=0),$N$345+$H$345/$Z$337*$M$21,NA())</f>
        <v>#N/A</v>
      </c>
      <c r="BP355" s="144" t="e">
        <f>IF(AND($I$345=1,$C$345=0),$N$345+$H$345/$Z$337*$M$21,NA())</f>
        <v>#N/A</v>
      </c>
    </row>
    <row r="356">
      <c r="A356" s="63" t="inlineStr">
        <is>
          <t xml:space="preserve">caption, bottom left (r)</t>
        </is>
      </c>
      <c r="D356" s="145" t="str">
        <f>IF($Q$337=0,"",'ERDR Iterations'!$K$41)</f>
        <v>|L| &gt; 1 → Step 5 corrects g</v>
      </c>
      <c r="E356" s="144">
        <f>IF($Q$337=0,NA(),-0.97)</f>
        <v>-0.97</v>
      </c>
      <c r="F356" s="144">
        <f>IF($Q$337=0,NA(),-0.955)</f>
        <v>-0.955</v>
      </c>
      <c r="AN356" s="146">
        <v>17</v>
      </c>
      <c r="AO356" s="144" t="e">
        <f>IF($I$339=1,$M$339+$H$339/$Z$337*$L$22,NA())</f>
        <v>#N/A</v>
      </c>
      <c r="AP356" s="144" t="e">
        <f>IF($S$339=1,$N$339+$H$339/$Z$337*$M$22,NA())</f>
        <v>#N/A</v>
      </c>
      <c r="AQ356" s="144" t="e">
        <f>IF(AND($I$339=1,$C$339=1,$S$339=0),$N$339+$H$339/$Z$337*$M$22,NA())</f>
        <v>#N/A</v>
      </c>
      <c r="AR356" s="144" t="e">
        <f>IF(AND($I$339=1,$C$339=0),$N$339+$H$339/$Z$337*$M$22,NA())</f>
        <v>#N/A</v>
      </c>
      <c r="AS356" s="144" t="e">
        <f>IF($I$340=1,$M$340+$H$340/$Z$337*$L$22,NA())</f>
        <v>#N/A</v>
      </c>
      <c r="AT356" s="144" t="e">
        <f>IF($S$340=1,$N$340+$H$340/$Z$337*$M$22,NA())</f>
        <v>#N/A</v>
      </c>
      <c r="AU356" s="144" t="e">
        <f>IF(AND($I$340=1,$C$340=1,$S$340=0),$N$340+$H$340/$Z$337*$M$22,NA())</f>
        <v>#N/A</v>
      </c>
      <c r="AV356" s="144" t="e">
        <f>IF(AND($I$340=1,$C$340=0),$N$340+$H$340/$Z$337*$M$22,NA())</f>
        <v>#N/A</v>
      </c>
      <c r="AW356" s="144">
        <f>IF($I$341=1,$M$341+$H$341/$Z$337*$L$22,NA())</f>
        <v>-0.275680671779488</v>
      </c>
      <c r="AX356" s="144">
        <f>IF($S$341=1,$N$341+$H$341/$Z$337*$M$22,NA())</f>
        <v>-0.669304678731079</v>
      </c>
      <c r="AY356" s="144" t="e">
        <f>IF(AND($I$341=1,$C$341=1,$S$341=0),$N$341+$H$341/$Z$337*$M$22,NA())</f>
        <v>#N/A</v>
      </c>
      <c r="AZ356" s="144" t="e">
        <f>IF(AND($I$341=1,$C$341=0),$N$341+$H$341/$Z$337*$M$22,NA())</f>
        <v>#N/A</v>
      </c>
      <c r="BA356" s="144" t="e">
        <f>IF($I$342=1,$M$342+$H$342/$Z$337*$L$22,NA())</f>
        <v>#N/A</v>
      </c>
      <c r="BB356" s="144" t="e">
        <f>IF($S$342=1,$N$342+$H$342/$Z$337*$M$22,NA())</f>
        <v>#N/A</v>
      </c>
      <c r="BC356" s="144" t="e">
        <f>IF(AND($I$342=1,$C$342=1,$S$342=0),$N$342+$H$342/$Z$337*$M$22,NA())</f>
        <v>#N/A</v>
      </c>
      <c r="BD356" s="144" t="e">
        <f>IF(AND($I$342=1,$C$342=0),$N$342+$H$342/$Z$337*$M$22,NA())</f>
        <v>#N/A</v>
      </c>
      <c r="BE356" s="144" t="e">
        <f>IF($I$343=1,$M$343+$H$343/$Z$337*$L$22,NA())</f>
        <v>#N/A</v>
      </c>
      <c r="BF356" s="144" t="e">
        <f>IF($S$343=1,$N$343+$H$343/$Z$337*$M$22,NA())</f>
        <v>#N/A</v>
      </c>
      <c r="BG356" s="144" t="e">
        <f>IF(AND($I$343=1,$C$343=1,$S$343=0),$N$343+$H$343/$Z$337*$M$22,NA())</f>
        <v>#N/A</v>
      </c>
      <c r="BH356" s="144" t="e">
        <f>IF(AND($I$343=1,$C$343=0),$N$343+$H$343/$Z$337*$M$22,NA())</f>
        <v>#N/A</v>
      </c>
      <c r="BI356" s="144">
        <f>IF($I$344=1,$M$344+$H$344/$Z$337*$L$22,NA())</f>
        <v>0.317266229489353</v>
      </c>
      <c r="BJ356" s="144" t="e">
        <f>IF($S$344=1,$N$344+$H$344/$Z$337*$M$22,NA())</f>
        <v>#N/A</v>
      </c>
      <c r="BK356" s="144">
        <f>IF(AND($I$344=1,$C$344=1,$S$344=0),$N$344+$H$344/$Z$337*$M$22,NA())</f>
        <v>-0.143366194117698</v>
      </c>
      <c r="BL356" s="144" t="e">
        <f>IF(AND($I$344=1,$C$344=0),$N$344+$H$344/$Z$337*$M$22,NA())</f>
        <v>#N/A</v>
      </c>
      <c r="BM356" s="144">
        <f>IF($I$345=1,$M$345+$H$345/$Z$337*$L$22,NA())</f>
        <v>-0.223726319673233</v>
      </c>
      <c r="BN356" s="144">
        <f>IF($S$345=1,$N$345+$H$345/$Z$337*$M$22,NA())</f>
        <v>-0.145801865255308</v>
      </c>
      <c r="BO356" s="144" t="e">
        <f>IF(AND($I$345=1,$C$345=1,$S$345=0),$N$345+$H$345/$Z$337*$M$22,NA())</f>
        <v>#N/A</v>
      </c>
      <c r="BP356" s="144" t="e">
        <f>IF(AND($I$345=1,$C$345=0),$N$345+$H$345/$Z$337*$M$22,NA())</f>
        <v>#N/A</v>
      </c>
    </row>
    <row r="357">
      <c r="AN357" s="146">
        <v>18</v>
      </c>
      <c r="AO357" s="144" t="e">
        <f>IF($I$339=1,$M$339+$H$339/$Z$337*$L$23,NA())</f>
        <v>#N/A</v>
      </c>
      <c r="AP357" s="144" t="e">
        <f>IF($S$339=1,$N$339+$H$339/$Z$337*$M$23,NA())</f>
        <v>#N/A</v>
      </c>
      <c r="AQ357" s="144" t="e">
        <f>IF(AND($I$339=1,$C$339=1,$S$339=0),$N$339+$H$339/$Z$337*$M$23,NA())</f>
        <v>#N/A</v>
      </c>
      <c r="AR357" s="144" t="e">
        <f>IF(AND($I$339=1,$C$339=0),$N$339+$H$339/$Z$337*$M$23,NA())</f>
        <v>#N/A</v>
      </c>
      <c r="AS357" s="144" t="e">
        <f>IF($I$340=1,$M$340+$H$340/$Z$337*$L$23,NA())</f>
        <v>#N/A</v>
      </c>
      <c r="AT357" s="144" t="e">
        <f>IF($S$340=1,$N$340+$H$340/$Z$337*$M$23,NA())</f>
        <v>#N/A</v>
      </c>
      <c r="AU357" s="144" t="e">
        <f>IF(AND($I$340=1,$C$340=1,$S$340=0),$N$340+$H$340/$Z$337*$M$23,NA())</f>
        <v>#N/A</v>
      </c>
      <c r="AV357" s="144" t="e">
        <f>IF(AND($I$340=1,$C$340=0),$N$340+$H$340/$Z$337*$M$23,NA())</f>
        <v>#N/A</v>
      </c>
      <c r="AW357" s="144">
        <f>IF($I$341=1,$M$341+$H$341/$Z$337*$L$23,NA())</f>
        <v>-0.103926428737574</v>
      </c>
      <c r="AX357" s="144">
        <f>IF($S$341=1,$N$341+$H$341/$Z$337*$M$23,NA())</f>
        <v>-0.691916553798779</v>
      </c>
      <c r="AY357" s="144" t="e">
        <f>IF(AND($I$341=1,$C$341=1,$S$341=0),$N$341+$H$341/$Z$337*$M$23,NA())</f>
        <v>#N/A</v>
      </c>
      <c r="AZ357" s="144" t="e">
        <f>IF(AND($I$341=1,$C$341=0),$N$341+$H$341/$Z$337*$M$23,NA())</f>
        <v>#N/A</v>
      </c>
      <c r="BA357" s="144" t="e">
        <f>IF($I$342=1,$M$342+$H$342/$Z$337*$L$23,NA())</f>
        <v>#N/A</v>
      </c>
      <c r="BB357" s="144" t="e">
        <f>IF($S$342=1,$N$342+$H$342/$Z$337*$M$23,NA())</f>
        <v>#N/A</v>
      </c>
      <c r="BC357" s="144" t="e">
        <f>IF(AND($I$342=1,$C$342=1,$S$342=0),$N$342+$H$342/$Z$337*$M$23,NA())</f>
        <v>#N/A</v>
      </c>
      <c r="BD357" s="144" t="e">
        <f>IF(AND($I$342=1,$C$342=0),$N$342+$H$342/$Z$337*$M$23,NA())</f>
        <v>#N/A</v>
      </c>
      <c r="BE357" s="144" t="e">
        <f>IF($I$343=1,$M$343+$H$343/$Z$337*$L$23,NA())</f>
        <v>#N/A</v>
      </c>
      <c r="BF357" s="144" t="e">
        <f>IF($S$343=1,$N$343+$H$343/$Z$337*$M$23,NA())</f>
        <v>#N/A</v>
      </c>
      <c r="BG357" s="144" t="e">
        <f>IF(AND($I$343=1,$C$343=1,$S$343=0),$N$343+$H$343/$Z$337*$M$23,NA())</f>
        <v>#N/A</v>
      </c>
      <c r="BH357" s="144" t="e">
        <f>IF(AND($I$343=1,$C$343=0),$N$343+$H$343/$Z$337*$M$23,NA())</f>
        <v>#N/A</v>
      </c>
      <c r="BI357" s="144">
        <f>IF($I$344=1,$M$344+$H$344/$Z$337*$L$23,NA())</f>
        <v>0.430821467802601</v>
      </c>
      <c r="BJ357" s="144" t="e">
        <f>IF($S$344=1,$N$344+$H$344/$Z$337*$M$23,NA())</f>
        <v>#N/A</v>
      </c>
      <c r="BK357" s="144">
        <f>IF(AND($I$344=1,$C$344=1,$S$344=0),$N$344+$H$344/$Z$337*$M$23,NA())</f>
        <v>-0.158316024855769</v>
      </c>
      <c r="BL357" s="144" t="e">
        <f>IF(AND($I$344=1,$C$344=0),$N$344+$H$344/$Z$337*$M$23,NA())</f>
        <v>#N/A</v>
      </c>
      <c r="BM357" s="144">
        <f>IF($I$345=1,$M$345+$H$345/$Z$337*$L$23,NA())</f>
        <v>-0.103926428737574</v>
      </c>
      <c r="BN357" s="144">
        <f>IF($S$345=1,$N$345+$H$345/$Z$337*$M$23,NA())</f>
        <v>-0.161573820107685</v>
      </c>
      <c r="BO357" s="144" t="e">
        <f>IF(AND($I$345=1,$C$345=1,$S$345=0),$N$345+$H$345/$Z$337*$M$23,NA())</f>
        <v>#N/A</v>
      </c>
      <c r="BP357" s="144" t="e">
        <f>IF(AND($I$345=1,$C$345=0),$N$345+$H$345/$Z$337*$M$23,NA())</f>
        <v>#N/A</v>
      </c>
    </row>
    <row r="358">
      <c r="AN358" s="146">
        <v>19</v>
      </c>
      <c r="AO358" s="144" t="e">
        <f>IF($I$339=1,$M$339+$H$339/$Z$337*$L$24,NA())</f>
        <v>#N/A</v>
      </c>
      <c r="AP358" s="144" t="e">
        <f>IF($S$339=1,$N$339+$H$339/$Z$337*$M$24,NA())</f>
        <v>#N/A</v>
      </c>
      <c r="AQ358" s="144" t="e">
        <f>IF(AND($I$339=1,$C$339=1,$S$339=0),$N$339+$H$339/$Z$337*$M$24,NA())</f>
        <v>#N/A</v>
      </c>
      <c r="AR358" s="144" t="e">
        <f>IF(AND($I$339=1,$C$339=0),$N$339+$H$339/$Z$337*$M$24,NA())</f>
        <v>#N/A</v>
      </c>
      <c r="AS358" s="144" t="e">
        <f>IF($I$340=1,$M$340+$H$340/$Z$337*$L$24,NA())</f>
        <v>#N/A</v>
      </c>
      <c r="AT358" s="144" t="e">
        <f>IF($S$340=1,$N$340+$H$340/$Z$337*$M$24,NA())</f>
        <v>#N/A</v>
      </c>
      <c r="AU358" s="144" t="e">
        <f>IF(AND($I$340=1,$C$340=1,$S$340=0),$N$340+$H$340/$Z$337*$M$24,NA())</f>
        <v>#N/A</v>
      </c>
      <c r="AV358" s="144" t="e">
        <f>IF(AND($I$340=1,$C$340=0),$N$340+$H$340/$Z$337*$M$24,NA())</f>
        <v>#N/A</v>
      </c>
      <c r="AW358" s="144">
        <f>IF($I$341=1,$M$341+$H$341/$Z$337*$L$24,NA())</f>
        <v>0.0678278143043397</v>
      </c>
      <c r="AX358" s="144">
        <f>IF($S$341=1,$N$341+$H$341/$Z$337*$M$24,NA())</f>
        <v>-0.669304678731079</v>
      </c>
      <c r="AY358" s="144" t="e">
        <f>IF(AND($I$341=1,$C$341=1,$S$341=0),$N$341+$H$341/$Z$337*$M$24,NA())</f>
        <v>#N/A</v>
      </c>
      <c r="AZ358" s="144" t="e">
        <f>IF(AND($I$341=1,$C$341=0),$N$341+$H$341/$Z$337*$M$24,NA())</f>
        <v>#N/A</v>
      </c>
      <c r="BA358" s="144" t="e">
        <f>IF($I$342=1,$M$342+$H$342/$Z$337*$L$24,NA())</f>
        <v>#N/A</v>
      </c>
      <c r="BB358" s="144" t="e">
        <f>IF($S$342=1,$N$342+$H$342/$Z$337*$M$24,NA())</f>
        <v>#N/A</v>
      </c>
      <c r="BC358" s="144" t="e">
        <f>IF(AND($I$342=1,$C$342=1,$S$342=0),$N$342+$H$342/$Z$337*$M$24,NA())</f>
        <v>#N/A</v>
      </c>
      <c r="BD358" s="144" t="e">
        <f>IF(AND($I$342=1,$C$342=0),$N$342+$H$342/$Z$337*$M$24,NA())</f>
        <v>#N/A</v>
      </c>
      <c r="BE358" s="144" t="e">
        <f>IF($I$343=1,$M$343+$H$343/$Z$337*$L$24,NA())</f>
        <v>#N/A</v>
      </c>
      <c r="BF358" s="144" t="e">
        <f>IF($S$343=1,$N$343+$H$343/$Z$337*$M$24,NA())</f>
        <v>#N/A</v>
      </c>
      <c r="BG358" s="144" t="e">
        <f>IF(AND($I$343=1,$C$343=1,$S$343=0),$N$343+$H$343/$Z$337*$M$24,NA())</f>
        <v>#N/A</v>
      </c>
      <c r="BH358" s="144" t="e">
        <f>IF(AND($I$343=1,$C$343=0),$N$343+$H$343/$Z$337*$M$24,NA())</f>
        <v>#N/A</v>
      </c>
      <c r="BI358" s="144">
        <f>IF($I$344=1,$M$344+$H$344/$Z$337*$L$24,NA())</f>
        <v>0.544376706115849</v>
      </c>
      <c r="BJ358" s="144" t="e">
        <f>IF($S$344=1,$N$344+$H$344/$Z$337*$M$24,NA())</f>
        <v>#N/A</v>
      </c>
      <c r="BK358" s="144">
        <f>IF(AND($I$344=1,$C$344=1,$S$344=0),$N$344+$H$344/$Z$337*$M$24,NA())</f>
        <v>-0.143366194117698</v>
      </c>
      <c r="BL358" s="144" t="e">
        <f>IF(AND($I$344=1,$C$344=0),$N$344+$H$344/$Z$337*$M$24,NA())</f>
        <v>#N/A</v>
      </c>
      <c r="BM358" s="144">
        <f>IF($I$345=1,$M$345+$H$345/$Z$337*$L$24,NA())</f>
        <v>0.0158734621980845</v>
      </c>
      <c r="BN358" s="144">
        <f>IF($S$345=1,$N$345+$H$345/$Z$337*$M$24,NA())</f>
        <v>-0.145801865255308</v>
      </c>
      <c r="BO358" s="144" t="e">
        <f>IF(AND($I$345=1,$C$345=1,$S$345=0),$N$345+$H$345/$Z$337*$M$24,NA())</f>
        <v>#N/A</v>
      </c>
      <c r="BP358" s="144" t="e">
        <f>IF(AND($I$345=1,$C$345=0),$N$345+$H$345/$Z$337*$M$24,NA())</f>
        <v>#N/A</v>
      </c>
    </row>
    <row r="359">
      <c r="AN359" s="146">
        <v>20</v>
      </c>
      <c r="AO359" s="144" t="e">
        <f>IF($I$339=1,$M$339+$H$339/$Z$337*$L$25,NA())</f>
        <v>#N/A</v>
      </c>
      <c r="AP359" s="144" t="e">
        <f>IF($S$339=1,$N$339+$H$339/$Z$337*$M$25,NA())</f>
        <v>#N/A</v>
      </c>
      <c r="AQ359" s="144" t="e">
        <f>IF(AND($I$339=1,$C$339=1,$S$339=0),$N$339+$H$339/$Z$337*$M$25,NA())</f>
        <v>#N/A</v>
      </c>
      <c r="AR359" s="144" t="e">
        <f>IF(AND($I$339=1,$C$339=0),$N$339+$H$339/$Z$337*$M$25,NA())</f>
        <v>#N/A</v>
      </c>
      <c r="AS359" s="144" t="e">
        <f>IF($I$340=1,$M$340+$H$340/$Z$337*$L$25,NA())</f>
        <v>#N/A</v>
      </c>
      <c r="AT359" s="144" t="e">
        <f>IF($S$340=1,$N$340+$H$340/$Z$337*$M$25,NA())</f>
        <v>#N/A</v>
      </c>
      <c r="AU359" s="144" t="e">
        <f>IF(AND($I$340=1,$C$340=1,$S$340=0),$N$340+$H$340/$Z$337*$M$25,NA())</f>
        <v>#N/A</v>
      </c>
      <c r="AV359" s="144" t="e">
        <f>IF(AND($I$340=1,$C$340=0),$N$340+$H$340/$Z$337*$M$25,NA())</f>
        <v>#N/A</v>
      </c>
      <c r="AW359" s="144">
        <f>IF($I$341=1,$M$341+$H$341/$Z$337*$L$25,NA())</f>
        <v>0.227877289520255</v>
      </c>
      <c r="AX359" s="144">
        <f>IF($S$341=1,$N$341+$H$341/$Z$337*$M$25,NA())</f>
        <v>-0.60301001544595</v>
      </c>
      <c r="AY359" s="144" t="e">
        <f>IF(AND($I$341=1,$C$341=1,$S$341=0),$N$341+$H$341/$Z$337*$M$25,NA())</f>
        <v>#N/A</v>
      </c>
      <c r="AZ359" s="144" t="e">
        <f>IF(AND($I$341=1,$C$341=0),$N$341+$H$341/$Z$337*$M$25,NA())</f>
        <v>#N/A</v>
      </c>
      <c r="BA359" s="144" t="e">
        <f>IF($I$342=1,$M$342+$H$342/$Z$337*$L$25,NA())</f>
        <v>#N/A</v>
      </c>
      <c r="BB359" s="144" t="e">
        <f>IF($S$342=1,$N$342+$H$342/$Z$337*$M$25,NA())</f>
        <v>#N/A</v>
      </c>
      <c r="BC359" s="144" t="e">
        <f>IF(AND($I$342=1,$C$342=1,$S$342=0),$N$342+$H$342/$Z$337*$M$25,NA())</f>
        <v>#N/A</v>
      </c>
      <c r="BD359" s="144" t="e">
        <f>IF(AND($I$342=1,$C$342=0),$N$342+$H$342/$Z$337*$M$25,NA())</f>
        <v>#N/A</v>
      </c>
      <c r="BE359" s="144" t="e">
        <f>IF($I$343=1,$M$343+$H$343/$Z$337*$L$25,NA())</f>
        <v>#N/A</v>
      </c>
      <c r="BF359" s="144" t="e">
        <f>IF($S$343=1,$N$343+$H$343/$Z$337*$M$25,NA())</f>
        <v>#N/A</v>
      </c>
      <c r="BG359" s="144" t="e">
        <f>IF(AND($I$343=1,$C$343=1,$S$343=0),$N$343+$H$343/$Z$337*$M$25,NA())</f>
        <v>#N/A</v>
      </c>
      <c r="BH359" s="144" t="e">
        <f>IF(AND($I$343=1,$C$343=0),$N$343+$H$343/$Z$337*$M$25,NA())</f>
        <v>#N/A</v>
      </c>
      <c r="BI359" s="144">
        <f>IF($I$344=1,$M$344+$H$344/$Z$337*$L$25,NA())</f>
        <v>0.650193342596953</v>
      </c>
      <c r="BJ359" s="144" t="e">
        <f>IF($S$344=1,$N$344+$H$344/$Z$337*$M$25,NA())</f>
        <v>#N/A</v>
      </c>
      <c r="BK359" s="144">
        <f>IF(AND($I$344=1,$C$344=1,$S$344=0),$N$344+$H$344/$Z$337*$M$25,NA())</f>
        <v>-0.0995355081625207</v>
      </c>
      <c r="BL359" s="144" t="e">
        <f>IF(AND($I$344=1,$C$344=0),$N$344+$H$344/$Z$337*$M$25,NA())</f>
        <v>#N/A</v>
      </c>
      <c r="BM359" s="144">
        <f>IF($I$345=1,$M$345+$H$345/$Z$337*$L$25,NA())</f>
        <v>0.127509188545159</v>
      </c>
      <c r="BN359" s="144">
        <f>IF($S$345=1,$N$345+$H$345/$Z$337*$M$25,NA())</f>
        <v>-0.099560833356978</v>
      </c>
      <c r="BO359" s="144" t="e">
        <f>IF(AND($I$345=1,$C$345=1,$S$345=0),$N$345+$H$345/$Z$337*$M$25,NA())</f>
        <v>#N/A</v>
      </c>
      <c r="BP359" s="144" t="e">
        <f>IF(AND($I$345=1,$C$345=0),$N$345+$H$345/$Z$337*$M$25,NA())</f>
        <v>#N/A</v>
      </c>
    </row>
    <row r="360">
      <c r="AN360" s="146">
        <v>21</v>
      </c>
      <c r="AO360" s="144" t="e">
        <f>IF($I$339=1,$M$339+$H$339/$Z$337*$L$26,NA())</f>
        <v>#N/A</v>
      </c>
      <c r="AP360" s="144" t="e">
        <f>IF($S$339=1,$N$339+$H$339/$Z$337*$M$26,NA())</f>
        <v>#N/A</v>
      </c>
      <c r="AQ360" s="144" t="e">
        <f>IF(AND($I$339=1,$C$339=1,$S$339=0),$N$339+$H$339/$Z$337*$M$26,NA())</f>
        <v>#N/A</v>
      </c>
      <c r="AR360" s="144" t="e">
        <f>IF(AND($I$339=1,$C$339=0),$N$339+$H$339/$Z$337*$M$26,NA())</f>
        <v>#N/A</v>
      </c>
      <c r="AS360" s="144" t="e">
        <f>IF($I$340=1,$M$340+$H$340/$Z$337*$L$26,NA())</f>
        <v>#N/A</v>
      </c>
      <c r="AT360" s="144" t="e">
        <f>IF($S$340=1,$N$340+$H$340/$Z$337*$M$26,NA())</f>
        <v>#N/A</v>
      </c>
      <c r="AU360" s="144" t="e">
        <f>IF(AND($I$340=1,$C$340=1,$S$340=0),$N$340+$H$340/$Z$337*$M$26,NA())</f>
        <v>#N/A</v>
      </c>
      <c r="AV360" s="144" t="e">
        <f>IF(AND($I$340=1,$C$340=0),$N$340+$H$340/$Z$337*$M$26,NA())</f>
        <v>#N/A</v>
      </c>
      <c r="AW360" s="144">
        <f>IF($I$341=1,$M$341+$H$341/$Z$337*$L$26,NA())</f>
        <v>0.365314889668468</v>
      </c>
      <c r="AX360" s="144">
        <f>IF($S$341=1,$N$341+$H$341/$Z$337*$M$26,NA())</f>
        <v>-0.497550435689164</v>
      </c>
      <c r="AY360" s="144" t="e">
        <f>IF(AND($I$341=1,$C$341=1,$S$341=0),$N$341+$H$341/$Z$337*$M$26,NA())</f>
        <v>#N/A</v>
      </c>
      <c r="AZ360" s="144" t="e">
        <f>IF(AND($I$341=1,$C$341=0),$N$341+$H$341/$Z$337*$M$26,NA())</f>
        <v>#N/A</v>
      </c>
      <c r="BA360" s="144" t="e">
        <f>IF($I$342=1,$M$342+$H$342/$Z$337*$L$26,NA())</f>
        <v>#N/A</v>
      </c>
      <c r="BB360" s="144" t="e">
        <f>IF($S$342=1,$N$342+$H$342/$Z$337*$M$26,NA())</f>
        <v>#N/A</v>
      </c>
      <c r="BC360" s="144" t="e">
        <f>IF(AND($I$342=1,$C$342=1,$S$342=0),$N$342+$H$342/$Z$337*$M$26,NA())</f>
        <v>#N/A</v>
      </c>
      <c r="BD360" s="144" t="e">
        <f>IF(AND($I$342=1,$C$342=0),$N$342+$H$342/$Z$337*$M$26,NA())</f>
        <v>#N/A</v>
      </c>
      <c r="BE360" s="144" t="e">
        <f>IF($I$343=1,$M$343+$H$343/$Z$337*$L$26,NA())</f>
        <v>#N/A</v>
      </c>
      <c r="BF360" s="144" t="e">
        <f>IF($S$343=1,$N$343+$H$343/$Z$337*$M$26,NA())</f>
        <v>#N/A</v>
      </c>
      <c r="BG360" s="144" t="e">
        <f>IF(AND($I$343=1,$C$343=1,$S$343=0),$N$343+$H$343/$Z$337*$M$26,NA())</f>
        <v>#N/A</v>
      </c>
      <c r="BH360" s="144" t="e">
        <f>IF(AND($I$343=1,$C$343=0),$N$343+$H$343/$Z$337*$M$26,NA())</f>
        <v>#N/A</v>
      </c>
      <c r="BI360" s="144">
        <f>IF($I$344=1,$M$344+$H$344/$Z$337*$L$26,NA())</f>
        <v>0.741060148339986</v>
      </c>
      <c r="BJ360" s="144" t="e">
        <f>IF($S$344=1,$N$344+$H$344/$Z$337*$M$26,NA())</f>
        <v>#N/A</v>
      </c>
      <c r="BK360" s="144">
        <f>IF(AND($I$344=1,$C$344=1,$S$344=0),$N$344+$H$344/$Z$337*$M$26,NA())</f>
        <v>-0.02981095580445</v>
      </c>
      <c r="BL360" s="144" t="e">
        <f>IF(AND($I$344=1,$C$344=0),$N$344+$H$344/$Z$337*$M$26,NA())</f>
        <v>#N/A</v>
      </c>
      <c r="BM360" s="144">
        <f>IF($I$345=1,$M$345+$H$345/$Z$337*$L$26,NA())</f>
        <v>0.223372960039856</v>
      </c>
      <c r="BN360" s="144">
        <f>IF($S$345=1,$N$345+$H$345/$Z$337*$M$26,NA())</f>
        <v>-0.0260019743196488</v>
      </c>
      <c r="BO360" s="144" t="e">
        <f>IF(AND($I$345=1,$C$345=1,$S$345=0),$N$345+$H$345/$Z$337*$M$26,NA())</f>
        <v>#N/A</v>
      </c>
      <c r="BP360" s="144" t="e">
        <f>IF(AND($I$345=1,$C$345=0),$N$345+$H$345/$Z$337*$M$26,NA())</f>
        <v>#N/A</v>
      </c>
    </row>
    <row r="361">
      <c r="AN361" s="146">
        <v>22</v>
      </c>
      <c r="AO361" s="144" t="e">
        <f>IF($I$339=1,$M$339+$H$339/$Z$337*$L$27,NA())</f>
        <v>#N/A</v>
      </c>
      <c r="AP361" s="144" t="e">
        <f>IF($S$339=1,$N$339+$H$339/$Z$337*$M$27,NA())</f>
        <v>#N/A</v>
      </c>
      <c r="AQ361" s="144" t="e">
        <f>IF(AND($I$339=1,$C$339=1,$S$339=0),$N$339+$H$339/$Z$337*$M$27,NA())</f>
        <v>#N/A</v>
      </c>
      <c r="AR361" s="144" t="e">
        <f>IF(AND($I$339=1,$C$339=0),$N$339+$H$339/$Z$337*$M$27,NA())</f>
        <v>#N/A</v>
      </c>
      <c r="AS361" s="144" t="e">
        <f>IF($I$340=1,$M$340+$H$340/$Z$337*$L$27,NA())</f>
        <v>#N/A</v>
      </c>
      <c r="AT361" s="144" t="e">
        <f>IF($S$340=1,$N$340+$H$340/$Z$337*$M$27,NA())</f>
        <v>#N/A</v>
      </c>
      <c r="AU361" s="144" t="e">
        <f>IF(AND($I$340=1,$C$340=1,$S$340=0),$N$340+$H$340/$Z$337*$M$27,NA())</f>
        <v>#N/A</v>
      </c>
      <c r="AV361" s="144" t="e">
        <f>IF(AND($I$340=1,$C$340=0),$N$340+$H$340/$Z$337*$M$27,NA())</f>
        <v>#N/A</v>
      </c>
      <c r="AW361" s="144">
        <f>IF($I$341=1,$M$341+$H$341/$Z$337*$L$27,NA())</f>
        <v>0.470774469425254</v>
      </c>
      <c r="AX361" s="144">
        <f>IF($S$341=1,$N$341+$H$341/$Z$337*$M$27,NA())</f>
        <v>-0.360112835540951</v>
      </c>
      <c r="AY361" s="144" t="e">
        <f>IF(AND($I$341=1,$C$341=1,$S$341=0),$N$341+$H$341/$Z$337*$M$27,NA())</f>
        <v>#N/A</v>
      </c>
      <c r="AZ361" s="144" t="e">
        <f>IF(AND($I$341=1,$C$341=0),$N$341+$H$341/$Z$337*$M$27,NA())</f>
        <v>#N/A</v>
      </c>
      <c r="BA361" s="144" t="e">
        <f>IF($I$342=1,$M$342+$H$342/$Z$337*$L$27,NA())</f>
        <v>#N/A</v>
      </c>
      <c r="BB361" s="144" t="e">
        <f>IF($S$342=1,$N$342+$H$342/$Z$337*$M$27,NA())</f>
        <v>#N/A</v>
      </c>
      <c r="BC361" s="144" t="e">
        <f>IF(AND($I$342=1,$C$342=1,$S$342=0),$N$342+$H$342/$Z$337*$M$27,NA())</f>
        <v>#N/A</v>
      </c>
      <c r="BD361" s="144" t="e">
        <f>IF(AND($I$342=1,$C$342=0),$N$342+$H$342/$Z$337*$M$27,NA())</f>
        <v>#N/A</v>
      </c>
      <c r="BE361" s="144" t="e">
        <f>IF($I$343=1,$M$343+$H$343/$Z$337*$L$27,NA())</f>
        <v>#N/A</v>
      </c>
      <c r="BF361" s="144" t="e">
        <f>IF($S$343=1,$N$343+$H$343/$Z$337*$M$27,NA())</f>
        <v>#N/A</v>
      </c>
      <c r="BG361" s="144" t="e">
        <f>IF(AND($I$343=1,$C$343=1,$S$343=0),$N$343+$H$343/$Z$337*$M$27,NA())</f>
        <v>#N/A</v>
      </c>
      <c r="BH361" s="144" t="e">
        <f>IF(AND($I$343=1,$C$343=0),$N$343+$H$343/$Z$337*$M$27,NA())</f>
        <v>#N/A</v>
      </c>
      <c r="BI361" s="144">
        <f>IF($I$344=1,$M$344+$H$344/$Z$337*$L$27,NA())</f>
        <v>0.810784700698056</v>
      </c>
      <c r="BJ361" s="144" t="e">
        <f>IF($S$344=1,$N$344+$H$344/$Z$337*$M$27,NA())</f>
        <v>#N/A</v>
      </c>
      <c r="BK361" s="144">
        <f>IF(AND($I$344=1,$C$344=1,$S$344=0),$N$344+$H$344/$Z$337*$M$27,NA())</f>
        <v>0.0610558499385829</v>
      </c>
      <c r="BL361" s="144" t="e">
        <f>IF(AND($I$344=1,$C$344=0),$N$344+$H$344/$Z$337*$M$27,NA())</f>
        <v>#N/A</v>
      </c>
      <c r="BM361" s="144">
        <f>IF($I$345=1,$M$345+$H$345/$Z$337*$L$27,NA())</f>
        <v>0.296931819077185</v>
      </c>
      <c r="BN361" s="144">
        <f>IF($S$345=1,$N$345+$H$345/$Z$337*$M$27,NA())</f>
        <v>0.0698617971750482</v>
      </c>
      <c r="BO361" s="144" t="e">
        <f>IF(AND($I$345=1,$C$345=1,$S$345=0),$N$345+$H$345/$Z$337*$M$27,NA())</f>
        <v>#N/A</v>
      </c>
      <c r="BP361" s="144" t="e">
        <f>IF(AND($I$345=1,$C$345=0),$N$345+$H$345/$Z$337*$M$27,NA())</f>
        <v>#N/A</v>
      </c>
    </row>
    <row r="362">
      <c r="AN362" s="146">
        <v>23</v>
      </c>
      <c r="AO362" s="144" t="e">
        <f>IF($I$339=1,$M$339+$H$339/$Z$337*$L$28,NA())</f>
        <v>#N/A</v>
      </c>
      <c r="AP362" s="144" t="e">
        <f>IF($S$339=1,$N$339+$H$339/$Z$337*$M$28,NA())</f>
        <v>#N/A</v>
      </c>
      <c r="AQ362" s="144" t="e">
        <f>IF(AND($I$339=1,$C$339=1,$S$339=0),$N$339+$H$339/$Z$337*$M$28,NA())</f>
        <v>#N/A</v>
      </c>
      <c r="AR362" s="144" t="e">
        <f>IF(AND($I$339=1,$C$339=0),$N$339+$H$339/$Z$337*$M$28,NA())</f>
        <v>#N/A</v>
      </c>
      <c r="AS362" s="144" t="e">
        <f>IF($I$340=1,$M$340+$H$340/$Z$337*$L$28,NA())</f>
        <v>#N/A</v>
      </c>
      <c r="AT362" s="144" t="e">
        <f>IF($S$340=1,$N$340+$H$340/$Z$337*$M$28,NA())</f>
        <v>#N/A</v>
      </c>
      <c r="AU362" s="144" t="e">
        <f>IF(AND($I$340=1,$C$340=1,$S$340=0),$N$340+$H$340/$Z$337*$M$28,NA())</f>
        <v>#N/A</v>
      </c>
      <c r="AV362" s="144" t="e">
        <f>IF(AND($I$340=1,$C$340=0),$N$340+$H$340/$Z$337*$M$28,NA())</f>
        <v>#N/A</v>
      </c>
      <c r="AW362" s="144">
        <f>IF($I$341=1,$M$341+$H$341/$Z$337*$L$28,NA())</f>
        <v>0.537069132710383</v>
      </c>
      <c r="AX362" s="144">
        <f>IF($S$341=1,$N$341+$H$341/$Z$337*$M$28,NA())</f>
        <v>-0.200063360325036</v>
      </c>
      <c r="AY362" s="144" t="e">
        <f>IF(AND($I$341=1,$C$341=1,$S$341=0),$N$341+$H$341/$Z$337*$M$28,NA())</f>
        <v>#N/A</v>
      </c>
      <c r="AZ362" s="144" t="e">
        <f>IF(AND($I$341=1,$C$341=0),$N$341+$H$341/$Z$337*$M$28,NA())</f>
        <v>#N/A</v>
      </c>
      <c r="BA362" s="144" t="e">
        <f>IF($I$342=1,$M$342+$H$342/$Z$337*$L$28,NA())</f>
        <v>#N/A</v>
      </c>
      <c r="BB362" s="144" t="e">
        <f>IF($S$342=1,$N$342+$H$342/$Z$337*$M$28,NA())</f>
        <v>#N/A</v>
      </c>
      <c r="BC362" s="144" t="e">
        <f>IF(AND($I$342=1,$C$342=1,$S$342=0),$N$342+$H$342/$Z$337*$M$28,NA())</f>
        <v>#N/A</v>
      </c>
      <c r="BD362" s="144" t="e">
        <f>IF(AND($I$342=1,$C$342=0),$N$342+$H$342/$Z$337*$M$28,NA())</f>
        <v>#N/A</v>
      </c>
      <c r="BE362" s="144" t="e">
        <f>IF($I$343=1,$M$343+$H$343/$Z$337*$L$28,NA())</f>
        <v>#N/A</v>
      </c>
      <c r="BF362" s="144" t="e">
        <f>IF($S$343=1,$N$343+$H$343/$Z$337*$M$28,NA())</f>
        <v>#N/A</v>
      </c>
      <c r="BG362" s="144" t="e">
        <f>IF(AND($I$343=1,$C$343=1,$S$343=0),$N$343+$H$343/$Z$337*$M$28,NA())</f>
        <v>#N/A</v>
      </c>
      <c r="BH362" s="144" t="e">
        <f>IF(AND($I$343=1,$C$343=0),$N$343+$H$343/$Z$337*$M$28,NA())</f>
        <v>#N/A</v>
      </c>
      <c r="BI362" s="144">
        <f>IF($I$344=1,$M$344+$H$344/$Z$337*$L$28,NA())</f>
        <v>0.854615386653233</v>
      </c>
      <c r="BJ362" s="144" t="e">
        <f>IF($S$344=1,$N$344+$H$344/$Z$337*$M$28,NA())</f>
        <v>#N/A</v>
      </c>
      <c r="BK362" s="144">
        <f>IF(AND($I$344=1,$C$344=1,$S$344=0),$N$344+$H$344/$Z$337*$M$28,NA())</f>
        <v>0.166872486419687</v>
      </c>
      <c r="BL362" s="144" t="e">
        <f>IF(AND($I$344=1,$C$344=0),$N$344+$H$344/$Z$337*$M$28,NA())</f>
        <v>#N/A</v>
      </c>
      <c r="BM362" s="144">
        <f>IF($I$345=1,$M$345+$H$345/$Z$337*$L$28,NA())</f>
        <v>0.343172850975515</v>
      </c>
      <c r="BN362" s="144">
        <f>IF($S$345=1,$N$345+$H$345/$Z$337*$M$28,NA())</f>
        <v>0.181497523522122</v>
      </c>
      <c r="BO362" s="144" t="e">
        <f>IF(AND($I$345=1,$C$345=1,$S$345=0),$N$345+$H$345/$Z$337*$M$28,NA())</f>
        <v>#N/A</v>
      </c>
      <c r="BP362" s="144" t="e">
        <f>IF(AND($I$345=1,$C$345=0),$N$345+$H$345/$Z$337*$M$28,NA())</f>
        <v>#N/A</v>
      </c>
    </row>
    <row r="363">
      <c r="AN363" s="146">
        <v>24</v>
      </c>
      <c r="AO363" s="144" t="e">
        <f>IF($I$339=1,$M$339+$H$339/$Z$337*$L$29,NA())</f>
        <v>#N/A</v>
      </c>
      <c r="AP363" s="144" t="e">
        <f>IF($S$339=1,$N$339+$H$339/$Z$337*$M$29,NA())</f>
        <v>#N/A</v>
      </c>
      <c r="AQ363" s="144" t="e">
        <f>IF(AND($I$339=1,$C$339=1,$S$339=0),$N$339+$H$339/$Z$337*$M$29,NA())</f>
        <v>#N/A</v>
      </c>
      <c r="AR363" s="144" t="e">
        <f>IF(AND($I$339=1,$C$339=0),$N$339+$H$339/$Z$337*$M$29,NA())</f>
        <v>#N/A</v>
      </c>
      <c r="AS363" s="144" t="e">
        <f>IF($I$340=1,$M$340+$H$340/$Z$337*$L$29,NA())</f>
        <v>#N/A</v>
      </c>
      <c r="AT363" s="144" t="e">
        <f>IF($S$340=1,$N$340+$H$340/$Z$337*$M$29,NA())</f>
        <v>#N/A</v>
      </c>
      <c r="AU363" s="144" t="e">
        <f>IF(AND($I$340=1,$C$340=1,$S$340=0),$N$340+$H$340/$Z$337*$M$29,NA())</f>
        <v>#N/A</v>
      </c>
      <c r="AV363" s="144" t="e">
        <f>IF(AND($I$340=1,$C$340=0),$N$340+$H$340/$Z$337*$M$29,NA())</f>
        <v>#N/A</v>
      </c>
      <c r="AW363" s="144">
        <f>IF($I$341=1,$M$341+$H$341/$Z$337*$L$29,NA())</f>
        <v>0.559681007778083</v>
      </c>
      <c r="AX363" s="144">
        <f>IF($S$341=1,$N$341+$H$341/$Z$337*$M$29,NA())</f>
        <v>-0.0283091172831217</v>
      </c>
      <c r="AY363" s="144" t="e">
        <f>IF(AND($I$341=1,$C$341=1,$S$341=0),$N$341+$H$341/$Z$337*$M$29,NA())</f>
        <v>#N/A</v>
      </c>
      <c r="AZ363" s="144" t="e">
        <f>IF(AND($I$341=1,$C$341=0),$N$341+$H$341/$Z$337*$M$29,NA())</f>
        <v>#N/A</v>
      </c>
      <c r="BA363" s="144" t="e">
        <f>IF($I$342=1,$M$342+$H$342/$Z$337*$L$29,NA())</f>
        <v>#N/A</v>
      </c>
      <c r="BB363" s="144" t="e">
        <f>IF($S$342=1,$N$342+$H$342/$Z$337*$M$29,NA())</f>
        <v>#N/A</v>
      </c>
      <c r="BC363" s="144" t="e">
        <f>IF(AND($I$342=1,$C$342=1,$S$342=0),$N$342+$H$342/$Z$337*$M$29,NA())</f>
        <v>#N/A</v>
      </c>
      <c r="BD363" s="144" t="e">
        <f>IF(AND($I$342=1,$C$342=0),$N$342+$H$342/$Z$337*$M$29,NA())</f>
        <v>#N/A</v>
      </c>
      <c r="BE363" s="144" t="e">
        <f>IF($I$343=1,$M$343+$H$343/$Z$337*$L$29,NA())</f>
        <v>#N/A</v>
      </c>
      <c r="BF363" s="144" t="e">
        <f>IF($S$343=1,$N$343+$H$343/$Z$337*$M$29,NA())</f>
        <v>#N/A</v>
      </c>
      <c r="BG363" s="144" t="e">
        <f>IF(AND($I$343=1,$C$343=1,$S$343=0),$N$343+$H$343/$Z$337*$M$29,NA())</f>
        <v>#N/A</v>
      </c>
      <c r="BH363" s="144" t="e">
        <f>IF(AND($I$343=1,$C$343=0),$N$343+$H$343/$Z$337*$M$29,NA())</f>
        <v>#N/A</v>
      </c>
      <c r="BI363" s="144">
        <f>IF($I$344=1,$M$344+$H$344/$Z$337*$L$29,NA())</f>
        <v>0.869565217391304</v>
      </c>
      <c r="BJ363" s="144" t="e">
        <f>IF($S$344=1,$N$344+$H$344/$Z$337*$M$29,NA())</f>
        <v>#N/A</v>
      </c>
      <c r="BK363" s="144">
        <f>IF(AND($I$344=1,$C$344=1,$S$344=0),$N$344+$H$344/$Z$337*$M$29,NA())</f>
        <v>0.280427724732935</v>
      </c>
      <c r="BL363" s="144" t="e">
        <f>IF(AND($I$344=1,$C$344=0),$N$344+$H$344/$Z$337*$M$29,NA())</f>
        <v>#N/A</v>
      </c>
      <c r="BM363" s="144">
        <f>IF($I$345=1,$M$345+$H$345/$Z$337*$L$29,NA())</f>
        <v>0.358944805827892</v>
      </c>
      <c r="BN363" s="144">
        <f>IF($S$345=1,$N$345+$H$345/$Z$337*$M$29,NA())</f>
        <v>0.301297414457781</v>
      </c>
      <c r="BO363" s="144" t="e">
        <f>IF(AND($I$345=1,$C$345=1,$S$345=0),$N$345+$H$345/$Z$337*$M$29,NA())</f>
        <v>#N/A</v>
      </c>
      <c r="BP363" s="144" t="e">
        <f>IF(AND($I$345=1,$C$345=0),$N$345+$H$345/$Z$337*$M$29,NA())</f>
        <v>#N/A</v>
      </c>
    </row>
    <row r="364"/>
    <row r="365">
      <c r="A365" s="59" t="inlineStr">
        <is>
          <t xml:space="preserve">Iteration 3 · diagram on “Hyperspheres (Iterations)” — centre = the selected Sᵢ; every own-class object carries its enemy sphere (radius r(Sⱼ)) around its own position</t>
        </is>
      </c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  <c r="AF365" s="59"/>
      <c r="AG365" s="59"/>
      <c r="AH365" s="59"/>
      <c r="AI365" s="59"/>
      <c r="AJ365" s="59"/>
      <c r="AK365" s="59"/>
      <c r="AL365" s="59"/>
      <c r="AM365" s="59"/>
      <c r="AN365" s="59"/>
      <c r="AO365" s="59"/>
      <c r="AP365" s="59"/>
      <c r="AQ365" s="59"/>
      <c r="AR365" s="59"/>
      <c r="AS365" s="59"/>
      <c r="AT365" s="59"/>
      <c r="AU365" s="59"/>
      <c r="AV365" s="59"/>
      <c r="AW365" s="59"/>
      <c r="AX365" s="59"/>
      <c r="AY365" s="59"/>
      <c r="AZ365" s="59"/>
      <c r="BA365" s="59"/>
      <c r="BB365" s="59"/>
      <c r="BC365" s="59"/>
      <c r="BD365" s="59"/>
      <c r="BE365" s="59"/>
      <c r="BF365" s="59"/>
      <c r="BG365" s="59"/>
      <c r="BH365" s="59"/>
      <c r="BI365" s="59"/>
      <c r="BJ365" s="59"/>
      <c r="BK365" s="59"/>
      <c r="BL365" s="59"/>
      <c r="BM365" s="59"/>
      <c r="BN365" s="59"/>
      <c r="BO365" s="59"/>
      <c r="BP365" s="59"/>
    </row>
    <row r="366">
      <c r="A366" s="63" t="inlineStr">
        <is>
          <t xml:space="preserve">Chart title</t>
        </is>
      </c>
      <c r="B366" s="145" t="str">
        <f>IF($Q$366=0,"Iteration 3  ·  queue empty → Step 6 (stop)","Iteration 3  ·  Sᵢ = "&amp;'ERDR Iterations'!$K$62&amp;"  ·  L = "&amp;'ERDR Iterations'!$K$65&amp;"  ·  "&amp;'ERDR Iterations'!$K$67)</f>
        <v>Iteration 3  ·  Sᵢ = S₅  ·  L = {S₁, S₂, S₅}  ·  |L| &gt; 1 → Step 5 corrects g</v>
      </c>
      <c r="P366" s="63" t="inlineStr">
        <is>
          <t xml:space="preserve">Selected</t>
        </is>
      </c>
      <c r="Q366" s="146">
        <f>'ERDR Iterations'!$K$61</f>
        <v>5</v>
      </c>
      <c r="S366" s="63" t="inlineStr">
        <is>
          <t xml:space="preserve">Box centre x</t>
        </is>
      </c>
      <c r="T366" s="144">
        <f>IF($Q$366=0,0,(MIN(O368:O374)+MAX(P368:P374))/2)</f>
        <v>1.12580410485408</v>
      </c>
      <c r="V366" s="63" t="inlineStr">
        <is>
          <t xml:space="preserve">Box centre y</t>
        </is>
      </c>
      <c r="W366" s="144">
        <f>IF($Q$366=0,0,(MIN(Q368:Q374)+MAX(R368:R374))/2)</f>
        <v>1.445167313925</v>
      </c>
      <c r="Y366" s="63" t="inlineStr">
        <is>
          <t xml:space="preserve">Half side</t>
        </is>
      </c>
      <c r="Z366" s="144">
        <f>IF($Q$366=0,1,$B$8*MAX(MAX(P368:P374)-MIN(O368:O374),MAX(R368:R374)-MIN(Q368:Q374))/2)</f>
        <v>13.375031373569</v>
      </c>
    </row>
    <row r="367" ht="44" customHeight="1">
      <c r="A367" s="147" t="inlineStr">
        <is>
          <t xml:space="preserve">Sⱼ</t>
        </is>
      </c>
      <c r="B367" s="147" t="inlineStr">
        <is>
          <t xml:space="preserve">Class</t>
        </is>
      </c>
      <c r="C367" s="147" t="inlineStr">
        <is>
          <t xml:space="preserve">In F before</t>
        </is>
      </c>
      <c r="D367" s="147" t="inlineStr">
        <is>
          <t xml:space="preserve">Own class of Sᵢ</t>
        </is>
      </c>
      <c r="E367" s="147" t="inlineStr">
        <is>
          <t xml:space="preserve">Centre (= Sᵢ)</t>
        </is>
      </c>
      <c r="F367" s="147" t="inlineStr">
        <is>
          <t xml:space="preserve">Rank around Sᵢ</t>
        </is>
      </c>
      <c r="G367" s="147" t="inlineStr">
        <is>
          <t xml:space="preserve">ρ(Sⱼ, Sᵢ)</t>
        </is>
      </c>
      <c r="H367" s="147" t="inlineStr">
        <is>
          <t xml:space="preserve">r(Sⱼ)</t>
        </is>
      </c>
      <c r="I367" s="147" t="inlineStr">
        <is>
          <t xml:space="preserve">Own-class sphere drawn</t>
        </is>
      </c>
      <c r="J367" s="147" t="inlineStr">
        <is>
          <t xml:space="preserve">Angle θ</t>
        </is>
      </c>
      <c r="K367" s="147" t="inlineStr">
        <is>
          <t xml:space="preserve">px = ρ·cos θ</t>
        </is>
      </c>
      <c r="L367" s="147" t="inlineStr">
        <is>
          <t xml:space="preserve">py = ρ·sin θ</t>
        </is>
      </c>
      <c r="M367" s="147" t="inlineStr">
        <is>
          <t xml:space="preserve">x (fitted)</t>
        </is>
      </c>
      <c r="N367" s="147" t="inlineStr">
        <is>
          <t xml:space="preserve">y (fitted)</t>
        </is>
      </c>
      <c r="O367" s="147" t="inlineStr">
        <is>
          <t xml:space="preserve">Box x min</t>
        </is>
      </c>
      <c r="P367" s="147" t="inlineStr">
        <is>
          <t xml:space="preserve">Box x max</t>
        </is>
      </c>
      <c r="Q367" s="147" t="inlineStr">
        <is>
          <t xml:space="preserve">Box y min</t>
        </is>
      </c>
      <c r="R367" s="147" t="inlineStr">
        <is>
          <t xml:space="preserve">Box y max</t>
        </is>
      </c>
      <c r="S367" s="147" t="inlineStr">
        <is>
          <t xml:space="preserve">Sⱼ ∈ L</t>
        </is>
      </c>
      <c r="T367" s="147" t="inlineStr">
        <is>
          <t xml:space="preserve">g before</t>
        </is>
      </c>
      <c r="U367" s="147" t="inlineStr">
        <is>
          <t xml:space="preserve">g after</t>
        </is>
      </c>
      <c r="V367" s="147" t="inlineStr">
        <is>
          <t xml:space="preserve">Counter decreased</t>
        </is>
      </c>
      <c r="W367" s="147" t="inlineStr">
        <is>
          <t xml:space="preserve">Moves to D</t>
        </is>
      </c>
      <c r="X367" s="147" t="inlineStr">
        <is>
          <t xml:space="preserve">K1 in F · x</t>
        </is>
      </c>
      <c r="Y367" s="147" t="inlineStr">
        <is>
          <t xml:space="preserve">y</t>
        </is>
      </c>
      <c r="Z367" s="147" t="inlineStr">
        <is>
          <t xml:space="preserve">K1 in D · x</t>
        </is>
      </c>
      <c r="AA367" s="147" t="inlineStr">
        <is>
          <t xml:space="preserve">y</t>
        </is>
      </c>
      <c r="AB367" s="147" t="inlineStr">
        <is>
          <t xml:space="preserve">K2 in F · x</t>
        </is>
      </c>
      <c r="AC367" s="147" t="inlineStr">
        <is>
          <t xml:space="preserve">y</t>
        </is>
      </c>
      <c r="AD367" s="147" t="inlineStr">
        <is>
          <t xml:space="preserve">K2 in D · x</t>
        </is>
      </c>
      <c r="AE367" s="147" t="inlineStr">
        <is>
          <t xml:space="preserve">y</t>
        </is>
      </c>
      <c r="AF367" s="147" t="inlineStr">
        <is>
          <t xml:space="preserve">Centre K1 · x</t>
        </is>
      </c>
      <c r="AG367" s="147" t="inlineStr">
        <is>
          <t xml:space="preserve">y</t>
        </is>
      </c>
      <c r="AH367" s="147" t="inlineStr">
        <is>
          <t xml:space="preserve">Centre K2 · x</t>
        </is>
      </c>
      <c r="AI367" s="147" t="inlineStr">
        <is>
          <t xml:space="preserve">y</t>
        </is>
      </c>
      <c r="AJ367" s="147" t="inlineStr">
        <is>
          <t xml:space="preserve">Label text</t>
        </is>
      </c>
      <c r="AN367" s="147" t="inlineStr">
        <is>
          <t xml:space="preserve">k</t>
        </is>
      </c>
      <c r="AO367" s="147" t="inlineStr">
        <is>
          <t xml:space="preserve">S₁ sphere · x</t>
        </is>
      </c>
      <c r="AP367" s="147" t="inlineStr">
        <is>
          <t xml:space="preserve">y · in L</t>
        </is>
      </c>
      <c r="AQ367" s="147" t="inlineStr">
        <is>
          <t xml:space="preserve">y · in F, not in L</t>
        </is>
      </c>
      <c r="AR367" s="147" t="inlineStr">
        <is>
          <t xml:space="preserve">y · in D</t>
        </is>
      </c>
      <c r="AS367" s="147" t="inlineStr">
        <is>
          <t xml:space="preserve">S₂ sphere · x</t>
        </is>
      </c>
      <c r="AT367" s="147" t="inlineStr">
        <is>
          <t xml:space="preserve">y · in L</t>
        </is>
      </c>
      <c r="AU367" s="147" t="inlineStr">
        <is>
          <t xml:space="preserve">y · in F, not in L</t>
        </is>
      </c>
      <c r="AV367" s="147" t="inlineStr">
        <is>
          <t xml:space="preserve">y · in D</t>
        </is>
      </c>
      <c r="AW367" s="147" t="inlineStr">
        <is>
          <t xml:space="preserve">S₃ sphere · x</t>
        </is>
      </c>
      <c r="AX367" s="147" t="inlineStr">
        <is>
          <t xml:space="preserve">y · in L</t>
        </is>
      </c>
      <c r="AY367" s="147" t="inlineStr">
        <is>
          <t xml:space="preserve">y · in F, not in L</t>
        </is>
      </c>
      <c r="AZ367" s="147" t="inlineStr">
        <is>
          <t xml:space="preserve">y · in D</t>
        </is>
      </c>
      <c r="BA367" s="147" t="inlineStr">
        <is>
          <t xml:space="preserve">S₄ sphere · x</t>
        </is>
      </c>
      <c r="BB367" s="147" t="inlineStr">
        <is>
          <t xml:space="preserve">y · in L</t>
        </is>
      </c>
      <c r="BC367" s="147" t="inlineStr">
        <is>
          <t xml:space="preserve">y · in F, not in L</t>
        </is>
      </c>
      <c r="BD367" s="147" t="inlineStr">
        <is>
          <t xml:space="preserve">y · in D</t>
        </is>
      </c>
      <c r="BE367" s="147" t="inlineStr">
        <is>
          <t xml:space="preserve">S₅ sphere · x</t>
        </is>
      </c>
      <c r="BF367" s="147" t="inlineStr">
        <is>
          <t xml:space="preserve">y · in L</t>
        </is>
      </c>
      <c r="BG367" s="147" t="inlineStr">
        <is>
          <t xml:space="preserve">y · in F, not in L</t>
        </is>
      </c>
      <c r="BH367" s="147" t="inlineStr">
        <is>
          <t xml:space="preserve">y · in D</t>
        </is>
      </c>
      <c r="BI367" s="147" t="inlineStr">
        <is>
          <t xml:space="preserve">S₆ sphere · x</t>
        </is>
      </c>
      <c r="BJ367" s="147" t="inlineStr">
        <is>
          <t xml:space="preserve">y · in L</t>
        </is>
      </c>
      <c r="BK367" s="147" t="inlineStr">
        <is>
          <t xml:space="preserve">y · in F, not in L</t>
        </is>
      </c>
      <c r="BL367" s="147" t="inlineStr">
        <is>
          <t xml:space="preserve">y · in D</t>
        </is>
      </c>
      <c r="BM367" s="147" t="inlineStr">
        <is>
          <t xml:space="preserve">S₇ sphere · x</t>
        </is>
      </c>
      <c r="BN367" s="147" t="inlineStr">
        <is>
          <t xml:space="preserve">y · in L</t>
        </is>
      </c>
      <c r="BO367" s="147" t="inlineStr">
        <is>
          <t xml:space="preserve">y · in F, not in L</t>
        </is>
      </c>
      <c r="BP367" s="147" t="inlineStr">
        <is>
          <t xml:space="preserve">y · in D</t>
        </is>
      </c>
    </row>
    <row r="368">
      <c r="A368" s="62" t="inlineStr">
        <is>
          <t xml:space="preserve">S₁</t>
        </is>
      </c>
      <c r="B368" s="68">
        <f>'ERDR Iterations'!B$59</f>
        <v>2</v>
      </c>
      <c r="C368" s="146">
        <f>'ERDR Iterations'!B$60</f>
        <v>1</v>
      </c>
      <c r="D368" s="146">
        <f>'ERDR Iterations'!B$66</f>
        <v>1</v>
      </c>
      <c r="E368" s="146">
        <f>IF($Q$366=1,1,0)</f>
        <v>0</v>
      </c>
      <c r="F368" s="146">
        <f>IF(OR($Q$366=0,E368=1),0,INDEX('Sorted Neighbors'!$B$5:$H$11,$Q$366,1))</f>
        <v>1</v>
      </c>
      <c r="G368" s="144">
        <f>IF($Q$366=0,0,INDEX('Zhuravlev Distances'!$B$5:$H$11,$Q$366,1))</f>
        <v>4.8565209225</v>
      </c>
      <c r="H368" s="144">
        <f>'ERDR Characteristics'!$D$5</f>
        <v>5.60708061</v>
      </c>
      <c r="I368" s="146">
        <f>D368</f>
        <v>1</v>
      </c>
      <c r="J368" s="144">
        <f>IF(F368=0,0,PI()/2-(F368-1)*$B$6)</f>
        <v>1.5707963267949</v>
      </c>
      <c r="K368" s="144">
        <f>G368*COS(J368)</f>
        <v>2.97376140136589e-16</v>
      </c>
      <c r="L368" s="144">
        <f>G368*SIN(J368)</f>
        <v>4.8565209225</v>
      </c>
      <c r="M368" s="144">
        <f>IF($Q$366=0,NA(),(K368-$T$366)/$Z$366)</f>
        <v>-0.0841720720804312</v>
      </c>
      <c r="N368" s="144">
        <f>IF($Q$366=0,NA(),(L368-$W$366)/$Z$366)</f>
        <v>0.25505387713081</v>
      </c>
      <c r="O368" s="144">
        <f>K368-I368*H368</f>
        <v>-5.60708061</v>
      </c>
      <c r="P368" s="144">
        <f>K368+I368*H368</f>
        <v>5.60708061</v>
      </c>
      <c r="Q368" s="144">
        <f>L368-I368*H368</f>
        <v>-0.7505596875</v>
      </c>
      <c r="R368" s="144">
        <f>L368+I368*H368</f>
        <v>10.4636015325</v>
      </c>
      <c r="S368" s="146">
        <f>'ERDR Iterations'!B$72</f>
        <v>1</v>
      </c>
      <c r="T368" s="146">
        <f>'ERDR Iterations'!B$62</f>
        <v>2</v>
      </c>
      <c r="U368" s="146">
        <f>'ERDR Iterations'!B$75</f>
        <v>1</v>
      </c>
      <c r="V368" s="146">
        <f>'ERDR Iterations'!B$74</f>
        <v>1</v>
      </c>
      <c r="W368" s="146">
        <f>'ERDR Iterations'!B$77</f>
        <v>1</v>
      </c>
      <c r="X368" s="144" t="e">
        <f>IF(AND($Q$366&gt;0,E368=0,B368=1,C368=1),M368,NA())</f>
        <v>#N/A</v>
      </c>
      <c r="Y368" s="144" t="e">
        <f>IF(AND($Q$366&gt;0,E368=0,B368=1,C368=1),N368,NA())</f>
        <v>#N/A</v>
      </c>
      <c r="Z368" s="144" t="e">
        <f>IF(AND($Q$366&gt;0,E368=0,B368=1,C368=0),M368,NA())</f>
        <v>#N/A</v>
      </c>
      <c r="AA368" s="144" t="e">
        <f>IF(AND($Q$366&gt;0,E368=0,B368=1,C368=0),N368,NA())</f>
        <v>#N/A</v>
      </c>
      <c r="AB368" s="144">
        <f>IF(AND($Q$366&gt;0,E368=0,B368=2,C368=1),M368,NA())</f>
        <v>-0.0841720720804312</v>
      </c>
      <c r="AC368" s="144">
        <f>IF(AND($Q$366&gt;0,E368=0,B368=2,C368=1),N368,NA())</f>
        <v>0.25505387713081</v>
      </c>
      <c r="AD368" s="144" t="e">
        <f>IF(AND($Q$366&gt;0,E368=0,B368=2,C368=0),M368,NA())</f>
        <v>#N/A</v>
      </c>
      <c r="AE368" s="144" t="e">
        <f>IF(AND($Q$366&gt;0,E368=0,B368=2,C368=0),N368,NA())</f>
        <v>#N/A</v>
      </c>
      <c r="AF368" s="144" t="e">
        <f>IF(AND(E368=1,B368=1),M368,NA())</f>
        <v>#N/A</v>
      </c>
      <c r="AG368" s="144" t="e">
        <f>IF(AND(E368=1,B368=1),N368,NA())</f>
        <v>#N/A</v>
      </c>
      <c r="AH368" s="144" t="e">
        <f>IF(AND(E368=1,B368=2),M368,NA())</f>
        <v>#N/A</v>
      </c>
      <c r="AI368" s="144" t="e">
        <f>IF(AND(E368=1,B368=2),N368,NA())</f>
        <v>#N/A</v>
      </c>
      <c r="AJ368" s="145" t="str">
        <f>A368&amp;IF(E368=1," = Sᵢ",IF(C368=0," (in D)",""))&amp;IF(V368=1,"  ·  g "&amp;T368&amp;"→"&amp;U368,"")&amp;IF(W368=1,"  → D","")</f>
        <v>S₁  ·  g 2→1  → D</v>
      </c>
      <c r="AN368" s="146">
        <v>0</v>
      </c>
      <c r="AO368" s="144">
        <f>IF($I$368=1,$M$368+$H$368/$Z$366*$L$5,NA())</f>
        <v>0.335047924747419</v>
      </c>
      <c r="AP368" s="144">
        <f>IF($S$368=1,$N$368+$H$368/$Z$366*$M$5,NA())</f>
        <v>0.25505387713081</v>
      </c>
      <c r="AQ368" s="144" t="e">
        <f>IF(AND($I$368=1,$C$368=1,$S$368=0),$N$368+$H$368/$Z$366*$M$5,NA())</f>
        <v>#N/A</v>
      </c>
      <c r="AR368" s="144" t="e">
        <f>IF(AND($I$368=1,$C$368=0),$N$368+$H$368/$Z$366*$M$5,NA())</f>
        <v>#N/A</v>
      </c>
      <c r="AS368" s="144">
        <f>IF($I$369=1,$M$369+$H$369/$Z$366*$L$5,NA())</f>
        <v>0.869565217391304</v>
      </c>
      <c r="AT368" s="144">
        <f>IF($S$369=1,$N$369+$H$369/$Z$366*$M$5,NA())</f>
        <v>0.120140074418847</v>
      </c>
      <c r="AU368" s="144" t="e">
        <f>IF(AND($I$369=1,$C$369=1,$S$369=0),$N$369+$H$369/$Z$366*$M$5,NA())</f>
        <v>#N/A</v>
      </c>
      <c r="AV368" s="144" t="e">
        <f>IF(AND($I$369=1,$C$369=0),$N$369+$H$369/$Z$366*$M$5,NA())</f>
        <v>#N/A</v>
      </c>
      <c r="AW368" s="144" t="e">
        <f>IF($I$370=1,$M$370+$H$370/$Z$366*$L$5,NA())</f>
        <v>#N/A</v>
      </c>
      <c r="AX368" s="144" t="e">
        <f>IF($S$370=1,$N$370+$H$370/$Z$366*$M$5,NA())</f>
        <v>#N/A</v>
      </c>
      <c r="AY368" s="144" t="e">
        <f>IF(AND($I$370=1,$C$370=1,$S$370=0),$N$370+$H$370/$Z$366*$M$5,NA())</f>
        <v>#N/A</v>
      </c>
      <c r="AZ368" s="144" t="e">
        <f>IF(AND($I$370=1,$C$370=0),$N$370+$H$370/$Z$366*$M$5,NA())</f>
        <v>#N/A</v>
      </c>
      <c r="BA368" s="144">
        <f>IF($I$371=1,$M$371+$H$371/$Z$366*$L$5,NA())</f>
        <v>-0.315231003547769</v>
      </c>
      <c r="BB368" s="144" t="e">
        <f>IF($S$371=1,$N$371+$H$371/$Z$366*$M$5,NA())</f>
        <v>#N/A</v>
      </c>
      <c r="BC368" s="144">
        <f>IF(AND($I$371=1,$C$371=1,$S$371=0),$N$371+$H$371/$Z$366*$M$5,NA())</f>
        <v>-0.401474079252356</v>
      </c>
      <c r="BD368" s="144" t="e">
        <f>IF(AND($I$371=1,$C$371=0),$N$371+$H$371/$Z$366*$M$5,NA())</f>
        <v>#N/A</v>
      </c>
      <c r="BE368" s="144">
        <f>IF($I$372=1,$M$372+$H$372/$Z$366*$L$5,NA())</f>
        <v>0.447542869639537</v>
      </c>
      <c r="BF368" s="144">
        <f>IF($S$372=1,$N$372+$H$372/$Z$366*$M$5,NA())</f>
        <v>-0.108049639179229</v>
      </c>
      <c r="BG368" s="144" t="e">
        <f>IF(AND($I$372=1,$C$372=1,$S$372=0),$N$372+$H$372/$Z$366*$M$5,NA())</f>
        <v>#N/A</v>
      </c>
      <c r="BH368" s="144" t="e">
        <f>IF(AND($I$372=1,$C$372=0),$N$372+$H$372/$Z$366*$M$5,NA())</f>
        <v>#N/A</v>
      </c>
      <c r="BI368" s="144" t="e">
        <f>IF($I$373=1,$M$373+$H$373/$Z$366*$L$5,NA())</f>
        <v>#N/A</v>
      </c>
      <c r="BJ368" s="144" t="e">
        <f>IF($S$373=1,$N$373+$H$373/$Z$366*$M$5,NA())</f>
        <v>#N/A</v>
      </c>
      <c r="BK368" s="144" t="e">
        <f>IF(AND($I$373=1,$C$373=1,$S$373=0),$N$373+$H$373/$Z$366*$M$5,NA())</f>
        <v>#N/A</v>
      </c>
      <c r="BL368" s="144" t="e">
        <f>IF(AND($I$373=1,$C$373=0),$N$373+$H$373/$Z$366*$M$5,NA())</f>
        <v>#N/A</v>
      </c>
      <c r="BM368" s="144" t="e">
        <f>IF($I$374=1,$M$374+$H$374/$Z$366*$L$5,NA())</f>
        <v>#N/A</v>
      </c>
      <c r="BN368" s="144" t="e">
        <f>IF($S$374=1,$N$374+$H$374/$Z$366*$M$5,NA())</f>
        <v>#N/A</v>
      </c>
      <c r="BO368" s="144" t="e">
        <f>IF(AND($I$374=1,$C$374=1,$S$374=0),$N$374+$H$374/$Z$366*$M$5,NA())</f>
        <v>#N/A</v>
      </c>
      <c r="BP368" s="144" t="e">
        <f>IF(AND($I$374=1,$C$374=0),$N$374+$H$374/$Z$366*$M$5,NA())</f>
        <v>#N/A</v>
      </c>
    </row>
    <row r="369">
      <c r="A369" s="62" t="inlineStr">
        <is>
          <t xml:space="preserve">S₂</t>
        </is>
      </c>
      <c r="B369" s="68">
        <f>'ERDR Iterations'!C$59</f>
        <v>2</v>
      </c>
      <c r="C369" s="146">
        <f>'ERDR Iterations'!C$60</f>
        <v>1</v>
      </c>
      <c r="D369" s="146">
        <f>'ERDR Iterations'!C$66</f>
        <v>1</v>
      </c>
      <c r="E369" s="146">
        <f>IF($Q$366=2,1,0)</f>
        <v>0</v>
      </c>
      <c r="F369" s="146">
        <f>IF(OR($Q$366=0,E369=1),0,INDEX('Sorted Neighbors'!$B$5:$H$11,$Q$366,2))</f>
        <v>2</v>
      </c>
      <c r="G369" s="144">
        <f>IF($Q$366=0,0,INDEX('Zhuravlev Distances'!$B$5:$H$11,$Q$366,2))</f>
        <v>6.104089157</v>
      </c>
      <c r="H369" s="144">
        <f>'ERDR Characteristics'!$D$6</f>
        <v>7.4699698919</v>
      </c>
      <c r="I369" s="146">
        <f>D369</f>
        <v>1</v>
      </c>
      <c r="J369" s="144">
        <f>IF(F369=0,0,PI()/2-(F369-1)*$B$6)</f>
        <v>0.523598775598299</v>
      </c>
      <c r="K369" s="144">
        <f>G369*COS(J369)</f>
        <v>5.28629627692714</v>
      </c>
      <c r="L369" s="144">
        <f>G369*SIN(J369)</f>
        <v>3.0520445785</v>
      </c>
      <c r="M369" s="144">
        <f>IF($Q$366=0,NA(),(K369-$T$366)/$Z$366)</f>
        <v>0.311064105636028</v>
      </c>
      <c r="N369" s="144">
        <f>IF($Q$366=0,NA(),(L369-$W$366)/$Z$366)</f>
        <v>0.120140074418847</v>
      </c>
      <c r="O369" s="144">
        <f>K369-I369*H369</f>
        <v>-2.18367361497286</v>
      </c>
      <c r="P369" s="144">
        <f>K369+I369*H369</f>
        <v>12.7562661688271</v>
      </c>
      <c r="Q369" s="144">
        <f>L369-I369*H369</f>
        <v>-4.4179253134</v>
      </c>
      <c r="R369" s="144">
        <f>L369+I369*H369</f>
        <v>10.5220144704</v>
      </c>
      <c r="S369" s="146">
        <f>'ERDR Iterations'!C$72</f>
        <v>1</v>
      </c>
      <c r="T369" s="146">
        <f>'ERDR Iterations'!C$62</f>
        <v>3</v>
      </c>
      <c r="U369" s="146">
        <f>'ERDR Iterations'!C$75</f>
        <v>2</v>
      </c>
      <c r="V369" s="146">
        <f>'ERDR Iterations'!C$74</f>
        <v>1</v>
      </c>
      <c r="W369" s="146">
        <f>'ERDR Iterations'!C$77</f>
        <v>0</v>
      </c>
      <c r="X369" s="144" t="e">
        <f>IF(AND($Q$366&gt;0,E369=0,B369=1,C369=1),M369,NA())</f>
        <v>#N/A</v>
      </c>
      <c r="Y369" s="144" t="e">
        <f>IF(AND($Q$366&gt;0,E369=0,B369=1,C369=1),N369,NA())</f>
        <v>#N/A</v>
      </c>
      <c r="Z369" s="144" t="e">
        <f>IF(AND($Q$366&gt;0,E369=0,B369=1,C369=0),M369,NA())</f>
        <v>#N/A</v>
      </c>
      <c r="AA369" s="144" t="e">
        <f>IF(AND($Q$366&gt;0,E369=0,B369=1,C369=0),N369,NA())</f>
        <v>#N/A</v>
      </c>
      <c r="AB369" s="144">
        <f>IF(AND($Q$366&gt;0,E369=0,B369=2,C369=1),M369,NA())</f>
        <v>0.311064105636028</v>
      </c>
      <c r="AC369" s="144">
        <f>IF(AND($Q$366&gt;0,E369=0,B369=2,C369=1),N369,NA())</f>
        <v>0.120140074418847</v>
      </c>
      <c r="AD369" s="144" t="e">
        <f>IF(AND($Q$366&gt;0,E369=0,B369=2,C369=0),M369,NA())</f>
        <v>#N/A</v>
      </c>
      <c r="AE369" s="144" t="e">
        <f>IF(AND($Q$366&gt;0,E369=0,B369=2,C369=0),N369,NA())</f>
        <v>#N/A</v>
      </c>
      <c r="AF369" s="144" t="e">
        <f>IF(AND(E369=1,B369=1),M369,NA())</f>
        <v>#N/A</v>
      </c>
      <c r="AG369" s="144" t="e">
        <f>IF(AND(E369=1,B369=1),N369,NA())</f>
        <v>#N/A</v>
      </c>
      <c r="AH369" s="144" t="e">
        <f>IF(AND(E369=1,B369=2),M369,NA())</f>
        <v>#N/A</v>
      </c>
      <c r="AI369" s="144" t="e">
        <f>IF(AND(E369=1,B369=2),N369,NA())</f>
        <v>#N/A</v>
      </c>
      <c r="AJ369" s="145" t="str">
        <f>A369&amp;IF(E369=1," = Sᵢ",IF(C369=0," (in D)",""))&amp;IF(V369=1,"  ·  g "&amp;T369&amp;"→"&amp;U369,"")&amp;IF(W369=1,"  → D","")</f>
        <v>S₂  ·  g 3→2</v>
      </c>
      <c r="AN369" s="146">
        <v>1</v>
      </c>
      <c r="AO369" s="144">
        <f>IF($I$368=1,$M$368+$H$368/$Z$366*$L$6,NA())</f>
        <v>0.320763349752411</v>
      </c>
      <c r="AP369" s="144">
        <f>IF($S$368=1,$N$368+$H$368/$Z$366*$M$6,NA())</f>
        <v>0.363555996397676</v>
      </c>
      <c r="AQ369" s="144" t="e">
        <f>IF(AND($I$368=1,$C$368=1,$S$368=0),$N$368+$H$368/$Z$366*$M$6,NA())</f>
        <v>#N/A</v>
      </c>
      <c r="AR369" s="144" t="e">
        <f>IF(AND($I$368=1,$C$368=0),$N$368+$H$368/$Z$366*$M$6,NA())</f>
        <v>#N/A</v>
      </c>
      <c r="AS369" s="144">
        <f>IF($I$369=1,$M$369+$H$369/$Z$366*$L$6,NA())</f>
        <v>0.850534753491607</v>
      </c>
      <c r="AT369" s="144">
        <f>IF($S$369=1,$N$369+$H$369/$Z$366*$M$6,NA())</f>
        <v>0.264690798852044</v>
      </c>
      <c r="AU369" s="144" t="e">
        <f>IF(AND($I$369=1,$C$369=1,$S$369=0),$N$369+$H$369/$Z$366*$M$6,NA())</f>
        <v>#N/A</v>
      </c>
      <c r="AV369" s="144" t="e">
        <f>IF(AND($I$369=1,$C$369=0),$N$369+$H$369/$Z$366*$M$6,NA())</f>
        <v>#N/A</v>
      </c>
      <c r="AW369" s="144" t="e">
        <f>IF($I$370=1,$M$370+$H$370/$Z$366*$L$6,NA())</f>
        <v>#N/A</v>
      </c>
      <c r="AX369" s="144" t="e">
        <f>IF($S$370=1,$N$370+$H$370/$Z$366*$M$6,NA())</f>
        <v>#N/A</v>
      </c>
      <c r="AY369" s="144" t="e">
        <f>IF(AND($I$370=1,$C$370=1,$S$370=0),$N$370+$H$370/$Z$366*$M$6,NA())</f>
        <v>#N/A</v>
      </c>
      <c r="AZ369" s="144" t="e">
        <f>IF(AND($I$370=1,$C$370=0),$N$370+$H$370/$Z$366*$M$6,NA())</f>
        <v>#N/A</v>
      </c>
      <c r="BA369" s="144">
        <f>IF($I$371=1,$M$371+$H$371/$Z$366*$L$6,NA())</f>
        <v>-0.324675243695978</v>
      </c>
      <c r="BB369" s="144" t="e">
        <f>IF($S$371=1,$N$371+$H$371/$Z$366*$M$6,NA())</f>
        <v>#N/A</v>
      </c>
      <c r="BC369" s="144">
        <f>IF(AND($I$371=1,$C$371=1,$S$371=0),$N$371+$H$371/$Z$366*$M$6,NA())</f>
        <v>-0.329737953305036</v>
      </c>
      <c r="BD369" s="144" t="e">
        <f>IF(AND($I$371=1,$C$371=0),$N$371+$H$371/$Z$366*$M$6,NA())</f>
        <v>#N/A</v>
      </c>
      <c r="BE369" s="144">
        <f>IF($I$372=1,$M$372+$H$372/$Z$366*$L$6,NA())</f>
        <v>0.429425122350673</v>
      </c>
      <c r="BF369" s="144">
        <f>IF($S$372=1,$N$372+$H$372/$Z$366*$M$6,NA())</f>
        <v>0.0295683143034758</v>
      </c>
      <c r="BG369" s="144" t="e">
        <f>IF(AND($I$372=1,$C$372=1,$S$372=0),$N$372+$H$372/$Z$366*$M$6,NA())</f>
        <v>#N/A</v>
      </c>
      <c r="BH369" s="144" t="e">
        <f>IF(AND($I$372=1,$C$372=0),$N$372+$H$372/$Z$366*$M$6,NA())</f>
        <v>#N/A</v>
      </c>
      <c r="BI369" s="144" t="e">
        <f>IF($I$373=1,$M$373+$H$373/$Z$366*$L$6,NA())</f>
        <v>#N/A</v>
      </c>
      <c r="BJ369" s="144" t="e">
        <f>IF($S$373=1,$N$373+$H$373/$Z$366*$M$6,NA())</f>
        <v>#N/A</v>
      </c>
      <c r="BK369" s="144" t="e">
        <f>IF(AND($I$373=1,$C$373=1,$S$373=0),$N$373+$H$373/$Z$366*$M$6,NA())</f>
        <v>#N/A</v>
      </c>
      <c r="BL369" s="144" t="e">
        <f>IF(AND($I$373=1,$C$373=0),$N$373+$H$373/$Z$366*$M$6,NA())</f>
        <v>#N/A</v>
      </c>
      <c r="BM369" s="144" t="e">
        <f>IF($I$374=1,$M$374+$H$374/$Z$366*$L$6,NA())</f>
        <v>#N/A</v>
      </c>
      <c r="BN369" s="144" t="e">
        <f>IF($S$374=1,$N$374+$H$374/$Z$366*$M$6,NA())</f>
        <v>#N/A</v>
      </c>
      <c r="BO369" s="144" t="e">
        <f>IF(AND($I$374=1,$C$374=1,$S$374=0),$N$374+$H$374/$Z$366*$M$6,NA())</f>
        <v>#N/A</v>
      </c>
      <c r="BP369" s="144" t="e">
        <f>IF(AND($I$374=1,$C$374=0),$N$374+$H$374/$Z$366*$M$6,NA())</f>
        <v>#N/A</v>
      </c>
    </row>
    <row r="370">
      <c r="A370" s="62" t="inlineStr">
        <is>
          <t xml:space="preserve">S₃</t>
        </is>
      </c>
      <c r="B370" s="68">
        <f>'ERDR Iterations'!D$59</f>
        <v>1</v>
      </c>
      <c r="C370" s="146">
        <f>'ERDR Iterations'!D$60</f>
        <v>1</v>
      </c>
      <c r="D370" s="146">
        <f>'ERDR Iterations'!D$66</f>
        <v>0</v>
      </c>
      <c r="E370" s="146">
        <f>IF($Q$366=3,1,0)</f>
        <v>0</v>
      </c>
      <c r="F370" s="146">
        <f>IF(OR($Q$366=0,E370=1),0,INDEX('Sorted Neighbors'!$B$5:$H$11,$Q$366,3))</f>
        <v>4</v>
      </c>
      <c r="G370" s="144">
        <f>IF($Q$366=0,0,INDEX('Zhuravlev Distances'!$B$5:$H$11,$Q$366,3))</f>
        <v>7.3117496807</v>
      </c>
      <c r="H370" s="144">
        <f>'ERDR Characteristics'!$D$7</f>
        <v>5.60708061</v>
      </c>
      <c r="I370" s="146">
        <f>D370</f>
        <v>0</v>
      </c>
      <c r="J370" s="144">
        <f>IF(F370=0,0,PI()/2-(F370-1)*$B$6)</f>
        <v>-1.5707963267949</v>
      </c>
      <c r="K370" s="144">
        <f>G370*COS(J370)</f>
        <v>4.47715542131797e-16</v>
      </c>
      <c r="L370" s="144">
        <f>G370*SIN(J370)</f>
        <v>-7.3117496807</v>
      </c>
      <c r="M370" s="144">
        <f>IF($Q$366=0,NA(),(K370-$T$366)/$Z$366)</f>
        <v>-0.0841720720804311</v>
      </c>
      <c r="N370" s="144">
        <f>IF($Q$366=0,NA(),(L370-$W$366)/$Z$366)</f>
        <v>-0.654721230181929</v>
      </c>
      <c r="O370" s="144">
        <f>K370-I370*H370</f>
        <v>4.47715542131797e-16</v>
      </c>
      <c r="P370" s="144">
        <f>K370+I370*H370</f>
        <v>4.47715542131797e-16</v>
      </c>
      <c r="Q370" s="144">
        <f>L370-I370*H370</f>
        <v>-7.3117496807</v>
      </c>
      <c r="R370" s="144">
        <f>L370+I370*H370</f>
        <v>-7.3117496807</v>
      </c>
      <c r="S370" s="146">
        <f>'ERDR Iterations'!D$72</f>
        <v>0</v>
      </c>
      <c r="T370" s="146">
        <f>'ERDR Iterations'!D$62</f>
        <v>2</v>
      </c>
      <c r="U370" s="146">
        <f>'ERDR Iterations'!D$75</f>
        <v>2</v>
      </c>
      <c r="V370" s="146">
        <f>'ERDR Iterations'!D$74</f>
        <v>0</v>
      </c>
      <c r="W370" s="146">
        <f>'ERDR Iterations'!D$77</f>
        <v>0</v>
      </c>
      <c r="X370" s="144">
        <f>IF(AND($Q$366&gt;0,E370=0,B370=1,C370=1),M370,NA())</f>
        <v>-0.0841720720804311</v>
      </c>
      <c r="Y370" s="144">
        <f>IF(AND($Q$366&gt;0,E370=0,B370=1,C370=1),N370,NA())</f>
        <v>-0.654721230181929</v>
      </c>
      <c r="Z370" s="144" t="e">
        <f>IF(AND($Q$366&gt;0,E370=0,B370=1,C370=0),M370,NA())</f>
        <v>#N/A</v>
      </c>
      <c r="AA370" s="144" t="e">
        <f>IF(AND($Q$366&gt;0,E370=0,B370=1,C370=0),N370,NA())</f>
        <v>#N/A</v>
      </c>
      <c r="AB370" s="144" t="e">
        <f>IF(AND($Q$366&gt;0,E370=0,B370=2,C370=1),M370,NA())</f>
        <v>#N/A</v>
      </c>
      <c r="AC370" s="144" t="e">
        <f>IF(AND($Q$366&gt;0,E370=0,B370=2,C370=1),N370,NA())</f>
        <v>#N/A</v>
      </c>
      <c r="AD370" s="144" t="e">
        <f>IF(AND($Q$366&gt;0,E370=0,B370=2,C370=0),M370,NA())</f>
        <v>#N/A</v>
      </c>
      <c r="AE370" s="144" t="e">
        <f>IF(AND($Q$366&gt;0,E370=0,B370=2,C370=0),N370,NA())</f>
        <v>#N/A</v>
      </c>
      <c r="AF370" s="144" t="e">
        <f>IF(AND(E370=1,B370=1),M370,NA())</f>
        <v>#N/A</v>
      </c>
      <c r="AG370" s="144" t="e">
        <f>IF(AND(E370=1,B370=1),N370,NA())</f>
        <v>#N/A</v>
      </c>
      <c r="AH370" s="144" t="e">
        <f>IF(AND(E370=1,B370=2),M370,NA())</f>
        <v>#N/A</v>
      </c>
      <c r="AI370" s="144" t="e">
        <f>IF(AND(E370=1,B370=2),N370,NA())</f>
        <v>#N/A</v>
      </c>
      <c r="AJ370" s="145" t="str">
        <f>A370&amp;IF(E370=1," = Sᵢ",IF(C370=0," (in D)",""))&amp;IF(V370=1,"  ·  g "&amp;T370&amp;"→"&amp;U370,"")&amp;IF(W370=1,"  → D","")</f>
        <v>S₃</v>
      </c>
      <c r="AN370" s="146">
        <v>2</v>
      </c>
      <c r="AO370" s="144">
        <f>IF($I$368=1,$M$368+$H$368/$Z$366*$L$7,NA())</f>
        <v>0.278883094946919</v>
      </c>
      <c r="AP370" s="144">
        <f>IF($S$368=1,$N$368+$H$368/$Z$366*$M$7,NA())</f>
        <v>0.464663875544735</v>
      </c>
      <c r="AQ370" s="144" t="e">
        <f>IF(AND($I$368=1,$C$368=1,$S$368=0),$N$368+$H$368/$Z$366*$M$7,NA())</f>
        <v>#N/A</v>
      </c>
      <c r="AR370" s="144" t="e">
        <f>IF(AND($I$368=1,$C$368=0),$N$368+$H$368/$Z$366*$M$7,NA())</f>
        <v>#N/A</v>
      </c>
      <c r="AS370" s="144">
        <f>IF($I$369=1,$M$369+$H$369/$Z$366*$L$7,NA())</f>
        <v>0.794740256457949</v>
      </c>
      <c r="AT370" s="144">
        <f>IF($S$369=1,$N$369+$H$369/$Z$366*$M$7,NA())</f>
        <v>0.399390630296486</v>
      </c>
      <c r="AU370" s="144" t="e">
        <f>IF(AND($I$369=1,$C$369=1,$S$369=0),$N$369+$H$369/$Z$366*$M$7,NA())</f>
        <v>#N/A</v>
      </c>
      <c r="AV370" s="144" t="e">
        <f>IF(AND($I$369=1,$C$369=0),$N$369+$H$369/$Z$366*$M$7,NA())</f>
        <v>#N/A</v>
      </c>
      <c r="AW370" s="144" t="e">
        <f>IF($I$370=1,$M$370+$H$370/$Z$366*$L$7,NA())</f>
        <v>#N/A</v>
      </c>
      <c r="AX370" s="144" t="e">
        <f>IF($S$370=1,$N$370+$H$370/$Z$366*$M$7,NA())</f>
        <v>#N/A</v>
      </c>
      <c r="AY370" s="144" t="e">
        <f>IF(AND($I$370=1,$C$370=1,$S$370=0),$N$370+$H$370/$Z$366*$M$7,NA())</f>
        <v>#N/A</v>
      </c>
      <c r="AZ370" s="144" t="e">
        <f>IF(AND($I$370=1,$C$370=0),$N$370+$H$370/$Z$366*$M$7,NA())</f>
        <v>#N/A</v>
      </c>
      <c r="BA370" s="144">
        <f>IF($I$371=1,$M$371+$H$371/$Z$366*$L$7,NA())</f>
        <v>-0.352364354781848</v>
      </c>
      <c r="BB370" s="144" t="e">
        <f>IF($S$371=1,$N$371+$H$371/$Z$366*$M$7,NA())</f>
        <v>#N/A</v>
      </c>
      <c r="BC370" s="144">
        <f>IF(AND($I$371=1,$C$371=1,$S$371=0),$N$371+$H$371/$Z$366*$M$7,NA())</f>
        <v>-0.262890525791473</v>
      </c>
      <c r="BD370" s="144" t="e">
        <f>IF(AND($I$371=1,$C$371=0),$N$371+$H$371/$Z$366*$M$7,NA())</f>
        <v>#N/A</v>
      </c>
      <c r="BE370" s="144">
        <f>IF($I$372=1,$M$372+$H$372/$Z$366*$L$7,NA())</f>
        <v>0.376306575020824</v>
      </c>
      <c r="BF370" s="144">
        <f>IF($S$372=1,$N$372+$H$372/$Z$366*$M$7,NA())</f>
        <v>0.157807831680755</v>
      </c>
      <c r="BG370" s="144" t="e">
        <f>IF(AND($I$372=1,$C$372=1,$S$372=0),$N$372+$H$372/$Z$366*$M$7,NA())</f>
        <v>#N/A</v>
      </c>
      <c r="BH370" s="144" t="e">
        <f>IF(AND($I$372=1,$C$372=0),$N$372+$H$372/$Z$366*$M$7,NA())</f>
        <v>#N/A</v>
      </c>
      <c r="BI370" s="144" t="e">
        <f>IF($I$373=1,$M$373+$H$373/$Z$366*$L$7,NA())</f>
        <v>#N/A</v>
      </c>
      <c r="BJ370" s="144" t="e">
        <f>IF($S$373=1,$N$373+$H$373/$Z$366*$M$7,NA())</f>
        <v>#N/A</v>
      </c>
      <c r="BK370" s="144" t="e">
        <f>IF(AND($I$373=1,$C$373=1,$S$373=0),$N$373+$H$373/$Z$366*$M$7,NA())</f>
        <v>#N/A</v>
      </c>
      <c r="BL370" s="144" t="e">
        <f>IF(AND($I$373=1,$C$373=0),$N$373+$H$373/$Z$366*$M$7,NA())</f>
        <v>#N/A</v>
      </c>
      <c r="BM370" s="144" t="e">
        <f>IF($I$374=1,$M$374+$H$374/$Z$366*$L$7,NA())</f>
        <v>#N/A</v>
      </c>
      <c r="BN370" s="144" t="e">
        <f>IF($S$374=1,$N$374+$H$374/$Z$366*$M$7,NA())</f>
        <v>#N/A</v>
      </c>
      <c r="BO370" s="144" t="e">
        <f>IF(AND($I$374=1,$C$374=1,$S$374=0),$N$374+$H$374/$Z$366*$M$7,NA())</f>
        <v>#N/A</v>
      </c>
      <c r="BP370" s="144" t="e">
        <f>IF(AND($I$374=1,$C$374=0),$N$374+$H$374/$Z$366*$M$7,NA())</f>
        <v>#N/A</v>
      </c>
    </row>
    <row r="371">
      <c r="A371" s="62" t="inlineStr">
        <is>
          <t xml:space="preserve">S₄</t>
        </is>
      </c>
      <c r="B371" s="68">
        <f>'ERDR Iterations'!E$59</f>
        <v>2</v>
      </c>
      <c r="C371" s="146">
        <f>'ERDR Iterations'!E$60</f>
        <v>1</v>
      </c>
      <c r="D371" s="146">
        <f>'ERDR Iterations'!E$66</f>
        <v>1</v>
      </c>
      <c r="E371" s="146">
        <f>IF($Q$366=4,1,0)</f>
        <v>0</v>
      </c>
      <c r="F371" s="146">
        <f>IF(OR($Q$366=0,E371=1),0,INDEX('Sorted Neighbors'!$B$5:$H$11,$Q$366,4))</f>
        <v>5</v>
      </c>
      <c r="G371" s="144">
        <f>IF($Q$366=0,0,INDEX('Zhuravlev Distances'!$B$5:$H$11,$Q$366,4))</f>
        <v>7.8491221835</v>
      </c>
      <c r="H371" s="144">
        <f>'ERDR Characteristics'!$D$8</f>
        <v>3.7071187508</v>
      </c>
      <c r="I371" s="146">
        <f>D371</f>
        <v>1</v>
      </c>
      <c r="J371" s="144">
        <f>IF(F371=0,0,PI()/2-(F371-1)*$B$6)</f>
        <v>-2.61799387799149</v>
      </c>
      <c r="K371" s="144">
        <f>G371*COS(J371)</f>
        <v>-6.79753920831898</v>
      </c>
      <c r="L371" s="144">
        <f>G371*SIN(J371)</f>
        <v>-3.92456109175</v>
      </c>
      <c r="M371" s="144">
        <f>IF($Q$366=0,NA(),(K371-$T$366)/$Z$366)</f>
        <v>-0.592398110469537</v>
      </c>
      <c r="N371" s="144">
        <f>IF($Q$366=0,NA(),(L371-$W$366)/$Z$366)</f>
        <v>-0.401474079252356</v>
      </c>
      <c r="O371" s="144">
        <f>K371-I371*H371</f>
        <v>-10.504657959119</v>
      </c>
      <c r="P371" s="144">
        <f>K371+I371*H371</f>
        <v>-3.09042045751898</v>
      </c>
      <c r="Q371" s="144">
        <f>L371-I371*H371</f>
        <v>-7.63167984255</v>
      </c>
      <c r="R371" s="144">
        <f>L371+I371*H371</f>
        <v>-0.217442340950003</v>
      </c>
      <c r="S371" s="146">
        <f>'ERDR Iterations'!E$72</f>
        <v>0</v>
      </c>
      <c r="T371" s="146">
        <f>'ERDR Iterations'!E$62</f>
        <v>1</v>
      </c>
      <c r="U371" s="146">
        <f>'ERDR Iterations'!E$75</f>
        <v>1</v>
      </c>
      <c r="V371" s="146">
        <f>'ERDR Iterations'!E$74</f>
        <v>0</v>
      </c>
      <c r="W371" s="146">
        <f>'ERDR Iterations'!E$77</f>
        <v>0</v>
      </c>
      <c r="X371" s="144" t="e">
        <f>IF(AND($Q$366&gt;0,E371=0,B371=1,C371=1),M371,NA())</f>
        <v>#N/A</v>
      </c>
      <c r="Y371" s="144" t="e">
        <f>IF(AND($Q$366&gt;0,E371=0,B371=1,C371=1),N371,NA())</f>
        <v>#N/A</v>
      </c>
      <c r="Z371" s="144" t="e">
        <f>IF(AND($Q$366&gt;0,E371=0,B371=1,C371=0),M371,NA())</f>
        <v>#N/A</v>
      </c>
      <c r="AA371" s="144" t="e">
        <f>IF(AND($Q$366&gt;0,E371=0,B371=1,C371=0),N371,NA())</f>
        <v>#N/A</v>
      </c>
      <c r="AB371" s="144">
        <f>IF(AND($Q$366&gt;0,E371=0,B371=2,C371=1),M371,NA())</f>
        <v>-0.592398110469537</v>
      </c>
      <c r="AC371" s="144">
        <f>IF(AND($Q$366&gt;0,E371=0,B371=2,C371=1),N371,NA())</f>
        <v>-0.401474079252356</v>
      </c>
      <c r="AD371" s="144" t="e">
        <f>IF(AND($Q$366&gt;0,E371=0,B371=2,C371=0),M371,NA())</f>
        <v>#N/A</v>
      </c>
      <c r="AE371" s="144" t="e">
        <f>IF(AND($Q$366&gt;0,E371=0,B371=2,C371=0),N371,NA())</f>
        <v>#N/A</v>
      </c>
      <c r="AF371" s="144" t="e">
        <f>IF(AND(E371=1,B371=1),M371,NA())</f>
        <v>#N/A</v>
      </c>
      <c r="AG371" s="144" t="e">
        <f>IF(AND(E371=1,B371=1),N371,NA())</f>
        <v>#N/A</v>
      </c>
      <c r="AH371" s="144" t="e">
        <f>IF(AND(E371=1,B371=2),M371,NA())</f>
        <v>#N/A</v>
      </c>
      <c r="AI371" s="144" t="e">
        <f>IF(AND(E371=1,B371=2),N371,NA())</f>
        <v>#N/A</v>
      </c>
      <c r="AJ371" s="145" t="str">
        <f>A371&amp;IF(E371=1," = Sᵢ",IF(C371=0," (in D)",""))&amp;IF(V371=1,"  ·  g "&amp;T371&amp;"→"&amp;U371,"")&amp;IF(W371=1,"  → D","")</f>
        <v>S₄</v>
      </c>
      <c r="AN371" s="146">
        <v>3</v>
      </c>
      <c r="AO371" s="144">
        <f>IF($I$368=1,$M$368+$H$368/$Z$366*$L$8,NA())</f>
        <v>0.212261230485545</v>
      </c>
      <c r="AP371" s="144">
        <f>IF($S$368=1,$N$368+$H$368/$Z$366*$M$8,NA())</f>
        <v>0.551487179696786</v>
      </c>
      <c r="AQ371" s="144" t="e">
        <f>IF(AND($I$368=1,$C$368=1,$S$368=0),$N$368+$H$368/$Z$366*$M$8,NA())</f>
        <v>#N/A</v>
      </c>
      <c r="AR371" s="144" t="e">
        <f>IF(AND($I$368=1,$C$368=0),$N$368+$H$368/$Z$366*$M$8,NA())</f>
        <v>#N/A</v>
      </c>
      <c r="AS371" s="144">
        <f>IF($I$369=1,$M$369+$H$369/$Z$366*$L$8,NA())</f>
        <v>0.70598402905841</v>
      </c>
      <c r="AT371" s="144">
        <f>IF($S$369=1,$N$369+$H$369/$Z$366*$M$8,NA())</f>
        <v>0.515059997841229</v>
      </c>
      <c r="AU371" s="144" t="e">
        <f>IF(AND($I$369=1,$C$369=1,$S$369=0),$N$369+$H$369/$Z$366*$M$8,NA())</f>
        <v>#N/A</v>
      </c>
      <c r="AV371" s="144" t="e">
        <f>IF(AND($I$369=1,$C$369=0),$N$369+$H$369/$Z$366*$M$8,NA())</f>
        <v>#N/A</v>
      </c>
      <c r="AW371" s="144" t="e">
        <f>IF($I$370=1,$M$370+$H$370/$Z$366*$L$8,NA())</f>
        <v>#N/A</v>
      </c>
      <c r="AX371" s="144" t="e">
        <f>IF($S$370=1,$N$370+$H$370/$Z$366*$M$8,NA())</f>
        <v>#N/A</v>
      </c>
      <c r="AY371" s="144" t="e">
        <f>IF(AND($I$370=1,$C$370=1,$S$370=0),$N$370+$H$370/$Z$366*$M$8,NA())</f>
        <v>#N/A</v>
      </c>
      <c r="AZ371" s="144" t="e">
        <f>IF(AND($I$370=1,$C$370=0),$N$370+$H$370/$Z$366*$M$8,NA())</f>
        <v>#N/A</v>
      </c>
      <c r="BA371" s="144">
        <f>IF($I$371=1,$M$371+$H$371/$Z$366*$L$8,NA())</f>
        <v>-0.396411369643298</v>
      </c>
      <c r="BB371" s="144" t="e">
        <f>IF($S$371=1,$N$371+$H$371/$Z$366*$M$8,NA())</f>
        <v>#N/A</v>
      </c>
      <c r="BC371" s="144">
        <f>IF(AND($I$371=1,$C$371=1,$S$371=0),$N$371+$H$371/$Z$366*$M$8,NA())</f>
        <v>-0.205487338426118</v>
      </c>
      <c r="BD371" s="144" t="e">
        <f>IF(AND($I$371=1,$C$371=0),$N$371+$H$371/$Z$366*$M$8,NA())</f>
        <v>#N/A</v>
      </c>
      <c r="BE371" s="144">
        <f>IF($I$372=1,$M$372+$H$372/$Z$366*$L$8,NA())</f>
        <v>0.291807168867968</v>
      </c>
      <c r="BF371" s="144">
        <f>IF($S$372=1,$N$372+$H$372/$Z$366*$M$8,NA())</f>
        <v>0.267929601769171</v>
      </c>
      <c r="BG371" s="144" t="e">
        <f>IF(AND($I$372=1,$C$372=1,$S$372=0),$N$372+$H$372/$Z$366*$M$8,NA())</f>
        <v>#N/A</v>
      </c>
      <c r="BH371" s="144" t="e">
        <f>IF(AND($I$372=1,$C$372=0),$N$372+$H$372/$Z$366*$M$8,NA())</f>
        <v>#N/A</v>
      </c>
      <c r="BI371" s="144" t="e">
        <f>IF($I$373=1,$M$373+$H$373/$Z$366*$L$8,NA())</f>
        <v>#N/A</v>
      </c>
      <c r="BJ371" s="144" t="e">
        <f>IF($S$373=1,$N$373+$H$373/$Z$366*$M$8,NA())</f>
        <v>#N/A</v>
      </c>
      <c r="BK371" s="144" t="e">
        <f>IF(AND($I$373=1,$C$373=1,$S$373=0),$N$373+$H$373/$Z$366*$M$8,NA())</f>
        <v>#N/A</v>
      </c>
      <c r="BL371" s="144" t="e">
        <f>IF(AND($I$373=1,$C$373=0),$N$373+$H$373/$Z$366*$M$8,NA())</f>
        <v>#N/A</v>
      </c>
      <c r="BM371" s="144" t="e">
        <f>IF($I$374=1,$M$374+$H$374/$Z$366*$L$8,NA())</f>
        <v>#N/A</v>
      </c>
      <c r="BN371" s="144" t="e">
        <f>IF($S$374=1,$N$374+$H$374/$Z$366*$M$8,NA())</f>
        <v>#N/A</v>
      </c>
      <c r="BO371" s="144" t="e">
        <f>IF(AND($I$374=1,$C$374=1,$S$374=0),$N$374+$H$374/$Z$366*$M$8,NA())</f>
        <v>#N/A</v>
      </c>
      <c r="BP371" s="144" t="e">
        <f>IF(AND($I$374=1,$C$374=0),$N$374+$H$374/$Z$366*$M$8,NA())</f>
        <v>#N/A</v>
      </c>
    </row>
    <row r="372">
      <c r="A372" s="62" t="inlineStr">
        <is>
          <t xml:space="preserve">S₅</t>
        </is>
      </c>
      <c r="B372" s="68">
        <f>'ERDR Iterations'!F$59</f>
        <v>2</v>
      </c>
      <c r="C372" s="146">
        <f>'ERDR Iterations'!F$60</f>
        <v>1</v>
      </c>
      <c r="D372" s="146">
        <f>'ERDR Iterations'!F$66</f>
        <v>1</v>
      </c>
      <c r="E372" s="146">
        <f>IF($Q$366=5,1,0)</f>
        <v>1</v>
      </c>
      <c r="F372" s="146">
        <f>IF(OR($Q$366=0,E372=1),0,INDEX('Sorted Neighbors'!$B$5:$H$11,$Q$366,5))</f>
        <v>0</v>
      </c>
      <c r="G372" s="144">
        <f>IF($Q$366=0,0,INDEX('Zhuravlev Distances'!$B$5:$H$11,$Q$366,5))</f>
        <v>0</v>
      </c>
      <c r="H372" s="144">
        <f>'ERDR Characteristics'!$D$9</f>
        <v>7.1117040273</v>
      </c>
      <c r="I372" s="146">
        <f>D372</f>
        <v>1</v>
      </c>
      <c r="J372" s="144">
        <f>IF(F372=0,0,PI()/2-(F372-1)*$B$6)</f>
        <v>0</v>
      </c>
      <c r="K372" s="144">
        <f>G372*COS(J372)</f>
        <v>0</v>
      </c>
      <c r="L372" s="144">
        <f>G372*SIN(J372)</f>
        <v>0</v>
      </c>
      <c r="M372" s="144">
        <f>IF($Q$366=0,NA(),(K372-$T$366)/$Z$366)</f>
        <v>-0.0841720720804312</v>
      </c>
      <c r="N372" s="144">
        <f>IF($Q$366=0,NA(),(L372-$W$366)/$Z$366)</f>
        <v>-0.108049639179229</v>
      </c>
      <c r="O372" s="144">
        <f>K372-I372*H372</f>
        <v>-7.1117040273</v>
      </c>
      <c r="P372" s="144">
        <f>K372+I372*H372</f>
        <v>7.1117040273</v>
      </c>
      <c r="Q372" s="144">
        <f>L372-I372*H372</f>
        <v>-7.1117040273</v>
      </c>
      <c r="R372" s="144">
        <f>L372+I372*H372</f>
        <v>7.1117040273</v>
      </c>
      <c r="S372" s="146">
        <f>'ERDR Iterations'!F$72</f>
        <v>1</v>
      </c>
      <c r="T372" s="146">
        <f>'ERDR Iterations'!F$62</f>
        <v>2</v>
      </c>
      <c r="U372" s="146">
        <f>'ERDR Iterations'!F$75</f>
        <v>1</v>
      </c>
      <c r="V372" s="146">
        <f>'ERDR Iterations'!F$74</f>
        <v>1</v>
      </c>
      <c r="W372" s="146">
        <f>'ERDR Iterations'!F$77</f>
        <v>1</v>
      </c>
      <c r="X372" s="144" t="e">
        <f>IF(AND($Q$366&gt;0,E372=0,B372=1,C372=1),M372,NA())</f>
        <v>#N/A</v>
      </c>
      <c r="Y372" s="144" t="e">
        <f>IF(AND($Q$366&gt;0,E372=0,B372=1,C372=1),N372,NA())</f>
        <v>#N/A</v>
      </c>
      <c r="Z372" s="144" t="e">
        <f>IF(AND($Q$366&gt;0,E372=0,B372=1,C372=0),M372,NA())</f>
        <v>#N/A</v>
      </c>
      <c r="AA372" s="144" t="e">
        <f>IF(AND($Q$366&gt;0,E372=0,B372=1,C372=0),N372,NA())</f>
        <v>#N/A</v>
      </c>
      <c r="AB372" s="144" t="e">
        <f>IF(AND($Q$366&gt;0,E372=0,B372=2,C372=1),M372,NA())</f>
        <v>#N/A</v>
      </c>
      <c r="AC372" s="144" t="e">
        <f>IF(AND($Q$366&gt;0,E372=0,B372=2,C372=1),N372,NA())</f>
        <v>#N/A</v>
      </c>
      <c r="AD372" s="144" t="e">
        <f>IF(AND($Q$366&gt;0,E372=0,B372=2,C372=0),M372,NA())</f>
        <v>#N/A</v>
      </c>
      <c r="AE372" s="144" t="e">
        <f>IF(AND($Q$366&gt;0,E372=0,B372=2,C372=0),N372,NA())</f>
        <v>#N/A</v>
      </c>
      <c r="AF372" s="144" t="e">
        <f>IF(AND(E372=1,B372=1),M372,NA())</f>
        <v>#N/A</v>
      </c>
      <c r="AG372" s="144" t="e">
        <f>IF(AND(E372=1,B372=1),N372,NA())</f>
        <v>#N/A</v>
      </c>
      <c r="AH372" s="144">
        <f>IF(AND(E372=1,B372=2),M372,NA())</f>
        <v>-0.0841720720804312</v>
      </c>
      <c r="AI372" s="144">
        <f>IF(AND(E372=1,B372=2),N372,NA())</f>
        <v>-0.108049639179229</v>
      </c>
      <c r="AJ372" s="145" t="str">
        <f>A372&amp;IF(E372=1," = Sᵢ",IF(C372=0," (in D)",""))&amp;IF(V372=1,"  ·  g "&amp;T372&amp;"→"&amp;U372,"")&amp;IF(W372=1,"  → D","")</f>
        <v>S₅ = Sᵢ  ·  g 2→1  → D</v>
      </c>
      <c r="AN372" s="146">
        <v>4</v>
      </c>
      <c r="AO372" s="144">
        <f>IF($I$368=1,$M$368+$H$368/$Z$366*$L$9,NA())</f>
        <v>0.125437926333494</v>
      </c>
      <c r="AP372" s="144">
        <f>IF($S$368=1,$N$368+$H$368/$Z$366*$M$9,NA())</f>
        <v>0.61810904415816</v>
      </c>
      <c r="AQ372" s="144" t="e">
        <f>IF(AND($I$368=1,$C$368=1,$S$368=0),$N$368+$H$368/$Z$366*$M$9,NA())</f>
        <v>#N/A</v>
      </c>
      <c r="AR372" s="144" t="e">
        <f>IF(AND($I$368=1,$C$368=0),$N$368+$H$368/$Z$366*$M$9,NA())</f>
        <v>#N/A</v>
      </c>
      <c r="AS372" s="144">
        <f>IF($I$369=1,$M$369+$H$369/$Z$366*$L$9,NA())</f>
        <v>0.590314661513666</v>
      </c>
      <c r="AT372" s="144">
        <f>IF($S$369=1,$N$369+$H$369/$Z$366*$M$9,NA())</f>
        <v>0.603816225240769</v>
      </c>
      <c r="AU372" s="144" t="e">
        <f>IF(AND($I$369=1,$C$369=1,$S$369=0),$N$369+$H$369/$Z$366*$M$9,NA())</f>
        <v>#N/A</v>
      </c>
      <c r="AV372" s="144" t="e">
        <f>IF(AND($I$369=1,$C$369=0),$N$369+$H$369/$Z$366*$M$9,NA())</f>
        <v>#N/A</v>
      </c>
      <c r="AW372" s="144" t="e">
        <f>IF($I$370=1,$M$370+$H$370/$Z$366*$L$9,NA())</f>
        <v>#N/A</v>
      </c>
      <c r="AX372" s="144" t="e">
        <f>IF($S$370=1,$N$370+$H$370/$Z$366*$M$9,NA())</f>
        <v>#N/A</v>
      </c>
      <c r="AY372" s="144" t="e">
        <f>IF(AND($I$370=1,$C$370=1,$S$370=0),$N$370+$H$370/$Z$366*$M$9,NA())</f>
        <v>#N/A</v>
      </c>
      <c r="AZ372" s="144" t="e">
        <f>IF(AND($I$370=1,$C$370=0),$N$370+$H$370/$Z$366*$M$9,NA())</f>
        <v>#N/A</v>
      </c>
      <c r="BA372" s="144">
        <f>IF($I$371=1,$M$371+$H$371/$Z$366*$L$9,NA())</f>
        <v>-0.453814557008653</v>
      </c>
      <c r="BB372" s="144" t="e">
        <f>IF($S$371=1,$N$371+$H$371/$Z$366*$M$9,NA())</f>
        <v>#N/A</v>
      </c>
      <c r="BC372" s="144">
        <f>IF(AND($I$371=1,$C$371=1,$S$371=0),$N$371+$H$371/$Z$366*$M$9,NA())</f>
        <v>-0.161440323564668</v>
      </c>
      <c r="BD372" s="144" t="e">
        <f>IF(AND($I$371=1,$C$371=0),$N$371+$H$371/$Z$366*$M$9,NA())</f>
        <v>#N/A</v>
      </c>
      <c r="BE372" s="144">
        <f>IF($I$372=1,$M$372+$H$372/$Z$366*$L$9,NA())</f>
        <v>0.181685398779553</v>
      </c>
      <c r="BF372" s="144">
        <f>IF($S$372=1,$N$372+$H$372/$Z$366*$M$9,NA())</f>
        <v>0.352429007922026</v>
      </c>
      <c r="BG372" s="144" t="e">
        <f>IF(AND($I$372=1,$C$372=1,$S$372=0),$N$372+$H$372/$Z$366*$M$9,NA())</f>
        <v>#N/A</v>
      </c>
      <c r="BH372" s="144" t="e">
        <f>IF(AND($I$372=1,$C$372=0),$N$372+$H$372/$Z$366*$M$9,NA())</f>
        <v>#N/A</v>
      </c>
      <c r="BI372" s="144" t="e">
        <f>IF($I$373=1,$M$373+$H$373/$Z$366*$L$9,NA())</f>
        <v>#N/A</v>
      </c>
      <c r="BJ372" s="144" t="e">
        <f>IF($S$373=1,$N$373+$H$373/$Z$366*$M$9,NA())</f>
        <v>#N/A</v>
      </c>
      <c r="BK372" s="144" t="e">
        <f>IF(AND($I$373=1,$C$373=1,$S$373=0),$N$373+$H$373/$Z$366*$M$9,NA())</f>
        <v>#N/A</v>
      </c>
      <c r="BL372" s="144" t="e">
        <f>IF(AND($I$373=1,$C$373=0),$N$373+$H$373/$Z$366*$M$9,NA())</f>
        <v>#N/A</v>
      </c>
      <c r="BM372" s="144" t="e">
        <f>IF($I$374=1,$M$374+$H$374/$Z$366*$L$9,NA())</f>
        <v>#N/A</v>
      </c>
      <c r="BN372" s="144" t="e">
        <f>IF($S$374=1,$N$374+$H$374/$Z$366*$M$9,NA())</f>
        <v>#N/A</v>
      </c>
      <c r="BO372" s="144" t="e">
        <f>IF(AND($I$374=1,$C$374=1,$S$374=0),$N$374+$H$374/$Z$366*$M$9,NA())</f>
        <v>#N/A</v>
      </c>
      <c r="BP372" s="144" t="e">
        <f>IF(AND($I$374=1,$C$374=0),$N$374+$H$374/$Z$366*$M$9,NA())</f>
        <v>#N/A</v>
      </c>
    </row>
    <row r="373">
      <c r="A373" s="62" t="inlineStr">
        <is>
          <t xml:space="preserve">S₆</t>
        </is>
      </c>
      <c r="B373" s="68">
        <f>'ERDR Iterations'!G$59</f>
        <v>1</v>
      </c>
      <c r="C373" s="146">
        <f>'ERDR Iterations'!G$60</f>
        <v>1</v>
      </c>
      <c r="D373" s="146">
        <f>'ERDR Iterations'!G$66</f>
        <v>0</v>
      </c>
      <c r="E373" s="146">
        <f>IF($Q$366=6,1,0)</f>
        <v>0</v>
      </c>
      <c r="F373" s="146">
        <f>IF(OR($Q$366=0,E373=1),0,INDEX('Sorted Neighbors'!$B$5:$H$11,$Q$366,6))</f>
        <v>6</v>
      </c>
      <c r="G373" s="144">
        <f>IF($Q$366=0,0,INDEX('Zhuravlev Distances'!$B$5:$H$11,$Q$366,6))</f>
        <v>9.0234774016</v>
      </c>
      <c r="H373" s="144">
        <f>'ERDR Characteristics'!$D$10</f>
        <v>3.7071187508</v>
      </c>
      <c r="I373" s="146">
        <f>D373</f>
        <v>0</v>
      </c>
      <c r="J373" s="144">
        <f>IF(F373=0,0,PI()/2-(F373-1)*$B$6)</f>
        <v>-3.66519142918809</v>
      </c>
      <c r="K373" s="144">
        <f>G373*COS(J373)</f>
        <v>-7.8145606602604</v>
      </c>
      <c r="L373" s="144">
        <f>G373*SIN(J373)</f>
        <v>4.51173870079999</v>
      </c>
      <c r="M373" s="144">
        <f>IF($Q$366=0,NA(),(K373-$T$366)/$Z$366)</f>
        <v>-0.668436919167302</v>
      </c>
      <c r="N373" s="144">
        <f>IF($Q$366=0,NA(),(L373-$W$366)/$Z$366)</f>
        <v>0.229275827564411</v>
      </c>
      <c r="O373" s="144">
        <f>K373-I373*H373</f>
        <v>-7.8145606602604</v>
      </c>
      <c r="P373" s="144">
        <f>K373+I373*H373</f>
        <v>-7.8145606602604</v>
      </c>
      <c r="Q373" s="144">
        <f>L373-I373*H373</f>
        <v>4.51173870079999</v>
      </c>
      <c r="R373" s="144">
        <f>L373+I373*H373</f>
        <v>4.51173870079999</v>
      </c>
      <c r="S373" s="146">
        <f>'ERDR Iterations'!G$72</f>
        <v>0</v>
      </c>
      <c r="T373" s="146">
        <f>'ERDR Iterations'!G$62</f>
        <v>1</v>
      </c>
      <c r="U373" s="146">
        <f>'ERDR Iterations'!G$75</f>
        <v>1</v>
      </c>
      <c r="V373" s="146">
        <f>'ERDR Iterations'!G$74</f>
        <v>0</v>
      </c>
      <c r="W373" s="146">
        <f>'ERDR Iterations'!G$77</f>
        <v>0</v>
      </c>
      <c r="X373" s="144">
        <f>IF(AND($Q$366&gt;0,E373=0,B373=1,C373=1),M373,NA())</f>
        <v>-0.668436919167302</v>
      </c>
      <c r="Y373" s="144">
        <f>IF(AND($Q$366&gt;0,E373=0,B373=1,C373=1),N373,NA())</f>
        <v>0.229275827564411</v>
      </c>
      <c r="Z373" s="144" t="e">
        <f>IF(AND($Q$366&gt;0,E373=0,B373=1,C373=0),M373,NA())</f>
        <v>#N/A</v>
      </c>
      <c r="AA373" s="144" t="e">
        <f>IF(AND($Q$366&gt;0,E373=0,B373=1,C373=0),N373,NA())</f>
        <v>#N/A</v>
      </c>
      <c r="AB373" s="144" t="e">
        <f>IF(AND($Q$366&gt;0,E373=0,B373=2,C373=1),M373,NA())</f>
        <v>#N/A</v>
      </c>
      <c r="AC373" s="144" t="e">
        <f>IF(AND($Q$366&gt;0,E373=0,B373=2,C373=1),N373,NA())</f>
        <v>#N/A</v>
      </c>
      <c r="AD373" s="144" t="e">
        <f>IF(AND($Q$366&gt;0,E373=0,B373=2,C373=0),M373,NA())</f>
        <v>#N/A</v>
      </c>
      <c r="AE373" s="144" t="e">
        <f>IF(AND($Q$366&gt;0,E373=0,B373=2,C373=0),N373,NA())</f>
        <v>#N/A</v>
      </c>
      <c r="AF373" s="144" t="e">
        <f>IF(AND(E373=1,B373=1),M373,NA())</f>
        <v>#N/A</v>
      </c>
      <c r="AG373" s="144" t="e">
        <f>IF(AND(E373=1,B373=1),N373,NA())</f>
        <v>#N/A</v>
      </c>
      <c r="AH373" s="144" t="e">
        <f>IF(AND(E373=1,B373=2),M373,NA())</f>
        <v>#N/A</v>
      </c>
      <c r="AI373" s="144" t="e">
        <f>IF(AND(E373=1,B373=2),N373,NA())</f>
        <v>#N/A</v>
      </c>
      <c r="AJ373" s="145" t="str">
        <f>A373&amp;IF(E373=1," = Sᵢ",IF(C373=0," (in D)",""))&amp;IF(V373=1,"  ·  g "&amp;T373&amp;"→"&amp;U373,"")&amp;IF(W373=1,"  → D","")</f>
        <v>S₆</v>
      </c>
      <c r="AN373" s="146">
        <v>5</v>
      </c>
      <c r="AO373" s="144">
        <f>IF($I$368=1,$M$368+$H$368/$Z$366*$L$10,NA())</f>
        <v>0.0243300471864348</v>
      </c>
      <c r="AP373" s="144">
        <f>IF($S$368=1,$N$368+$H$368/$Z$366*$M$10,NA())</f>
        <v>0.659989298963652</v>
      </c>
      <c r="AQ373" s="144" t="e">
        <f>IF(AND($I$368=1,$C$368=1,$S$368=0),$N$368+$H$368/$Z$366*$M$10,NA())</f>
        <v>#N/A</v>
      </c>
      <c r="AR373" s="144" t="e">
        <f>IF(AND($I$368=1,$C$368=0),$N$368+$H$368/$Z$366*$M$10,NA())</f>
        <v>#N/A</v>
      </c>
      <c r="AS373" s="144">
        <f>IF($I$369=1,$M$369+$H$369/$Z$366*$L$10,NA())</f>
        <v>0.455614830069225</v>
      </c>
      <c r="AT373" s="144">
        <f>IF($S$369=1,$N$369+$H$369/$Z$366*$M$10,NA())</f>
        <v>0.659610722274426</v>
      </c>
      <c r="AU373" s="144" t="e">
        <f>IF(AND($I$369=1,$C$369=1,$S$369=0),$N$369+$H$369/$Z$366*$M$10,NA())</f>
        <v>#N/A</v>
      </c>
      <c r="AV373" s="144" t="e">
        <f>IF(AND($I$369=1,$C$369=0),$N$369+$H$369/$Z$366*$M$10,NA())</f>
        <v>#N/A</v>
      </c>
      <c r="AW373" s="144" t="e">
        <f>IF($I$370=1,$M$370+$H$370/$Z$366*$L$10,NA())</f>
        <v>#N/A</v>
      </c>
      <c r="AX373" s="144" t="e">
        <f>IF($S$370=1,$N$370+$H$370/$Z$366*$M$10,NA())</f>
        <v>#N/A</v>
      </c>
      <c r="AY373" s="144" t="e">
        <f>IF(AND($I$370=1,$C$370=1,$S$370=0),$N$370+$H$370/$Z$366*$M$10,NA())</f>
        <v>#N/A</v>
      </c>
      <c r="AZ373" s="144" t="e">
        <f>IF(AND($I$370=1,$C$370=0),$N$370+$H$370/$Z$366*$M$10,NA())</f>
        <v>#N/A</v>
      </c>
      <c r="BA373" s="144">
        <f>IF($I$371=1,$M$371+$H$371/$Z$366*$L$10,NA())</f>
        <v>-0.520661984522217</v>
      </c>
      <c r="BB373" s="144" t="e">
        <f>IF($S$371=1,$N$371+$H$371/$Z$366*$M$10,NA())</f>
        <v>#N/A</v>
      </c>
      <c r="BC373" s="144">
        <f>IF(AND($I$371=1,$C$371=1,$S$371=0),$N$371+$H$371/$Z$366*$M$10,NA())</f>
        <v>-0.133751212478798</v>
      </c>
      <c r="BD373" s="144" t="e">
        <f>IF(AND($I$371=1,$C$371=0),$N$371+$H$371/$Z$366*$M$10,NA())</f>
        <v>#N/A</v>
      </c>
      <c r="BE373" s="144">
        <f>IF($I$372=1,$M$372+$H$372/$Z$366*$L$10,NA())</f>
        <v>0.0534458814022735</v>
      </c>
      <c r="BF373" s="144">
        <f>IF($S$372=1,$N$372+$H$372/$Z$366*$M$10,NA())</f>
        <v>0.405547555251875</v>
      </c>
      <c r="BG373" s="144" t="e">
        <f>IF(AND($I$372=1,$C$372=1,$S$372=0),$N$372+$H$372/$Z$366*$M$10,NA())</f>
        <v>#N/A</v>
      </c>
      <c r="BH373" s="144" t="e">
        <f>IF(AND($I$372=1,$C$372=0),$N$372+$H$372/$Z$366*$M$10,NA())</f>
        <v>#N/A</v>
      </c>
      <c r="BI373" s="144" t="e">
        <f>IF($I$373=1,$M$373+$H$373/$Z$366*$L$10,NA())</f>
        <v>#N/A</v>
      </c>
      <c r="BJ373" s="144" t="e">
        <f>IF($S$373=1,$N$373+$H$373/$Z$366*$M$10,NA())</f>
        <v>#N/A</v>
      </c>
      <c r="BK373" s="144" t="e">
        <f>IF(AND($I$373=1,$C$373=1,$S$373=0),$N$373+$H$373/$Z$366*$M$10,NA())</f>
        <v>#N/A</v>
      </c>
      <c r="BL373" s="144" t="e">
        <f>IF(AND($I$373=1,$C$373=0),$N$373+$H$373/$Z$366*$M$10,NA())</f>
        <v>#N/A</v>
      </c>
      <c r="BM373" s="144" t="e">
        <f>IF($I$374=1,$M$374+$H$374/$Z$366*$L$10,NA())</f>
        <v>#N/A</v>
      </c>
      <c r="BN373" s="144" t="e">
        <f>IF($S$374=1,$N$374+$H$374/$Z$366*$M$10,NA())</f>
        <v>#N/A</v>
      </c>
      <c r="BO373" s="144" t="e">
        <f>IF(AND($I$374=1,$C$374=1,$S$374=0),$N$374+$H$374/$Z$366*$M$10,NA())</f>
        <v>#N/A</v>
      </c>
      <c r="BP373" s="144" t="e">
        <f>IF(AND($I$374=1,$C$374=0),$N$374+$H$374/$Z$366*$M$10,NA())</f>
        <v>#N/A</v>
      </c>
    </row>
    <row r="374">
      <c r="A374" s="62" t="inlineStr">
        <is>
          <t xml:space="preserve">S₇</t>
        </is>
      </c>
      <c r="B374" s="68">
        <f>'ERDR Iterations'!H$59</f>
        <v>1</v>
      </c>
      <c r="C374" s="146">
        <f>'ERDR Iterations'!H$60</f>
        <v>0</v>
      </c>
      <c r="D374" s="146">
        <f>'ERDR Iterations'!H$66</f>
        <v>0</v>
      </c>
      <c r="E374" s="146">
        <f>IF($Q$366=7,1,0)</f>
        <v>0</v>
      </c>
      <c r="F374" s="146">
        <f>IF(OR($Q$366=0,E374=1),0,INDEX('Sorted Neighbors'!$B$5:$H$11,$Q$366,7))</f>
        <v>3</v>
      </c>
      <c r="G374" s="144">
        <f>IF($Q$366=0,0,INDEX('Zhuravlev Distances'!$B$5:$H$11,$Q$366,7))</f>
        <v>7.1117040273</v>
      </c>
      <c r="H374" s="144">
        <f>'ERDR Characteristics'!$D$11</f>
        <v>3.9109813746</v>
      </c>
      <c r="I374" s="146">
        <f>D374</f>
        <v>0</v>
      </c>
      <c r="J374" s="144">
        <f>IF(F374=0,0,PI()/2-(F374-1)*$B$6)</f>
        <v>-0.523598775598299</v>
      </c>
      <c r="K374" s="144">
        <f>G374*COS(J374)</f>
        <v>6.1589163518379</v>
      </c>
      <c r="L374" s="144">
        <f>G374*SIN(J374)</f>
        <v>-3.55585201365</v>
      </c>
      <c r="M374" s="144">
        <f>IF($Q$366=0,NA(),(K374-$T$366)/$Z$366)</f>
        <v>0.376306575020824</v>
      </c>
      <c r="N374" s="144">
        <f>IF($Q$366=0,NA(),(L374-$W$366)/$Z$366)</f>
        <v>-0.373907110039213</v>
      </c>
      <c r="O374" s="144">
        <f>K374-I374*H374</f>
        <v>6.1589163518379</v>
      </c>
      <c r="P374" s="144">
        <f>K374+I374*H374</f>
        <v>6.1589163518379</v>
      </c>
      <c r="Q374" s="144">
        <f>L374-I374*H374</f>
        <v>-3.55585201365</v>
      </c>
      <c r="R374" s="144">
        <f>L374+I374*H374</f>
        <v>-3.55585201365</v>
      </c>
      <c r="S374" s="146">
        <f>'ERDR Iterations'!H$72</f>
        <v>0</v>
      </c>
      <c r="T374" s="146">
        <f>'ERDR Iterations'!H$62</f>
        <v>1</v>
      </c>
      <c r="U374" s="146">
        <f>'ERDR Iterations'!H$75</f>
        <v>1</v>
      </c>
      <c r="V374" s="146">
        <f>'ERDR Iterations'!H$74</f>
        <v>0</v>
      </c>
      <c r="W374" s="146">
        <f>'ERDR Iterations'!H$77</f>
        <v>0</v>
      </c>
      <c r="X374" s="144" t="e">
        <f>IF(AND($Q$366&gt;0,E374=0,B374=1,C374=1),M374,NA())</f>
        <v>#N/A</v>
      </c>
      <c r="Y374" s="144" t="e">
        <f>IF(AND($Q$366&gt;0,E374=0,B374=1,C374=1),N374,NA())</f>
        <v>#N/A</v>
      </c>
      <c r="Z374" s="144">
        <f>IF(AND($Q$366&gt;0,E374=0,B374=1,C374=0),M374,NA())</f>
        <v>0.376306575020824</v>
      </c>
      <c r="AA374" s="144">
        <f>IF(AND($Q$366&gt;0,E374=0,B374=1,C374=0),N374,NA())</f>
        <v>-0.373907110039213</v>
      </c>
      <c r="AB374" s="144" t="e">
        <f>IF(AND($Q$366&gt;0,E374=0,B374=2,C374=1),M374,NA())</f>
        <v>#N/A</v>
      </c>
      <c r="AC374" s="144" t="e">
        <f>IF(AND($Q$366&gt;0,E374=0,B374=2,C374=1),N374,NA())</f>
        <v>#N/A</v>
      </c>
      <c r="AD374" s="144" t="e">
        <f>IF(AND($Q$366&gt;0,E374=0,B374=2,C374=0),M374,NA())</f>
        <v>#N/A</v>
      </c>
      <c r="AE374" s="144" t="e">
        <f>IF(AND($Q$366&gt;0,E374=0,B374=2,C374=0),N374,NA())</f>
        <v>#N/A</v>
      </c>
      <c r="AF374" s="144" t="e">
        <f>IF(AND(E374=1,B374=1),M374,NA())</f>
        <v>#N/A</v>
      </c>
      <c r="AG374" s="144" t="e">
        <f>IF(AND(E374=1,B374=1),N374,NA())</f>
        <v>#N/A</v>
      </c>
      <c r="AH374" s="144" t="e">
        <f>IF(AND(E374=1,B374=2),M374,NA())</f>
        <v>#N/A</v>
      </c>
      <c r="AI374" s="144" t="e">
        <f>IF(AND(E374=1,B374=2),N374,NA())</f>
        <v>#N/A</v>
      </c>
      <c r="AJ374" s="145" t="str">
        <f>A374&amp;IF(E374=1," = Sᵢ",IF(C374=0," (in D)",""))&amp;IF(V374=1,"  ·  g "&amp;T374&amp;"→"&amp;U374,"")&amp;IF(W374=1,"  → D","")</f>
        <v>S₇ (in D)</v>
      </c>
      <c r="AN374" s="146">
        <v>6</v>
      </c>
      <c r="AO374" s="144">
        <f>IF($I$368=1,$M$368+$H$368/$Z$366*$L$11,NA())</f>
        <v>-0.0841720720804311</v>
      </c>
      <c r="AP374" s="144">
        <f>IF($S$368=1,$N$368+$H$368/$Z$366*$M$11,NA())</f>
        <v>0.67427387395866</v>
      </c>
      <c r="AQ374" s="144" t="e">
        <f>IF(AND($I$368=1,$C$368=1,$S$368=0),$N$368+$H$368/$Z$366*$M$11,NA())</f>
        <v>#N/A</v>
      </c>
      <c r="AR374" s="144" t="e">
        <f>IF(AND($I$368=1,$C$368=0),$N$368+$H$368/$Z$366*$M$11,NA())</f>
        <v>#N/A</v>
      </c>
      <c r="AS374" s="144">
        <f>IF($I$369=1,$M$369+$H$369/$Z$366*$L$11,NA())</f>
        <v>0.311064105636028</v>
      </c>
      <c r="AT374" s="144">
        <f>IF($S$369=1,$N$369+$H$369/$Z$366*$M$11,NA())</f>
        <v>0.678641186174124</v>
      </c>
      <c r="AU374" s="144" t="e">
        <f>IF(AND($I$369=1,$C$369=1,$S$369=0),$N$369+$H$369/$Z$366*$M$11,NA())</f>
        <v>#N/A</v>
      </c>
      <c r="AV374" s="144" t="e">
        <f>IF(AND($I$369=1,$C$369=0),$N$369+$H$369/$Z$366*$M$11,NA())</f>
        <v>#N/A</v>
      </c>
      <c r="AW374" s="144" t="e">
        <f>IF($I$370=1,$M$370+$H$370/$Z$366*$L$11,NA())</f>
        <v>#N/A</v>
      </c>
      <c r="AX374" s="144" t="e">
        <f>IF($S$370=1,$N$370+$H$370/$Z$366*$M$11,NA())</f>
        <v>#N/A</v>
      </c>
      <c r="AY374" s="144" t="e">
        <f>IF(AND($I$370=1,$C$370=1,$S$370=0),$N$370+$H$370/$Z$366*$M$11,NA())</f>
        <v>#N/A</v>
      </c>
      <c r="AZ374" s="144" t="e">
        <f>IF(AND($I$370=1,$C$370=0),$N$370+$H$370/$Z$366*$M$11,NA())</f>
        <v>#N/A</v>
      </c>
      <c r="BA374" s="144">
        <f>IF($I$371=1,$M$371+$H$371/$Z$366*$L$11,NA())</f>
        <v>-0.592398110469537</v>
      </c>
      <c r="BB374" s="144" t="e">
        <f>IF($S$371=1,$N$371+$H$371/$Z$366*$M$11,NA())</f>
        <v>#N/A</v>
      </c>
      <c r="BC374" s="144">
        <f>IF(AND($I$371=1,$C$371=1,$S$371=0),$N$371+$H$371/$Z$366*$M$11,NA())</f>
        <v>-0.124306972330589</v>
      </c>
      <c r="BD374" s="144" t="e">
        <f>IF(AND($I$371=1,$C$371=0),$N$371+$H$371/$Z$366*$M$11,NA())</f>
        <v>#N/A</v>
      </c>
      <c r="BE374" s="144">
        <f>IF($I$372=1,$M$372+$H$372/$Z$366*$L$11,NA())</f>
        <v>-0.0841720720804312</v>
      </c>
      <c r="BF374" s="144">
        <f>IF($S$372=1,$N$372+$H$372/$Z$366*$M$11,NA())</f>
        <v>0.42366530254074</v>
      </c>
      <c r="BG374" s="144" t="e">
        <f>IF(AND($I$372=1,$C$372=1,$S$372=0),$N$372+$H$372/$Z$366*$M$11,NA())</f>
        <v>#N/A</v>
      </c>
      <c r="BH374" s="144" t="e">
        <f>IF(AND($I$372=1,$C$372=0),$N$372+$H$372/$Z$366*$M$11,NA())</f>
        <v>#N/A</v>
      </c>
      <c r="BI374" s="144" t="e">
        <f>IF($I$373=1,$M$373+$H$373/$Z$366*$L$11,NA())</f>
        <v>#N/A</v>
      </c>
      <c r="BJ374" s="144" t="e">
        <f>IF($S$373=1,$N$373+$H$373/$Z$366*$M$11,NA())</f>
        <v>#N/A</v>
      </c>
      <c r="BK374" s="144" t="e">
        <f>IF(AND($I$373=1,$C$373=1,$S$373=0),$N$373+$H$373/$Z$366*$M$11,NA())</f>
        <v>#N/A</v>
      </c>
      <c r="BL374" s="144" t="e">
        <f>IF(AND($I$373=1,$C$373=0),$N$373+$H$373/$Z$366*$M$11,NA())</f>
        <v>#N/A</v>
      </c>
      <c r="BM374" s="144" t="e">
        <f>IF($I$374=1,$M$374+$H$374/$Z$366*$L$11,NA())</f>
        <v>#N/A</v>
      </c>
      <c r="BN374" s="144" t="e">
        <f>IF($S$374=1,$N$374+$H$374/$Z$366*$M$11,NA())</f>
        <v>#N/A</v>
      </c>
      <c r="BO374" s="144" t="e">
        <f>IF(AND($I$374=1,$C$374=1,$S$374=0),$N$374+$H$374/$Z$366*$M$11,NA())</f>
        <v>#N/A</v>
      </c>
      <c r="BP374" s="144" t="e">
        <f>IF(AND($I$374=1,$C$374=0),$N$374+$H$374/$Z$366*$M$11,NA())</f>
        <v>#N/A</v>
      </c>
    </row>
    <row r="375">
      <c r="A375" s="63" t="inlineStr">
        <is>
          <t xml:space="preserve">Message</t>
        </is>
      </c>
      <c r="D375" s="145" t="str">
        <f>"Queue empty → Step 6:   D = "&amp;'Training &amp; Validation'!$B$19&amp;"   ·   F = "&amp;'Training &amp; Validation'!$B$20</f>
        <v>Queue empty → Step 6:   D = {S₁, S₂, S₅, S₆, S₇}   ·   F = {S₃, S₄}</v>
      </c>
      <c r="E375" s="144" t="e">
        <f>IF($Q$366=0,0,NA())</f>
        <v>#N/A</v>
      </c>
      <c r="F375" s="144" t="e">
        <f>IF($Q$366=0,0,NA())</f>
        <v>#N/A</v>
      </c>
      <c r="AN375" s="146">
        <v>7</v>
      </c>
      <c r="AO375" s="144">
        <f>IF($I$368=1,$M$368+$H$368/$Z$366*$L$12,NA())</f>
        <v>-0.192674191347297</v>
      </c>
      <c r="AP375" s="144">
        <f>IF($S$368=1,$N$368+$H$368/$Z$366*$M$12,NA())</f>
        <v>0.659989298963652</v>
      </c>
      <c r="AQ375" s="144" t="e">
        <f>IF(AND($I$368=1,$C$368=1,$S$368=0),$N$368+$H$368/$Z$366*$M$12,NA())</f>
        <v>#N/A</v>
      </c>
      <c r="AR375" s="144" t="e">
        <f>IF(AND($I$368=1,$C$368=0),$N$368+$H$368/$Z$366*$M$12,NA())</f>
        <v>#N/A</v>
      </c>
      <c r="AS375" s="144">
        <f>IF($I$369=1,$M$369+$H$369/$Z$366*$L$12,NA())</f>
        <v>0.166513381202831</v>
      </c>
      <c r="AT375" s="144">
        <f>IF($S$369=1,$N$369+$H$369/$Z$366*$M$12,NA())</f>
        <v>0.659610722274426</v>
      </c>
      <c r="AU375" s="144" t="e">
        <f>IF(AND($I$369=1,$C$369=1,$S$369=0),$N$369+$H$369/$Z$366*$M$12,NA())</f>
        <v>#N/A</v>
      </c>
      <c r="AV375" s="144" t="e">
        <f>IF(AND($I$369=1,$C$369=0),$N$369+$H$369/$Z$366*$M$12,NA())</f>
        <v>#N/A</v>
      </c>
      <c r="AW375" s="144" t="e">
        <f>IF($I$370=1,$M$370+$H$370/$Z$366*$L$12,NA())</f>
        <v>#N/A</v>
      </c>
      <c r="AX375" s="144" t="e">
        <f>IF($S$370=1,$N$370+$H$370/$Z$366*$M$12,NA())</f>
        <v>#N/A</v>
      </c>
      <c r="AY375" s="144" t="e">
        <f>IF(AND($I$370=1,$C$370=1,$S$370=0),$N$370+$H$370/$Z$366*$M$12,NA())</f>
        <v>#N/A</v>
      </c>
      <c r="AZ375" s="144" t="e">
        <f>IF(AND($I$370=1,$C$370=0),$N$370+$H$370/$Z$366*$M$12,NA())</f>
        <v>#N/A</v>
      </c>
      <c r="BA375" s="144">
        <f>IF($I$371=1,$M$371+$H$371/$Z$366*$L$12,NA())</f>
        <v>-0.664134236416857</v>
      </c>
      <c r="BB375" s="144" t="e">
        <f>IF($S$371=1,$N$371+$H$371/$Z$366*$M$12,NA())</f>
        <v>#N/A</v>
      </c>
      <c r="BC375" s="144">
        <f>IF(AND($I$371=1,$C$371=1,$S$371=0),$N$371+$H$371/$Z$366*$M$12,NA())</f>
        <v>-0.133751212478798</v>
      </c>
      <c r="BD375" s="144" t="e">
        <f>IF(AND($I$371=1,$C$371=0),$N$371+$H$371/$Z$366*$M$12,NA())</f>
        <v>#N/A</v>
      </c>
      <c r="BE375" s="144">
        <f>IF($I$372=1,$M$372+$H$372/$Z$366*$L$12,NA())</f>
        <v>-0.221790025563136</v>
      </c>
      <c r="BF375" s="144">
        <f>IF($S$372=1,$N$372+$H$372/$Z$366*$M$12,NA())</f>
        <v>0.405547555251875</v>
      </c>
      <c r="BG375" s="144" t="e">
        <f>IF(AND($I$372=1,$C$372=1,$S$372=0),$N$372+$H$372/$Z$366*$M$12,NA())</f>
        <v>#N/A</v>
      </c>
      <c r="BH375" s="144" t="e">
        <f>IF(AND($I$372=1,$C$372=0),$N$372+$H$372/$Z$366*$M$12,NA())</f>
        <v>#N/A</v>
      </c>
      <c r="BI375" s="144" t="e">
        <f>IF($I$373=1,$M$373+$H$373/$Z$366*$L$12,NA())</f>
        <v>#N/A</v>
      </c>
      <c r="BJ375" s="144" t="e">
        <f>IF($S$373=1,$N$373+$H$373/$Z$366*$M$12,NA())</f>
        <v>#N/A</v>
      </c>
      <c r="BK375" s="144" t="e">
        <f>IF(AND($I$373=1,$C$373=1,$S$373=0),$N$373+$H$373/$Z$366*$M$12,NA())</f>
        <v>#N/A</v>
      </c>
      <c r="BL375" s="144" t="e">
        <f>IF(AND($I$373=1,$C$373=0),$N$373+$H$373/$Z$366*$M$12,NA())</f>
        <v>#N/A</v>
      </c>
      <c r="BM375" s="144" t="e">
        <f>IF($I$374=1,$M$374+$H$374/$Z$366*$L$12,NA())</f>
        <v>#N/A</v>
      </c>
      <c r="BN375" s="144" t="e">
        <f>IF($S$374=1,$N$374+$H$374/$Z$366*$M$12,NA())</f>
        <v>#N/A</v>
      </c>
      <c r="BO375" s="144" t="e">
        <f>IF(AND($I$374=1,$C$374=1,$S$374=0),$N$374+$H$374/$Z$366*$M$12,NA())</f>
        <v>#N/A</v>
      </c>
      <c r="BP375" s="144" t="e">
        <f>IF(AND($I$374=1,$C$374=0),$N$374+$H$374/$Z$366*$M$12,NA())</f>
        <v>#N/A</v>
      </c>
    </row>
    <row r="376">
      <c r="A376" s="147" t="inlineStr">
        <is>
          <t xml:space="preserve">Label slot</t>
        </is>
      </c>
      <c r="B376" s="147" t="inlineStr">
        <is>
          <t xml:space="preserve">Rank t</t>
        </is>
      </c>
      <c r="C376" s="147" t="inlineStr">
        <is>
          <t xml:space="preserve">Object</t>
        </is>
      </c>
      <c r="D376" s="147" t="inlineStr">
        <is>
          <t xml:space="preserve">Label</t>
        </is>
      </c>
      <c r="E376" s="147" t="inlineStr">
        <is>
          <t xml:space="preserve">x</t>
        </is>
      </c>
      <c r="F376" s="147" t="inlineStr">
        <is>
          <t xml:space="preserve">y</t>
        </is>
      </c>
      <c r="AN376" s="146">
        <v>8</v>
      </c>
      <c r="AO376" s="144">
        <f>IF($I$368=1,$M$368+$H$368/$Z$366*$L$13,NA())</f>
        <v>-0.293782070494356</v>
      </c>
      <c r="AP376" s="144">
        <f>IF($S$368=1,$N$368+$H$368/$Z$366*$M$13,NA())</f>
        <v>0.61810904415816</v>
      </c>
      <c r="AQ376" s="144" t="e">
        <f>IF(AND($I$368=1,$C$368=1,$S$368=0),$N$368+$H$368/$Z$366*$M$13,NA())</f>
        <v>#N/A</v>
      </c>
      <c r="AR376" s="144" t="e">
        <f>IF(AND($I$368=1,$C$368=0),$N$368+$H$368/$Z$366*$M$13,NA())</f>
        <v>#N/A</v>
      </c>
      <c r="AS376" s="144">
        <f>IF($I$369=1,$M$369+$H$369/$Z$366*$L$13,NA())</f>
        <v>0.0318135497583896</v>
      </c>
      <c r="AT376" s="144">
        <f>IF($S$369=1,$N$369+$H$369/$Z$366*$M$13,NA())</f>
        <v>0.603816225240769</v>
      </c>
      <c r="AU376" s="144" t="e">
        <f>IF(AND($I$369=1,$C$369=1,$S$369=0),$N$369+$H$369/$Z$366*$M$13,NA())</f>
        <v>#N/A</v>
      </c>
      <c r="AV376" s="144" t="e">
        <f>IF(AND($I$369=1,$C$369=0),$N$369+$H$369/$Z$366*$M$13,NA())</f>
        <v>#N/A</v>
      </c>
      <c r="AW376" s="144" t="e">
        <f>IF($I$370=1,$M$370+$H$370/$Z$366*$L$13,NA())</f>
        <v>#N/A</v>
      </c>
      <c r="AX376" s="144" t="e">
        <f>IF($S$370=1,$N$370+$H$370/$Z$366*$M$13,NA())</f>
        <v>#N/A</v>
      </c>
      <c r="AY376" s="144" t="e">
        <f>IF(AND($I$370=1,$C$370=1,$S$370=0),$N$370+$H$370/$Z$366*$M$13,NA())</f>
        <v>#N/A</v>
      </c>
      <c r="AZ376" s="144" t="e">
        <f>IF(AND($I$370=1,$C$370=0),$N$370+$H$370/$Z$366*$M$13,NA())</f>
        <v>#N/A</v>
      </c>
      <c r="BA376" s="144">
        <f>IF($I$371=1,$M$371+$H$371/$Z$366*$L$13,NA())</f>
        <v>-0.730981663930421</v>
      </c>
      <c r="BB376" s="144" t="e">
        <f>IF($S$371=1,$N$371+$H$371/$Z$366*$M$13,NA())</f>
        <v>#N/A</v>
      </c>
      <c r="BC376" s="144">
        <f>IF(AND($I$371=1,$C$371=1,$S$371=0),$N$371+$H$371/$Z$366*$M$13,NA())</f>
        <v>-0.161440323564668</v>
      </c>
      <c r="BD376" s="144" t="e">
        <f>IF(AND($I$371=1,$C$371=0),$N$371+$H$371/$Z$366*$M$13,NA())</f>
        <v>#N/A</v>
      </c>
      <c r="BE376" s="144">
        <f>IF($I$372=1,$M$372+$H$372/$Z$366*$L$13,NA())</f>
        <v>-0.350029542940415</v>
      </c>
      <c r="BF376" s="144">
        <f>IF($S$372=1,$N$372+$H$372/$Z$366*$M$13,NA())</f>
        <v>0.352429007922026</v>
      </c>
      <c r="BG376" s="144" t="e">
        <f>IF(AND($I$372=1,$C$372=1,$S$372=0),$N$372+$H$372/$Z$366*$M$13,NA())</f>
        <v>#N/A</v>
      </c>
      <c r="BH376" s="144" t="e">
        <f>IF(AND($I$372=1,$C$372=0),$N$372+$H$372/$Z$366*$M$13,NA())</f>
        <v>#N/A</v>
      </c>
      <c r="BI376" s="144" t="e">
        <f>IF($I$373=1,$M$373+$H$373/$Z$366*$L$13,NA())</f>
        <v>#N/A</v>
      </c>
      <c r="BJ376" s="144" t="e">
        <f>IF($S$373=1,$N$373+$H$373/$Z$366*$M$13,NA())</f>
        <v>#N/A</v>
      </c>
      <c r="BK376" s="144" t="e">
        <f>IF(AND($I$373=1,$C$373=1,$S$373=0),$N$373+$H$373/$Z$366*$M$13,NA())</f>
        <v>#N/A</v>
      </c>
      <c r="BL376" s="144" t="e">
        <f>IF(AND($I$373=1,$C$373=0),$N$373+$H$373/$Z$366*$M$13,NA())</f>
        <v>#N/A</v>
      </c>
      <c r="BM376" s="144" t="e">
        <f>IF($I$374=1,$M$374+$H$374/$Z$366*$L$13,NA())</f>
        <v>#N/A</v>
      </c>
      <c r="BN376" s="144" t="e">
        <f>IF($S$374=1,$N$374+$H$374/$Z$366*$M$13,NA())</f>
        <v>#N/A</v>
      </c>
      <c r="BO376" s="144" t="e">
        <f>IF(AND($I$374=1,$C$374=1,$S$374=0),$N$374+$H$374/$Z$366*$M$13,NA())</f>
        <v>#N/A</v>
      </c>
      <c r="BP376" s="144" t="e">
        <f>IF(AND($I$374=1,$C$374=0),$N$374+$H$374/$Z$366*$M$13,NA())</f>
        <v>#N/A</v>
      </c>
    </row>
    <row r="377">
      <c r="A377" s="63" t="inlineStr">
        <is>
          <t xml:space="preserve">slot 1 (t)</t>
        </is>
      </c>
      <c r="B377" s="146">
        <v>1</v>
      </c>
      <c r="C377" s="146">
        <f>IFERROR(MATCH(B377,$F$368:$F$374,0),NA())</f>
        <v>1</v>
      </c>
      <c r="D377" s="145" t="str">
        <f>IFERROR(INDEX($AJ$368:$AJ$374,C377),"")</f>
        <v>S₁  ·  g 2→1  → D</v>
      </c>
      <c r="E377" s="144">
        <f>IFERROR(INDEX($M$368:$M$374,C377),NA())</f>
        <v>-0.0841720720804312</v>
      </c>
      <c r="F377" s="144">
        <f>IFERROR(INDEX($N$368:$N$374,C377),NA())</f>
        <v>0.25505387713081</v>
      </c>
      <c r="AN377" s="146">
        <v>9</v>
      </c>
      <c r="AO377" s="144">
        <f>IF($I$368=1,$M$368+$H$368/$Z$366*$L$14,NA())</f>
        <v>-0.380605374646407</v>
      </c>
      <c r="AP377" s="144">
        <f>IF($S$368=1,$N$368+$H$368/$Z$366*$M$14,NA())</f>
        <v>0.551487179696786</v>
      </c>
      <c r="AQ377" s="144" t="e">
        <f>IF(AND($I$368=1,$C$368=1,$S$368=0),$N$368+$H$368/$Z$366*$M$14,NA())</f>
        <v>#N/A</v>
      </c>
      <c r="AR377" s="144" t="e">
        <f>IF(AND($I$368=1,$C$368=0),$N$368+$H$368/$Z$366*$M$14,NA())</f>
        <v>#N/A</v>
      </c>
      <c r="AS377" s="144">
        <f>IF($I$369=1,$M$369+$H$369/$Z$366*$L$14,NA())</f>
        <v>-0.0838558177863541</v>
      </c>
      <c r="AT377" s="144">
        <f>IF($S$369=1,$N$369+$H$369/$Z$366*$M$14,NA())</f>
        <v>0.515059997841229</v>
      </c>
      <c r="AU377" s="144" t="e">
        <f>IF(AND($I$369=1,$C$369=1,$S$369=0),$N$369+$H$369/$Z$366*$M$14,NA())</f>
        <v>#N/A</v>
      </c>
      <c r="AV377" s="144" t="e">
        <f>IF(AND($I$369=1,$C$369=0),$N$369+$H$369/$Z$366*$M$14,NA())</f>
        <v>#N/A</v>
      </c>
      <c r="AW377" s="144" t="e">
        <f>IF($I$370=1,$M$370+$H$370/$Z$366*$L$14,NA())</f>
        <v>#N/A</v>
      </c>
      <c r="AX377" s="144" t="e">
        <f>IF($S$370=1,$N$370+$H$370/$Z$366*$M$14,NA())</f>
        <v>#N/A</v>
      </c>
      <c r="AY377" s="144" t="e">
        <f>IF(AND($I$370=1,$C$370=1,$S$370=0),$N$370+$H$370/$Z$366*$M$14,NA())</f>
        <v>#N/A</v>
      </c>
      <c r="AZ377" s="144" t="e">
        <f>IF(AND($I$370=1,$C$370=0),$N$370+$H$370/$Z$366*$M$14,NA())</f>
        <v>#N/A</v>
      </c>
      <c r="BA377" s="144">
        <f>IF($I$371=1,$M$371+$H$371/$Z$366*$L$14,NA())</f>
        <v>-0.788384851295776</v>
      </c>
      <c r="BB377" s="144" t="e">
        <f>IF($S$371=1,$N$371+$H$371/$Z$366*$M$14,NA())</f>
        <v>#N/A</v>
      </c>
      <c r="BC377" s="144">
        <f>IF(AND($I$371=1,$C$371=1,$S$371=0),$N$371+$H$371/$Z$366*$M$14,NA())</f>
        <v>-0.205487338426118</v>
      </c>
      <c r="BD377" s="144" t="e">
        <f>IF(AND($I$371=1,$C$371=0),$N$371+$H$371/$Z$366*$M$14,NA())</f>
        <v>#N/A</v>
      </c>
      <c r="BE377" s="144">
        <f>IF($I$372=1,$M$372+$H$372/$Z$366*$L$14,NA())</f>
        <v>-0.460151313028831</v>
      </c>
      <c r="BF377" s="144">
        <f>IF($S$372=1,$N$372+$H$372/$Z$366*$M$14,NA())</f>
        <v>0.267929601769171</v>
      </c>
      <c r="BG377" s="144" t="e">
        <f>IF(AND($I$372=1,$C$372=1,$S$372=0),$N$372+$H$372/$Z$366*$M$14,NA())</f>
        <v>#N/A</v>
      </c>
      <c r="BH377" s="144" t="e">
        <f>IF(AND($I$372=1,$C$372=0),$N$372+$H$372/$Z$366*$M$14,NA())</f>
        <v>#N/A</v>
      </c>
      <c r="BI377" s="144" t="e">
        <f>IF($I$373=1,$M$373+$H$373/$Z$366*$L$14,NA())</f>
        <v>#N/A</v>
      </c>
      <c r="BJ377" s="144" t="e">
        <f>IF($S$373=1,$N$373+$H$373/$Z$366*$M$14,NA())</f>
        <v>#N/A</v>
      </c>
      <c r="BK377" s="144" t="e">
        <f>IF(AND($I$373=1,$C$373=1,$S$373=0),$N$373+$H$373/$Z$366*$M$14,NA())</f>
        <v>#N/A</v>
      </c>
      <c r="BL377" s="144" t="e">
        <f>IF(AND($I$373=1,$C$373=0),$N$373+$H$373/$Z$366*$M$14,NA())</f>
        <v>#N/A</v>
      </c>
      <c r="BM377" s="144" t="e">
        <f>IF($I$374=1,$M$374+$H$374/$Z$366*$L$14,NA())</f>
        <v>#N/A</v>
      </c>
      <c r="BN377" s="144" t="e">
        <f>IF($S$374=1,$N$374+$H$374/$Z$366*$M$14,NA())</f>
        <v>#N/A</v>
      </c>
      <c r="BO377" s="144" t="e">
        <f>IF(AND($I$374=1,$C$374=1,$S$374=0),$N$374+$H$374/$Z$366*$M$14,NA())</f>
        <v>#N/A</v>
      </c>
      <c r="BP377" s="144" t="e">
        <f>IF(AND($I$374=1,$C$374=0),$N$374+$H$374/$Z$366*$M$14,NA())</f>
        <v>#N/A</v>
      </c>
    </row>
    <row r="378">
      <c r="A378" s="63" t="inlineStr">
        <is>
          <t xml:space="preserve">slot 2 (r)</t>
        </is>
      </c>
      <c r="B378" s="146">
        <v>2</v>
      </c>
      <c r="C378" s="146">
        <f>IFERROR(MATCH(B378,$F$368:$F$374,0),NA())</f>
        <v>2</v>
      </c>
      <c r="D378" s="145" t="str">
        <f>IFERROR(INDEX($AJ$368:$AJ$374,C378),"")</f>
        <v>S₂  ·  g 3→2</v>
      </c>
      <c r="E378" s="144">
        <f>IFERROR(INDEX($M$368:$M$374,C378),NA())</f>
        <v>0.311064105636028</v>
      </c>
      <c r="F378" s="144">
        <f>IFERROR(INDEX($N$368:$N$374,C378),NA())</f>
        <v>0.120140074418847</v>
      </c>
      <c r="AN378" s="146">
        <v>10</v>
      </c>
      <c r="AO378" s="144">
        <f>IF($I$368=1,$M$368+$H$368/$Z$366*$L$15,NA())</f>
        <v>-0.447227239107781</v>
      </c>
      <c r="AP378" s="144">
        <f>IF($S$368=1,$N$368+$H$368/$Z$366*$M$15,NA())</f>
        <v>0.464663875544735</v>
      </c>
      <c r="AQ378" s="144" t="e">
        <f>IF(AND($I$368=1,$C$368=1,$S$368=0),$N$368+$H$368/$Z$366*$M$15,NA())</f>
        <v>#N/A</v>
      </c>
      <c r="AR378" s="144" t="e">
        <f>IF(AND($I$368=1,$C$368=0),$N$368+$H$368/$Z$366*$M$15,NA())</f>
        <v>#N/A</v>
      </c>
      <c r="AS378" s="144">
        <f>IF($I$369=1,$M$369+$H$369/$Z$366*$L$15,NA())</f>
        <v>-0.172612045185894</v>
      </c>
      <c r="AT378" s="144">
        <f>IF($S$369=1,$N$369+$H$369/$Z$366*$M$15,NA())</f>
        <v>0.399390630296486</v>
      </c>
      <c r="AU378" s="144" t="e">
        <f>IF(AND($I$369=1,$C$369=1,$S$369=0),$N$369+$H$369/$Z$366*$M$15,NA())</f>
        <v>#N/A</v>
      </c>
      <c r="AV378" s="144" t="e">
        <f>IF(AND($I$369=1,$C$369=0),$N$369+$H$369/$Z$366*$M$15,NA())</f>
        <v>#N/A</v>
      </c>
      <c r="AW378" s="144" t="e">
        <f>IF($I$370=1,$M$370+$H$370/$Z$366*$L$15,NA())</f>
        <v>#N/A</v>
      </c>
      <c r="AX378" s="144" t="e">
        <f>IF($S$370=1,$N$370+$H$370/$Z$366*$M$15,NA())</f>
        <v>#N/A</v>
      </c>
      <c r="AY378" s="144" t="e">
        <f>IF(AND($I$370=1,$C$370=1,$S$370=0),$N$370+$H$370/$Z$366*$M$15,NA())</f>
        <v>#N/A</v>
      </c>
      <c r="AZ378" s="144" t="e">
        <f>IF(AND($I$370=1,$C$370=0),$N$370+$H$370/$Z$366*$M$15,NA())</f>
        <v>#N/A</v>
      </c>
      <c r="BA378" s="144">
        <f>IF($I$371=1,$M$371+$H$371/$Z$366*$L$15,NA())</f>
        <v>-0.832431866157225</v>
      </c>
      <c r="BB378" s="144" t="e">
        <f>IF($S$371=1,$N$371+$H$371/$Z$366*$M$15,NA())</f>
        <v>#N/A</v>
      </c>
      <c r="BC378" s="144">
        <f>IF(AND($I$371=1,$C$371=1,$S$371=0),$N$371+$H$371/$Z$366*$M$15,NA())</f>
        <v>-0.262890525791473</v>
      </c>
      <c r="BD378" s="144" t="e">
        <f>IF(AND($I$371=1,$C$371=0),$N$371+$H$371/$Z$366*$M$15,NA())</f>
        <v>#N/A</v>
      </c>
      <c r="BE378" s="144">
        <f>IF($I$372=1,$M$372+$H$372/$Z$366*$L$15,NA())</f>
        <v>-0.544650719181686</v>
      </c>
      <c r="BF378" s="144">
        <f>IF($S$372=1,$N$372+$H$372/$Z$366*$M$15,NA())</f>
        <v>0.157807831680755</v>
      </c>
      <c r="BG378" s="144" t="e">
        <f>IF(AND($I$372=1,$C$372=1,$S$372=0),$N$372+$H$372/$Z$366*$M$15,NA())</f>
        <v>#N/A</v>
      </c>
      <c r="BH378" s="144" t="e">
        <f>IF(AND($I$372=1,$C$372=0),$N$372+$H$372/$Z$366*$M$15,NA())</f>
        <v>#N/A</v>
      </c>
      <c r="BI378" s="144" t="e">
        <f>IF($I$373=1,$M$373+$H$373/$Z$366*$L$15,NA())</f>
        <v>#N/A</v>
      </c>
      <c r="BJ378" s="144" t="e">
        <f>IF($S$373=1,$N$373+$H$373/$Z$366*$M$15,NA())</f>
        <v>#N/A</v>
      </c>
      <c r="BK378" s="144" t="e">
        <f>IF(AND($I$373=1,$C$373=1,$S$373=0),$N$373+$H$373/$Z$366*$M$15,NA())</f>
        <v>#N/A</v>
      </c>
      <c r="BL378" s="144" t="e">
        <f>IF(AND($I$373=1,$C$373=0),$N$373+$H$373/$Z$366*$M$15,NA())</f>
        <v>#N/A</v>
      </c>
      <c r="BM378" s="144" t="e">
        <f>IF($I$374=1,$M$374+$H$374/$Z$366*$L$15,NA())</f>
        <v>#N/A</v>
      </c>
      <c r="BN378" s="144" t="e">
        <f>IF($S$374=1,$N$374+$H$374/$Z$366*$M$15,NA())</f>
        <v>#N/A</v>
      </c>
      <c r="BO378" s="144" t="e">
        <f>IF(AND($I$374=1,$C$374=1,$S$374=0),$N$374+$H$374/$Z$366*$M$15,NA())</f>
        <v>#N/A</v>
      </c>
      <c r="BP378" s="144" t="e">
        <f>IF(AND($I$374=1,$C$374=0),$N$374+$H$374/$Z$366*$M$15,NA())</f>
        <v>#N/A</v>
      </c>
    </row>
    <row r="379">
      <c r="A379" s="63" t="inlineStr">
        <is>
          <t xml:space="preserve">slot 3 (r)</t>
        </is>
      </c>
      <c r="B379" s="146">
        <v>3</v>
      </c>
      <c r="C379" s="146">
        <f>IFERROR(MATCH(B379,$F$368:$F$374,0),NA())</f>
        <v>7</v>
      </c>
      <c r="D379" s="145" t="str">
        <f>IFERROR(INDEX($AJ$368:$AJ$374,C379),"")</f>
        <v>S₇ (in D)</v>
      </c>
      <c r="E379" s="144">
        <f>IFERROR(INDEX($M$368:$M$374,C379),NA())</f>
        <v>0.376306575020824</v>
      </c>
      <c r="F379" s="144">
        <f>IFERROR(INDEX($N$368:$N$374,C379),NA())</f>
        <v>-0.373907110039213</v>
      </c>
      <c r="AN379" s="146">
        <v>11</v>
      </c>
      <c r="AO379" s="144">
        <f>IF($I$368=1,$M$368+$H$368/$Z$366*$L$16,NA())</f>
        <v>-0.489107493913273</v>
      </c>
      <c r="AP379" s="144">
        <f>IF($S$368=1,$N$368+$H$368/$Z$366*$M$16,NA())</f>
        <v>0.363555996397676</v>
      </c>
      <c r="AQ379" s="144" t="e">
        <f>IF(AND($I$368=1,$C$368=1,$S$368=0),$N$368+$H$368/$Z$366*$M$16,NA())</f>
        <v>#N/A</v>
      </c>
      <c r="AR379" s="144" t="e">
        <f>IF(AND($I$368=1,$C$368=0),$N$368+$H$368/$Z$366*$M$16,NA())</f>
        <v>#N/A</v>
      </c>
      <c r="AS379" s="144">
        <f>IF($I$369=1,$M$369+$H$369/$Z$366*$L$16,NA())</f>
        <v>-0.228406542219551</v>
      </c>
      <c r="AT379" s="144">
        <f>IF($S$369=1,$N$369+$H$369/$Z$366*$M$16,NA())</f>
        <v>0.264690798852045</v>
      </c>
      <c r="AU379" s="144" t="e">
        <f>IF(AND($I$369=1,$C$369=1,$S$369=0),$N$369+$H$369/$Z$366*$M$16,NA())</f>
        <v>#N/A</v>
      </c>
      <c r="AV379" s="144" t="e">
        <f>IF(AND($I$369=1,$C$369=0),$N$369+$H$369/$Z$366*$M$16,NA())</f>
        <v>#N/A</v>
      </c>
      <c r="AW379" s="144" t="e">
        <f>IF($I$370=1,$M$370+$H$370/$Z$366*$L$16,NA())</f>
        <v>#N/A</v>
      </c>
      <c r="AX379" s="144" t="e">
        <f>IF($S$370=1,$N$370+$H$370/$Z$366*$M$16,NA())</f>
        <v>#N/A</v>
      </c>
      <c r="AY379" s="144" t="e">
        <f>IF(AND($I$370=1,$C$370=1,$S$370=0),$N$370+$H$370/$Z$366*$M$16,NA())</f>
        <v>#N/A</v>
      </c>
      <c r="AZ379" s="144" t="e">
        <f>IF(AND($I$370=1,$C$370=0),$N$370+$H$370/$Z$366*$M$16,NA())</f>
        <v>#N/A</v>
      </c>
      <c r="BA379" s="144">
        <f>IF($I$371=1,$M$371+$H$371/$Z$366*$L$16,NA())</f>
        <v>-0.860120977243096</v>
      </c>
      <c r="BB379" s="144" t="e">
        <f>IF($S$371=1,$N$371+$H$371/$Z$366*$M$16,NA())</f>
        <v>#N/A</v>
      </c>
      <c r="BC379" s="144">
        <f>IF(AND($I$371=1,$C$371=1,$S$371=0),$N$371+$H$371/$Z$366*$M$16,NA())</f>
        <v>-0.329737953305036</v>
      </c>
      <c r="BD379" s="144" t="e">
        <f>IF(AND($I$371=1,$C$371=0),$N$371+$H$371/$Z$366*$M$16,NA())</f>
        <v>#N/A</v>
      </c>
      <c r="BE379" s="144">
        <f>IF($I$372=1,$M$372+$H$372/$Z$366*$L$16,NA())</f>
        <v>-0.597769266511536</v>
      </c>
      <c r="BF379" s="144">
        <f>IF($S$372=1,$N$372+$H$372/$Z$366*$M$16,NA())</f>
        <v>0.0295683143034759</v>
      </c>
      <c r="BG379" s="144" t="e">
        <f>IF(AND($I$372=1,$C$372=1,$S$372=0),$N$372+$H$372/$Z$366*$M$16,NA())</f>
        <v>#N/A</v>
      </c>
      <c r="BH379" s="144" t="e">
        <f>IF(AND($I$372=1,$C$372=0),$N$372+$H$372/$Z$366*$M$16,NA())</f>
        <v>#N/A</v>
      </c>
      <c r="BI379" s="144" t="e">
        <f>IF($I$373=1,$M$373+$H$373/$Z$366*$L$16,NA())</f>
        <v>#N/A</v>
      </c>
      <c r="BJ379" s="144" t="e">
        <f>IF($S$373=1,$N$373+$H$373/$Z$366*$M$16,NA())</f>
        <v>#N/A</v>
      </c>
      <c r="BK379" s="144" t="e">
        <f>IF(AND($I$373=1,$C$373=1,$S$373=0),$N$373+$H$373/$Z$366*$M$16,NA())</f>
        <v>#N/A</v>
      </c>
      <c r="BL379" s="144" t="e">
        <f>IF(AND($I$373=1,$C$373=0),$N$373+$H$373/$Z$366*$M$16,NA())</f>
        <v>#N/A</v>
      </c>
      <c r="BM379" s="144" t="e">
        <f>IF($I$374=1,$M$374+$H$374/$Z$366*$L$16,NA())</f>
        <v>#N/A</v>
      </c>
      <c r="BN379" s="144" t="e">
        <f>IF($S$374=1,$N$374+$H$374/$Z$366*$M$16,NA())</f>
        <v>#N/A</v>
      </c>
      <c r="BO379" s="144" t="e">
        <f>IF(AND($I$374=1,$C$374=1,$S$374=0),$N$374+$H$374/$Z$366*$M$16,NA())</f>
        <v>#N/A</v>
      </c>
      <c r="BP379" s="144" t="e">
        <f>IF(AND($I$374=1,$C$374=0),$N$374+$H$374/$Z$366*$M$16,NA())</f>
        <v>#N/A</v>
      </c>
    </row>
    <row r="380">
      <c r="A380" s="63" t="inlineStr">
        <is>
          <t xml:space="preserve">slot 4 (b)</t>
        </is>
      </c>
      <c r="B380" s="146">
        <v>4</v>
      </c>
      <c r="C380" s="146">
        <f>IFERROR(MATCH(B380,$F$368:$F$374,0),NA())</f>
        <v>3</v>
      </c>
      <c r="D380" s="145" t="str">
        <f>IFERROR(INDEX($AJ$368:$AJ$374,C380),"")</f>
        <v>S₃</v>
      </c>
      <c r="E380" s="144">
        <f>IFERROR(INDEX($M$368:$M$374,C380),NA())</f>
        <v>-0.0841720720804311</v>
      </c>
      <c r="F380" s="144">
        <f>IFERROR(INDEX($N$368:$N$374,C380),NA())</f>
        <v>-0.654721230181929</v>
      </c>
      <c r="AN380" s="146">
        <v>12</v>
      </c>
      <c r="AO380" s="144">
        <f>IF($I$368=1,$M$368+$H$368/$Z$366*$L$17,NA())</f>
        <v>-0.503392068908281</v>
      </c>
      <c r="AP380" s="144">
        <f>IF($S$368=1,$N$368+$H$368/$Z$366*$M$17,NA())</f>
        <v>0.25505387713081</v>
      </c>
      <c r="AQ380" s="144" t="e">
        <f>IF(AND($I$368=1,$C$368=1,$S$368=0),$N$368+$H$368/$Z$366*$M$17,NA())</f>
        <v>#N/A</v>
      </c>
      <c r="AR380" s="144" t="e">
        <f>IF(AND($I$368=1,$C$368=0),$N$368+$H$368/$Z$366*$M$17,NA())</f>
        <v>#N/A</v>
      </c>
      <c r="AS380" s="144">
        <f>IF($I$369=1,$M$369+$H$369/$Z$366*$L$17,NA())</f>
        <v>-0.247437006119249</v>
      </c>
      <c r="AT380" s="144">
        <f>IF($S$369=1,$N$369+$H$369/$Z$366*$M$17,NA())</f>
        <v>0.120140074418848</v>
      </c>
      <c r="AU380" s="144" t="e">
        <f>IF(AND($I$369=1,$C$369=1,$S$369=0),$N$369+$H$369/$Z$366*$M$17,NA())</f>
        <v>#N/A</v>
      </c>
      <c r="AV380" s="144" t="e">
        <f>IF(AND($I$369=1,$C$369=0),$N$369+$H$369/$Z$366*$M$17,NA())</f>
        <v>#N/A</v>
      </c>
      <c r="AW380" s="144" t="e">
        <f>IF($I$370=1,$M$370+$H$370/$Z$366*$L$17,NA())</f>
        <v>#N/A</v>
      </c>
      <c r="AX380" s="144" t="e">
        <f>IF($S$370=1,$N$370+$H$370/$Z$366*$M$17,NA())</f>
        <v>#N/A</v>
      </c>
      <c r="AY380" s="144" t="e">
        <f>IF(AND($I$370=1,$C$370=1,$S$370=0),$N$370+$H$370/$Z$366*$M$17,NA())</f>
        <v>#N/A</v>
      </c>
      <c r="AZ380" s="144" t="e">
        <f>IF(AND($I$370=1,$C$370=0),$N$370+$H$370/$Z$366*$M$17,NA())</f>
        <v>#N/A</v>
      </c>
      <c r="BA380" s="144">
        <f>IF($I$371=1,$M$371+$H$371/$Z$366*$L$17,NA())</f>
        <v>-0.869565217391304</v>
      </c>
      <c r="BB380" s="144" t="e">
        <f>IF($S$371=1,$N$371+$H$371/$Z$366*$M$17,NA())</f>
        <v>#N/A</v>
      </c>
      <c r="BC380" s="144">
        <f>IF(AND($I$371=1,$C$371=1,$S$371=0),$N$371+$H$371/$Z$366*$M$17,NA())</f>
        <v>-0.401474079252356</v>
      </c>
      <c r="BD380" s="144" t="e">
        <f>IF(AND($I$371=1,$C$371=0),$N$371+$H$371/$Z$366*$M$17,NA())</f>
        <v>#N/A</v>
      </c>
      <c r="BE380" s="144">
        <f>IF($I$372=1,$M$372+$H$372/$Z$366*$L$17,NA())</f>
        <v>-0.6158870138004</v>
      </c>
      <c r="BF380" s="144">
        <f>IF($S$372=1,$N$372+$H$372/$Z$366*$M$17,NA())</f>
        <v>-0.108049639179229</v>
      </c>
      <c r="BG380" s="144" t="e">
        <f>IF(AND($I$372=1,$C$372=1,$S$372=0),$N$372+$H$372/$Z$366*$M$17,NA())</f>
        <v>#N/A</v>
      </c>
      <c r="BH380" s="144" t="e">
        <f>IF(AND($I$372=1,$C$372=0),$N$372+$H$372/$Z$366*$M$17,NA())</f>
        <v>#N/A</v>
      </c>
      <c r="BI380" s="144" t="e">
        <f>IF($I$373=1,$M$373+$H$373/$Z$366*$L$17,NA())</f>
        <v>#N/A</v>
      </c>
      <c r="BJ380" s="144" t="e">
        <f>IF($S$373=1,$N$373+$H$373/$Z$366*$M$17,NA())</f>
        <v>#N/A</v>
      </c>
      <c r="BK380" s="144" t="e">
        <f>IF(AND($I$373=1,$C$373=1,$S$373=0),$N$373+$H$373/$Z$366*$M$17,NA())</f>
        <v>#N/A</v>
      </c>
      <c r="BL380" s="144" t="e">
        <f>IF(AND($I$373=1,$C$373=0),$N$373+$H$373/$Z$366*$M$17,NA())</f>
        <v>#N/A</v>
      </c>
      <c r="BM380" s="144" t="e">
        <f>IF($I$374=1,$M$374+$H$374/$Z$366*$L$17,NA())</f>
        <v>#N/A</v>
      </c>
      <c r="BN380" s="144" t="e">
        <f>IF($S$374=1,$N$374+$H$374/$Z$366*$M$17,NA())</f>
        <v>#N/A</v>
      </c>
      <c r="BO380" s="144" t="e">
        <f>IF(AND($I$374=1,$C$374=1,$S$374=0),$N$374+$H$374/$Z$366*$M$17,NA())</f>
        <v>#N/A</v>
      </c>
      <c r="BP380" s="144" t="e">
        <f>IF(AND($I$374=1,$C$374=0),$N$374+$H$374/$Z$366*$M$17,NA())</f>
        <v>#N/A</v>
      </c>
    </row>
    <row r="381">
      <c r="A381" s="63" t="inlineStr">
        <is>
          <t xml:space="preserve">slot 5 (l)</t>
        </is>
      </c>
      <c r="B381" s="146">
        <v>5</v>
      </c>
      <c r="C381" s="146">
        <f>IFERROR(MATCH(B381,$F$368:$F$374,0),NA())</f>
        <v>4</v>
      </c>
      <c r="D381" s="145" t="str">
        <f>IFERROR(INDEX($AJ$368:$AJ$374,C381),"")</f>
        <v>S₄</v>
      </c>
      <c r="E381" s="144">
        <f>IFERROR(INDEX($M$368:$M$374,C381),NA())</f>
        <v>-0.592398110469537</v>
      </c>
      <c r="F381" s="144">
        <f>IFERROR(INDEX($N$368:$N$374,C381),NA())</f>
        <v>-0.401474079252356</v>
      </c>
      <c r="AN381" s="146">
        <v>13</v>
      </c>
      <c r="AO381" s="144">
        <f>IF($I$368=1,$M$368+$H$368/$Z$366*$L$18,NA())</f>
        <v>-0.489107493913273</v>
      </c>
      <c r="AP381" s="144">
        <f>IF($S$368=1,$N$368+$H$368/$Z$366*$M$18,NA())</f>
        <v>0.146551757863944</v>
      </c>
      <c r="AQ381" s="144" t="e">
        <f>IF(AND($I$368=1,$C$368=1,$S$368=0),$N$368+$H$368/$Z$366*$M$18,NA())</f>
        <v>#N/A</v>
      </c>
      <c r="AR381" s="144" t="e">
        <f>IF(AND($I$368=1,$C$368=0),$N$368+$H$368/$Z$366*$M$18,NA())</f>
        <v>#N/A</v>
      </c>
      <c r="AS381" s="144">
        <f>IF($I$369=1,$M$369+$H$369/$Z$366*$L$18,NA())</f>
        <v>-0.228406542219551</v>
      </c>
      <c r="AT381" s="144">
        <f>IF($S$369=1,$N$369+$H$369/$Z$366*$M$18,NA())</f>
        <v>-0.0244106500143495</v>
      </c>
      <c r="AU381" s="144" t="e">
        <f>IF(AND($I$369=1,$C$369=1,$S$369=0),$N$369+$H$369/$Z$366*$M$18,NA())</f>
        <v>#N/A</v>
      </c>
      <c r="AV381" s="144" t="e">
        <f>IF(AND($I$369=1,$C$369=0),$N$369+$H$369/$Z$366*$M$18,NA())</f>
        <v>#N/A</v>
      </c>
      <c r="AW381" s="144" t="e">
        <f>IF($I$370=1,$M$370+$H$370/$Z$366*$L$18,NA())</f>
        <v>#N/A</v>
      </c>
      <c r="AX381" s="144" t="e">
        <f>IF($S$370=1,$N$370+$H$370/$Z$366*$M$18,NA())</f>
        <v>#N/A</v>
      </c>
      <c r="AY381" s="144" t="e">
        <f>IF(AND($I$370=1,$C$370=1,$S$370=0),$N$370+$H$370/$Z$366*$M$18,NA())</f>
        <v>#N/A</v>
      </c>
      <c r="AZ381" s="144" t="e">
        <f>IF(AND($I$370=1,$C$370=0),$N$370+$H$370/$Z$366*$M$18,NA())</f>
        <v>#N/A</v>
      </c>
      <c r="BA381" s="144">
        <f>IF($I$371=1,$M$371+$H$371/$Z$366*$L$18,NA())</f>
        <v>-0.860120977243096</v>
      </c>
      <c r="BB381" s="144" t="e">
        <f>IF($S$371=1,$N$371+$H$371/$Z$366*$M$18,NA())</f>
        <v>#N/A</v>
      </c>
      <c r="BC381" s="144">
        <f>IF(AND($I$371=1,$C$371=1,$S$371=0),$N$371+$H$371/$Z$366*$M$18,NA())</f>
        <v>-0.473210205199677</v>
      </c>
      <c r="BD381" s="144" t="e">
        <f>IF(AND($I$371=1,$C$371=0),$N$371+$H$371/$Z$366*$M$18,NA())</f>
        <v>#N/A</v>
      </c>
      <c r="BE381" s="144">
        <f>IF($I$372=1,$M$372+$H$372/$Z$366*$L$18,NA())</f>
        <v>-0.597769266511536</v>
      </c>
      <c r="BF381" s="144">
        <f>IF($S$372=1,$N$372+$H$372/$Z$366*$M$18,NA())</f>
        <v>-0.245667592661934</v>
      </c>
      <c r="BG381" s="144" t="e">
        <f>IF(AND($I$372=1,$C$372=1,$S$372=0),$N$372+$H$372/$Z$366*$M$18,NA())</f>
        <v>#N/A</v>
      </c>
      <c r="BH381" s="144" t="e">
        <f>IF(AND($I$372=1,$C$372=0),$N$372+$H$372/$Z$366*$M$18,NA())</f>
        <v>#N/A</v>
      </c>
      <c r="BI381" s="144" t="e">
        <f>IF($I$373=1,$M$373+$H$373/$Z$366*$L$18,NA())</f>
        <v>#N/A</v>
      </c>
      <c r="BJ381" s="144" t="e">
        <f>IF($S$373=1,$N$373+$H$373/$Z$366*$M$18,NA())</f>
        <v>#N/A</v>
      </c>
      <c r="BK381" s="144" t="e">
        <f>IF(AND($I$373=1,$C$373=1,$S$373=0),$N$373+$H$373/$Z$366*$M$18,NA())</f>
        <v>#N/A</v>
      </c>
      <c r="BL381" s="144" t="e">
        <f>IF(AND($I$373=1,$C$373=0),$N$373+$H$373/$Z$366*$M$18,NA())</f>
        <v>#N/A</v>
      </c>
      <c r="BM381" s="144" t="e">
        <f>IF($I$374=1,$M$374+$H$374/$Z$366*$L$18,NA())</f>
        <v>#N/A</v>
      </c>
      <c r="BN381" s="144" t="e">
        <f>IF($S$374=1,$N$374+$H$374/$Z$366*$M$18,NA())</f>
        <v>#N/A</v>
      </c>
      <c r="BO381" s="144" t="e">
        <f>IF(AND($I$374=1,$C$374=1,$S$374=0),$N$374+$H$374/$Z$366*$M$18,NA())</f>
        <v>#N/A</v>
      </c>
      <c r="BP381" s="144" t="e">
        <f>IF(AND($I$374=1,$C$374=0),$N$374+$H$374/$Z$366*$M$18,NA())</f>
        <v>#N/A</v>
      </c>
    </row>
    <row r="382">
      <c r="A382" s="63" t="inlineStr">
        <is>
          <t xml:space="preserve">slot 6 (l)</t>
        </is>
      </c>
      <c r="B382" s="146">
        <v>6</v>
      </c>
      <c r="C382" s="146">
        <f>IFERROR(MATCH(B382,$F$368:$F$374,0),NA())</f>
        <v>6</v>
      </c>
      <c r="D382" s="145" t="str">
        <f>IFERROR(INDEX($AJ$368:$AJ$374,C382),"")</f>
        <v>S₆</v>
      </c>
      <c r="E382" s="144">
        <f>IFERROR(INDEX($M$368:$M$374,C382),NA())</f>
        <v>-0.668436919167302</v>
      </c>
      <c r="F382" s="144">
        <f>IFERROR(INDEX($N$368:$N$374,C382),NA())</f>
        <v>0.229275827564411</v>
      </c>
      <c r="AN382" s="146">
        <v>14</v>
      </c>
      <c r="AO382" s="144">
        <f>IF($I$368=1,$M$368+$H$368/$Z$366*$L$19,NA())</f>
        <v>-0.447227239107781</v>
      </c>
      <c r="AP382" s="144">
        <f>IF($S$368=1,$N$368+$H$368/$Z$366*$M$19,NA())</f>
        <v>0.045443878716885</v>
      </c>
      <c r="AQ382" s="144" t="e">
        <f>IF(AND($I$368=1,$C$368=1,$S$368=0),$N$368+$H$368/$Z$366*$M$19,NA())</f>
        <v>#N/A</v>
      </c>
      <c r="AR382" s="144" t="e">
        <f>IF(AND($I$368=1,$C$368=0),$N$368+$H$368/$Z$366*$M$19,NA())</f>
        <v>#N/A</v>
      </c>
      <c r="AS382" s="144">
        <f>IF($I$369=1,$M$369+$H$369/$Z$366*$L$19,NA())</f>
        <v>-0.172612045185894</v>
      </c>
      <c r="AT382" s="144">
        <f>IF($S$369=1,$N$369+$H$369/$Z$366*$M$19,NA())</f>
        <v>-0.159110481458791</v>
      </c>
      <c r="AU382" s="144" t="e">
        <f>IF(AND($I$369=1,$C$369=1,$S$369=0),$N$369+$H$369/$Z$366*$M$19,NA())</f>
        <v>#N/A</v>
      </c>
      <c r="AV382" s="144" t="e">
        <f>IF(AND($I$369=1,$C$369=0),$N$369+$H$369/$Z$366*$M$19,NA())</f>
        <v>#N/A</v>
      </c>
      <c r="AW382" s="144" t="e">
        <f>IF($I$370=1,$M$370+$H$370/$Z$366*$L$19,NA())</f>
        <v>#N/A</v>
      </c>
      <c r="AX382" s="144" t="e">
        <f>IF($S$370=1,$N$370+$H$370/$Z$366*$M$19,NA())</f>
        <v>#N/A</v>
      </c>
      <c r="AY382" s="144" t="e">
        <f>IF(AND($I$370=1,$C$370=1,$S$370=0),$N$370+$H$370/$Z$366*$M$19,NA())</f>
        <v>#N/A</v>
      </c>
      <c r="AZ382" s="144" t="e">
        <f>IF(AND($I$370=1,$C$370=0),$N$370+$H$370/$Z$366*$M$19,NA())</f>
        <v>#N/A</v>
      </c>
      <c r="BA382" s="144">
        <f>IF($I$371=1,$M$371+$H$371/$Z$366*$L$19,NA())</f>
        <v>-0.832431866157225</v>
      </c>
      <c r="BB382" s="144" t="e">
        <f>IF($S$371=1,$N$371+$H$371/$Z$366*$M$19,NA())</f>
        <v>#N/A</v>
      </c>
      <c r="BC382" s="144">
        <f>IF(AND($I$371=1,$C$371=1,$S$371=0),$N$371+$H$371/$Z$366*$M$19,NA())</f>
        <v>-0.54005763271324</v>
      </c>
      <c r="BD382" s="144" t="e">
        <f>IF(AND($I$371=1,$C$371=0),$N$371+$H$371/$Z$366*$M$19,NA())</f>
        <v>#N/A</v>
      </c>
      <c r="BE382" s="144">
        <f>IF($I$372=1,$M$372+$H$372/$Z$366*$L$19,NA())</f>
        <v>-0.544650719181686</v>
      </c>
      <c r="BF382" s="144">
        <f>IF($S$372=1,$N$372+$H$372/$Z$366*$M$19,NA())</f>
        <v>-0.373907110039213</v>
      </c>
      <c r="BG382" s="144" t="e">
        <f>IF(AND($I$372=1,$C$372=1,$S$372=0),$N$372+$H$372/$Z$366*$M$19,NA())</f>
        <v>#N/A</v>
      </c>
      <c r="BH382" s="144" t="e">
        <f>IF(AND($I$372=1,$C$372=0),$N$372+$H$372/$Z$366*$M$19,NA())</f>
        <v>#N/A</v>
      </c>
      <c r="BI382" s="144" t="e">
        <f>IF($I$373=1,$M$373+$H$373/$Z$366*$L$19,NA())</f>
        <v>#N/A</v>
      </c>
      <c r="BJ382" s="144" t="e">
        <f>IF($S$373=1,$N$373+$H$373/$Z$366*$M$19,NA())</f>
        <v>#N/A</v>
      </c>
      <c r="BK382" s="144" t="e">
        <f>IF(AND($I$373=1,$C$373=1,$S$373=0),$N$373+$H$373/$Z$366*$M$19,NA())</f>
        <v>#N/A</v>
      </c>
      <c r="BL382" s="144" t="e">
        <f>IF(AND($I$373=1,$C$373=0),$N$373+$H$373/$Z$366*$M$19,NA())</f>
        <v>#N/A</v>
      </c>
      <c r="BM382" s="144" t="e">
        <f>IF($I$374=1,$M$374+$H$374/$Z$366*$L$19,NA())</f>
        <v>#N/A</v>
      </c>
      <c r="BN382" s="144" t="e">
        <f>IF($S$374=1,$N$374+$H$374/$Z$366*$M$19,NA())</f>
        <v>#N/A</v>
      </c>
      <c r="BO382" s="144" t="e">
        <f>IF(AND($I$374=1,$C$374=1,$S$374=0),$N$374+$H$374/$Z$366*$M$19,NA())</f>
        <v>#N/A</v>
      </c>
      <c r="BP382" s="144" t="e">
        <f>IF(AND($I$374=1,$C$374=0),$N$374+$H$374/$Z$366*$M$19,NA())</f>
        <v>#N/A</v>
      </c>
    </row>
    <row r="383">
      <c r="A383" s="63" t="inlineStr">
        <is>
          <t xml:space="preserve">centre (b)</t>
        </is>
      </c>
      <c r="C383" s="146">
        <f>IF($Q$366=0,NA(),$Q$366)</f>
        <v>5</v>
      </c>
      <c r="D383" s="145" t="str">
        <f>IF($Q$366=0,"",INDEX($AJ$368:$AJ$374,$Q$366))</f>
        <v>S₅ = Sᵢ  ·  g 2→1  → D</v>
      </c>
      <c r="E383" s="144">
        <f>IF($Q$366=0,NA(),INDEX($M$368:$M$374,$Q$366))</f>
        <v>-0.0841720720804312</v>
      </c>
      <c r="F383" s="144">
        <f>IF($Q$366=0,NA(),INDEX($N$368:$N$374,$Q$366))</f>
        <v>-0.108049639179229</v>
      </c>
      <c r="AN383" s="146">
        <v>15</v>
      </c>
      <c r="AO383" s="144">
        <f>IF($I$368=1,$M$368+$H$368/$Z$366*$L$20,NA())</f>
        <v>-0.380605374646407</v>
      </c>
      <c r="AP383" s="144">
        <f>IF($S$368=1,$N$368+$H$368/$Z$366*$M$20,NA())</f>
        <v>-0.0413794254351657</v>
      </c>
      <c r="AQ383" s="144" t="e">
        <f>IF(AND($I$368=1,$C$368=1,$S$368=0),$N$368+$H$368/$Z$366*$M$20,NA())</f>
        <v>#N/A</v>
      </c>
      <c r="AR383" s="144" t="e">
        <f>IF(AND($I$368=1,$C$368=0),$N$368+$H$368/$Z$366*$M$20,NA())</f>
        <v>#N/A</v>
      </c>
      <c r="AS383" s="144">
        <f>IF($I$369=1,$M$369+$H$369/$Z$366*$L$20,NA())</f>
        <v>-0.0838558177863544</v>
      </c>
      <c r="AT383" s="144">
        <f>IF($S$369=1,$N$369+$H$369/$Z$366*$M$20,NA())</f>
        <v>-0.274779849003534</v>
      </c>
      <c r="AU383" s="144" t="e">
        <f>IF(AND($I$369=1,$C$369=1,$S$369=0),$N$369+$H$369/$Z$366*$M$20,NA())</f>
        <v>#N/A</v>
      </c>
      <c r="AV383" s="144" t="e">
        <f>IF(AND($I$369=1,$C$369=0),$N$369+$H$369/$Z$366*$M$20,NA())</f>
        <v>#N/A</v>
      </c>
      <c r="AW383" s="144" t="e">
        <f>IF($I$370=1,$M$370+$H$370/$Z$366*$L$20,NA())</f>
        <v>#N/A</v>
      </c>
      <c r="AX383" s="144" t="e">
        <f>IF($S$370=1,$N$370+$H$370/$Z$366*$M$20,NA())</f>
        <v>#N/A</v>
      </c>
      <c r="AY383" s="144" t="e">
        <f>IF(AND($I$370=1,$C$370=1,$S$370=0),$N$370+$H$370/$Z$366*$M$20,NA())</f>
        <v>#N/A</v>
      </c>
      <c r="AZ383" s="144" t="e">
        <f>IF(AND($I$370=1,$C$370=0),$N$370+$H$370/$Z$366*$M$20,NA())</f>
        <v>#N/A</v>
      </c>
      <c r="BA383" s="144">
        <f>IF($I$371=1,$M$371+$H$371/$Z$366*$L$20,NA())</f>
        <v>-0.788384851295776</v>
      </c>
      <c r="BB383" s="144" t="e">
        <f>IF($S$371=1,$N$371+$H$371/$Z$366*$M$20,NA())</f>
        <v>#N/A</v>
      </c>
      <c r="BC383" s="144">
        <f>IF(AND($I$371=1,$C$371=1,$S$371=0),$N$371+$H$371/$Z$366*$M$20,NA())</f>
        <v>-0.597460820078595</v>
      </c>
      <c r="BD383" s="144" t="e">
        <f>IF(AND($I$371=1,$C$371=0),$N$371+$H$371/$Z$366*$M$20,NA())</f>
        <v>#N/A</v>
      </c>
      <c r="BE383" s="144">
        <f>IF($I$372=1,$M$372+$H$372/$Z$366*$L$20,NA())</f>
        <v>-0.460151313028831</v>
      </c>
      <c r="BF383" s="144">
        <f>IF($S$372=1,$N$372+$H$372/$Z$366*$M$20,NA())</f>
        <v>-0.484028880127628</v>
      </c>
      <c r="BG383" s="144" t="e">
        <f>IF(AND($I$372=1,$C$372=1,$S$372=0),$N$372+$H$372/$Z$366*$M$20,NA())</f>
        <v>#N/A</v>
      </c>
      <c r="BH383" s="144" t="e">
        <f>IF(AND($I$372=1,$C$372=0),$N$372+$H$372/$Z$366*$M$20,NA())</f>
        <v>#N/A</v>
      </c>
      <c r="BI383" s="144" t="e">
        <f>IF($I$373=1,$M$373+$H$373/$Z$366*$L$20,NA())</f>
        <v>#N/A</v>
      </c>
      <c r="BJ383" s="144" t="e">
        <f>IF($S$373=1,$N$373+$H$373/$Z$366*$M$20,NA())</f>
        <v>#N/A</v>
      </c>
      <c r="BK383" s="144" t="e">
        <f>IF(AND($I$373=1,$C$373=1,$S$373=0),$N$373+$H$373/$Z$366*$M$20,NA())</f>
        <v>#N/A</v>
      </c>
      <c r="BL383" s="144" t="e">
        <f>IF(AND($I$373=1,$C$373=0),$N$373+$H$373/$Z$366*$M$20,NA())</f>
        <v>#N/A</v>
      </c>
      <c r="BM383" s="144" t="e">
        <f>IF($I$374=1,$M$374+$H$374/$Z$366*$L$20,NA())</f>
        <v>#N/A</v>
      </c>
      <c r="BN383" s="144" t="e">
        <f>IF($S$374=1,$N$374+$H$374/$Z$366*$M$20,NA())</f>
        <v>#N/A</v>
      </c>
      <c r="BO383" s="144" t="e">
        <f>IF(AND($I$374=1,$C$374=1,$S$374=0),$N$374+$H$374/$Z$366*$M$20,NA())</f>
        <v>#N/A</v>
      </c>
      <c r="BP383" s="144" t="e">
        <f>IF(AND($I$374=1,$C$374=0),$N$374+$H$374/$Z$366*$M$20,NA())</f>
        <v>#N/A</v>
      </c>
    </row>
    <row r="384">
      <c r="A384" s="63" t="inlineStr">
        <is>
          <t xml:space="preserve">caption, top left (r)</t>
        </is>
      </c>
      <c r="D384" s="145" t="str">
        <f>IF($Q$366=0,"","Sᵢ = "&amp;'ERDR Iterations'!$K$62&amp;"   ·   L = "&amp;'ERDR Iterations'!$K$65)</f>
        <v>Sᵢ = S₅   ·   L = {S₁, S₂, S₅}</v>
      </c>
      <c r="E384" s="144">
        <f>IF($Q$366=0,NA(),-0.97)</f>
        <v>-0.97</v>
      </c>
      <c r="F384" s="144">
        <f>IF($Q$366=0,NA(),0.955)</f>
        <v>0.955</v>
      </c>
      <c r="AN384" s="146">
        <v>16</v>
      </c>
      <c r="AO384" s="144">
        <f>IF($I$368=1,$M$368+$H$368/$Z$366*$L$21,NA())</f>
        <v>-0.293782070494356</v>
      </c>
      <c r="AP384" s="144">
        <f>IF($S$368=1,$N$368+$H$368/$Z$366*$M$21,NA())</f>
        <v>-0.10800128989654</v>
      </c>
      <c r="AQ384" s="144" t="e">
        <f>IF(AND($I$368=1,$C$368=1,$S$368=0),$N$368+$H$368/$Z$366*$M$21,NA())</f>
        <v>#N/A</v>
      </c>
      <c r="AR384" s="144" t="e">
        <f>IF(AND($I$368=1,$C$368=0),$N$368+$H$368/$Z$366*$M$21,NA())</f>
        <v>#N/A</v>
      </c>
      <c r="AS384" s="144">
        <f>IF($I$369=1,$M$369+$H$369/$Z$366*$L$21,NA())</f>
        <v>0.0318135497583892</v>
      </c>
      <c r="AT384" s="144">
        <f>IF($S$369=1,$N$369+$H$369/$Z$366*$M$21,NA())</f>
        <v>-0.363536076403074</v>
      </c>
      <c r="AU384" s="144" t="e">
        <f>IF(AND($I$369=1,$C$369=1,$S$369=0),$N$369+$H$369/$Z$366*$M$21,NA())</f>
        <v>#N/A</v>
      </c>
      <c r="AV384" s="144" t="e">
        <f>IF(AND($I$369=1,$C$369=0),$N$369+$H$369/$Z$366*$M$21,NA())</f>
        <v>#N/A</v>
      </c>
      <c r="AW384" s="144" t="e">
        <f>IF($I$370=1,$M$370+$H$370/$Z$366*$L$21,NA())</f>
        <v>#N/A</v>
      </c>
      <c r="AX384" s="144" t="e">
        <f>IF($S$370=1,$N$370+$H$370/$Z$366*$M$21,NA())</f>
        <v>#N/A</v>
      </c>
      <c r="AY384" s="144" t="e">
        <f>IF(AND($I$370=1,$C$370=1,$S$370=0),$N$370+$H$370/$Z$366*$M$21,NA())</f>
        <v>#N/A</v>
      </c>
      <c r="AZ384" s="144" t="e">
        <f>IF(AND($I$370=1,$C$370=0),$N$370+$H$370/$Z$366*$M$21,NA())</f>
        <v>#N/A</v>
      </c>
      <c r="BA384" s="144">
        <f>IF($I$371=1,$M$371+$H$371/$Z$366*$L$21,NA())</f>
        <v>-0.730981663930421</v>
      </c>
      <c r="BB384" s="144" t="e">
        <f>IF($S$371=1,$N$371+$H$371/$Z$366*$M$21,NA())</f>
        <v>#N/A</v>
      </c>
      <c r="BC384" s="144">
        <f>IF(AND($I$371=1,$C$371=1,$S$371=0),$N$371+$H$371/$Z$366*$M$21,NA())</f>
        <v>-0.641507834940045</v>
      </c>
      <c r="BD384" s="144" t="e">
        <f>IF(AND($I$371=1,$C$371=0),$N$371+$H$371/$Z$366*$M$21,NA())</f>
        <v>#N/A</v>
      </c>
      <c r="BE384" s="144">
        <f>IF($I$372=1,$M$372+$H$372/$Z$366*$L$21,NA())</f>
        <v>-0.350029542940416</v>
      </c>
      <c r="BF384" s="144">
        <f>IF($S$372=1,$N$372+$H$372/$Z$366*$M$21,NA())</f>
        <v>-0.568528286280484</v>
      </c>
      <c r="BG384" s="144" t="e">
        <f>IF(AND($I$372=1,$C$372=1,$S$372=0),$N$372+$H$372/$Z$366*$M$21,NA())</f>
        <v>#N/A</v>
      </c>
      <c r="BH384" s="144" t="e">
        <f>IF(AND($I$372=1,$C$372=0),$N$372+$H$372/$Z$366*$M$21,NA())</f>
        <v>#N/A</v>
      </c>
      <c r="BI384" s="144" t="e">
        <f>IF($I$373=1,$M$373+$H$373/$Z$366*$L$21,NA())</f>
        <v>#N/A</v>
      </c>
      <c r="BJ384" s="144" t="e">
        <f>IF($S$373=1,$N$373+$H$373/$Z$366*$M$21,NA())</f>
        <v>#N/A</v>
      </c>
      <c r="BK384" s="144" t="e">
        <f>IF(AND($I$373=1,$C$373=1,$S$373=0),$N$373+$H$373/$Z$366*$M$21,NA())</f>
        <v>#N/A</v>
      </c>
      <c r="BL384" s="144" t="e">
        <f>IF(AND($I$373=1,$C$373=0),$N$373+$H$373/$Z$366*$M$21,NA())</f>
        <v>#N/A</v>
      </c>
      <c r="BM384" s="144" t="e">
        <f>IF($I$374=1,$M$374+$H$374/$Z$366*$L$21,NA())</f>
        <v>#N/A</v>
      </c>
      <c r="BN384" s="144" t="e">
        <f>IF($S$374=1,$N$374+$H$374/$Z$366*$M$21,NA())</f>
        <v>#N/A</v>
      </c>
      <c r="BO384" s="144" t="e">
        <f>IF(AND($I$374=1,$C$374=1,$S$374=0),$N$374+$H$374/$Z$366*$M$21,NA())</f>
        <v>#N/A</v>
      </c>
      <c r="BP384" s="144" t="e">
        <f>IF(AND($I$374=1,$C$374=0),$N$374+$H$374/$Z$366*$M$21,NA())</f>
        <v>#N/A</v>
      </c>
    </row>
    <row r="385">
      <c r="A385" s="63" t="inlineStr">
        <is>
          <t xml:space="preserve">caption, bottom left (r)</t>
        </is>
      </c>
      <c r="D385" s="145" t="str">
        <f>IF($Q$366=0,"",'ERDR Iterations'!$K$67)</f>
        <v>|L| &gt; 1 → Step 5 corrects g</v>
      </c>
      <c r="E385" s="144">
        <f>IF($Q$366=0,NA(),-0.97)</f>
        <v>-0.97</v>
      </c>
      <c r="F385" s="144">
        <f>IF($Q$366=0,NA(),-0.955)</f>
        <v>-0.955</v>
      </c>
      <c r="AN385" s="146">
        <v>17</v>
      </c>
      <c r="AO385" s="144">
        <f>IF($I$368=1,$M$368+$H$368/$Z$366*$L$22,NA())</f>
        <v>-0.192674191347297</v>
      </c>
      <c r="AP385" s="144">
        <f>IF($S$368=1,$N$368+$H$368/$Z$366*$M$22,NA())</f>
        <v>-0.149881544702032</v>
      </c>
      <c r="AQ385" s="144" t="e">
        <f>IF(AND($I$368=1,$C$368=1,$S$368=0),$N$368+$H$368/$Z$366*$M$22,NA())</f>
        <v>#N/A</v>
      </c>
      <c r="AR385" s="144" t="e">
        <f>IF(AND($I$368=1,$C$368=0),$N$368+$H$368/$Z$366*$M$22,NA())</f>
        <v>#N/A</v>
      </c>
      <c r="AS385" s="144">
        <f>IF($I$369=1,$M$369+$H$369/$Z$366*$L$22,NA())</f>
        <v>0.166513381202831</v>
      </c>
      <c r="AT385" s="144">
        <f>IF($S$369=1,$N$369+$H$369/$Z$366*$M$22,NA())</f>
        <v>-0.419330573436731</v>
      </c>
      <c r="AU385" s="144" t="e">
        <f>IF(AND($I$369=1,$C$369=1,$S$369=0),$N$369+$H$369/$Z$366*$M$22,NA())</f>
        <v>#N/A</v>
      </c>
      <c r="AV385" s="144" t="e">
        <f>IF(AND($I$369=1,$C$369=0),$N$369+$H$369/$Z$366*$M$22,NA())</f>
        <v>#N/A</v>
      </c>
      <c r="AW385" s="144" t="e">
        <f>IF($I$370=1,$M$370+$H$370/$Z$366*$L$22,NA())</f>
        <v>#N/A</v>
      </c>
      <c r="AX385" s="144" t="e">
        <f>IF($S$370=1,$N$370+$H$370/$Z$366*$M$22,NA())</f>
        <v>#N/A</v>
      </c>
      <c r="AY385" s="144" t="e">
        <f>IF(AND($I$370=1,$C$370=1,$S$370=0),$N$370+$H$370/$Z$366*$M$22,NA())</f>
        <v>#N/A</v>
      </c>
      <c r="AZ385" s="144" t="e">
        <f>IF(AND($I$370=1,$C$370=0),$N$370+$H$370/$Z$366*$M$22,NA())</f>
        <v>#N/A</v>
      </c>
      <c r="BA385" s="144">
        <f>IF($I$371=1,$M$371+$H$371/$Z$366*$L$22,NA())</f>
        <v>-0.664134236416857</v>
      </c>
      <c r="BB385" s="144" t="e">
        <f>IF($S$371=1,$N$371+$H$371/$Z$366*$M$22,NA())</f>
        <v>#N/A</v>
      </c>
      <c r="BC385" s="144">
        <f>IF(AND($I$371=1,$C$371=1,$S$371=0),$N$371+$H$371/$Z$366*$M$22,NA())</f>
        <v>-0.669196946025915</v>
      </c>
      <c r="BD385" s="144" t="e">
        <f>IF(AND($I$371=1,$C$371=0),$N$371+$H$371/$Z$366*$M$22,NA())</f>
        <v>#N/A</v>
      </c>
      <c r="BE385" s="144">
        <f>IF($I$372=1,$M$372+$H$372/$Z$366*$L$22,NA())</f>
        <v>-0.221790025563136</v>
      </c>
      <c r="BF385" s="144">
        <f>IF($S$372=1,$N$372+$H$372/$Z$366*$M$22,NA())</f>
        <v>-0.621646833610333</v>
      </c>
      <c r="BG385" s="144" t="e">
        <f>IF(AND($I$372=1,$C$372=1,$S$372=0),$N$372+$H$372/$Z$366*$M$22,NA())</f>
        <v>#N/A</v>
      </c>
      <c r="BH385" s="144" t="e">
        <f>IF(AND($I$372=1,$C$372=0),$N$372+$H$372/$Z$366*$M$22,NA())</f>
        <v>#N/A</v>
      </c>
      <c r="BI385" s="144" t="e">
        <f>IF($I$373=1,$M$373+$H$373/$Z$366*$L$22,NA())</f>
        <v>#N/A</v>
      </c>
      <c r="BJ385" s="144" t="e">
        <f>IF($S$373=1,$N$373+$H$373/$Z$366*$M$22,NA())</f>
        <v>#N/A</v>
      </c>
      <c r="BK385" s="144" t="e">
        <f>IF(AND($I$373=1,$C$373=1,$S$373=0),$N$373+$H$373/$Z$366*$M$22,NA())</f>
        <v>#N/A</v>
      </c>
      <c r="BL385" s="144" t="e">
        <f>IF(AND($I$373=1,$C$373=0),$N$373+$H$373/$Z$366*$M$22,NA())</f>
        <v>#N/A</v>
      </c>
      <c r="BM385" s="144" t="e">
        <f>IF($I$374=1,$M$374+$H$374/$Z$366*$L$22,NA())</f>
        <v>#N/A</v>
      </c>
      <c r="BN385" s="144" t="e">
        <f>IF($S$374=1,$N$374+$H$374/$Z$366*$M$22,NA())</f>
        <v>#N/A</v>
      </c>
      <c r="BO385" s="144" t="e">
        <f>IF(AND($I$374=1,$C$374=1,$S$374=0),$N$374+$H$374/$Z$366*$M$22,NA())</f>
        <v>#N/A</v>
      </c>
      <c r="BP385" s="144" t="e">
        <f>IF(AND($I$374=1,$C$374=0),$N$374+$H$374/$Z$366*$M$22,NA())</f>
        <v>#N/A</v>
      </c>
    </row>
    <row r="386">
      <c r="AN386" s="146">
        <v>18</v>
      </c>
      <c r="AO386" s="144">
        <f>IF($I$368=1,$M$368+$H$368/$Z$366*$L$23,NA())</f>
        <v>-0.0841720720804312</v>
      </c>
      <c r="AP386" s="144">
        <f>IF($S$368=1,$N$368+$H$368/$Z$366*$M$23,NA())</f>
        <v>-0.16416611969704</v>
      </c>
      <c r="AQ386" s="144" t="e">
        <f>IF(AND($I$368=1,$C$368=1,$S$368=0),$N$368+$H$368/$Z$366*$M$23,NA())</f>
        <v>#N/A</v>
      </c>
      <c r="AR386" s="144" t="e">
        <f>IF(AND($I$368=1,$C$368=0),$N$368+$H$368/$Z$366*$M$23,NA())</f>
        <v>#N/A</v>
      </c>
      <c r="AS386" s="144">
        <f>IF($I$369=1,$M$369+$H$369/$Z$366*$L$23,NA())</f>
        <v>0.311064105636028</v>
      </c>
      <c r="AT386" s="144">
        <f>IF($S$369=1,$N$369+$H$369/$Z$366*$M$23,NA())</f>
        <v>-0.438361037336429</v>
      </c>
      <c r="AU386" s="144" t="e">
        <f>IF(AND($I$369=1,$C$369=1,$S$369=0),$N$369+$H$369/$Z$366*$M$23,NA())</f>
        <v>#N/A</v>
      </c>
      <c r="AV386" s="144" t="e">
        <f>IF(AND($I$369=1,$C$369=0),$N$369+$H$369/$Z$366*$M$23,NA())</f>
        <v>#N/A</v>
      </c>
      <c r="AW386" s="144" t="e">
        <f>IF($I$370=1,$M$370+$H$370/$Z$366*$L$23,NA())</f>
        <v>#N/A</v>
      </c>
      <c r="AX386" s="144" t="e">
        <f>IF($S$370=1,$N$370+$H$370/$Z$366*$M$23,NA())</f>
        <v>#N/A</v>
      </c>
      <c r="AY386" s="144" t="e">
        <f>IF(AND($I$370=1,$C$370=1,$S$370=0),$N$370+$H$370/$Z$366*$M$23,NA())</f>
        <v>#N/A</v>
      </c>
      <c r="AZ386" s="144" t="e">
        <f>IF(AND($I$370=1,$C$370=0),$N$370+$H$370/$Z$366*$M$23,NA())</f>
        <v>#N/A</v>
      </c>
      <c r="BA386" s="144">
        <f>IF($I$371=1,$M$371+$H$371/$Z$366*$L$23,NA())</f>
        <v>-0.592398110469537</v>
      </c>
      <c r="BB386" s="144" t="e">
        <f>IF($S$371=1,$N$371+$H$371/$Z$366*$M$23,NA())</f>
        <v>#N/A</v>
      </c>
      <c r="BC386" s="144">
        <f>IF(AND($I$371=1,$C$371=1,$S$371=0),$N$371+$H$371/$Z$366*$M$23,NA())</f>
        <v>-0.678641186174124</v>
      </c>
      <c r="BD386" s="144" t="e">
        <f>IF(AND($I$371=1,$C$371=0),$N$371+$H$371/$Z$366*$M$23,NA())</f>
        <v>#N/A</v>
      </c>
      <c r="BE386" s="144">
        <f>IF($I$372=1,$M$372+$H$372/$Z$366*$L$23,NA())</f>
        <v>-0.0841720720804313</v>
      </c>
      <c r="BF386" s="144">
        <f>IF($S$372=1,$N$372+$H$372/$Z$366*$M$23,NA())</f>
        <v>-0.639764580899197</v>
      </c>
      <c r="BG386" s="144" t="e">
        <f>IF(AND($I$372=1,$C$372=1,$S$372=0),$N$372+$H$372/$Z$366*$M$23,NA())</f>
        <v>#N/A</v>
      </c>
      <c r="BH386" s="144" t="e">
        <f>IF(AND($I$372=1,$C$372=0),$N$372+$H$372/$Z$366*$M$23,NA())</f>
        <v>#N/A</v>
      </c>
      <c r="BI386" s="144" t="e">
        <f>IF($I$373=1,$M$373+$H$373/$Z$366*$L$23,NA())</f>
        <v>#N/A</v>
      </c>
      <c r="BJ386" s="144" t="e">
        <f>IF($S$373=1,$N$373+$H$373/$Z$366*$M$23,NA())</f>
        <v>#N/A</v>
      </c>
      <c r="BK386" s="144" t="e">
        <f>IF(AND($I$373=1,$C$373=1,$S$373=0),$N$373+$H$373/$Z$366*$M$23,NA())</f>
        <v>#N/A</v>
      </c>
      <c r="BL386" s="144" t="e">
        <f>IF(AND($I$373=1,$C$373=0),$N$373+$H$373/$Z$366*$M$23,NA())</f>
        <v>#N/A</v>
      </c>
      <c r="BM386" s="144" t="e">
        <f>IF($I$374=1,$M$374+$H$374/$Z$366*$L$23,NA())</f>
        <v>#N/A</v>
      </c>
      <c r="BN386" s="144" t="e">
        <f>IF($S$374=1,$N$374+$H$374/$Z$366*$M$23,NA())</f>
        <v>#N/A</v>
      </c>
      <c r="BO386" s="144" t="e">
        <f>IF(AND($I$374=1,$C$374=1,$S$374=0),$N$374+$H$374/$Z$366*$M$23,NA())</f>
        <v>#N/A</v>
      </c>
      <c r="BP386" s="144" t="e">
        <f>IF(AND($I$374=1,$C$374=0),$N$374+$H$374/$Z$366*$M$23,NA())</f>
        <v>#N/A</v>
      </c>
    </row>
    <row r="387">
      <c r="AN387" s="146">
        <v>19</v>
      </c>
      <c r="AO387" s="144">
        <f>IF($I$368=1,$M$368+$H$368/$Z$366*$L$24,NA())</f>
        <v>0.0243300471864346</v>
      </c>
      <c r="AP387" s="144">
        <f>IF($S$368=1,$N$368+$H$368/$Z$366*$M$24,NA())</f>
        <v>-0.149881544702032</v>
      </c>
      <c r="AQ387" s="144" t="e">
        <f>IF(AND($I$368=1,$C$368=1,$S$368=0),$N$368+$H$368/$Z$366*$M$24,NA())</f>
        <v>#N/A</v>
      </c>
      <c r="AR387" s="144" t="e">
        <f>IF(AND($I$368=1,$C$368=0),$N$368+$H$368/$Z$366*$M$24,NA())</f>
        <v>#N/A</v>
      </c>
      <c r="AS387" s="144">
        <f>IF($I$369=1,$M$369+$H$369/$Z$366*$L$24,NA())</f>
        <v>0.455614830069224</v>
      </c>
      <c r="AT387" s="144">
        <f>IF($S$369=1,$N$369+$H$369/$Z$366*$M$24,NA())</f>
        <v>-0.419330573436731</v>
      </c>
      <c r="AU387" s="144" t="e">
        <f>IF(AND($I$369=1,$C$369=1,$S$369=0),$N$369+$H$369/$Z$366*$M$24,NA())</f>
        <v>#N/A</v>
      </c>
      <c r="AV387" s="144" t="e">
        <f>IF(AND($I$369=1,$C$369=0),$N$369+$H$369/$Z$366*$M$24,NA())</f>
        <v>#N/A</v>
      </c>
      <c r="AW387" s="144" t="e">
        <f>IF($I$370=1,$M$370+$H$370/$Z$366*$L$24,NA())</f>
        <v>#N/A</v>
      </c>
      <c r="AX387" s="144" t="e">
        <f>IF($S$370=1,$N$370+$H$370/$Z$366*$M$24,NA())</f>
        <v>#N/A</v>
      </c>
      <c r="AY387" s="144" t="e">
        <f>IF(AND($I$370=1,$C$370=1,$S$370=0),$N$370+$H$370/$Z$366*$M$24,NA())</f>
        <v>#N/A</v>
      </c>
      <c r="AZ387" s="144" t="e">
        <f>IF(AND($I$370=1,$C$370=0),$N$370+$H$370/$Z$366*$M$24,NA())</f>
        <v>#N/A</v>
      </c>
      <c r="BA387" s="144">
        <f>IF($I$371=1,$M$371+$H$371/$Z$366*$L$24,NA())</f>
        <v>-0.520661984522217</v>
      </c>
      <c r="BB387" s="144" t="e">
        <f>IF($S$371=1,$N$371+$H$371/$Z$366*$M$24,NA())</f>
        <v>#N/A</v>
      </c>
      <c r="BC387" s="144">
        <f>IF(AND($I$371=1,$C$371=1,$S$371=0),$N$371+$H$371/$Z$366*$M$24,NA())</f>
        <v>-0.669196946025915</v>
      </c>
      <c r="BD387" s="144" t="e">
        <f>IF(AND($I$371=1,$C$371=0),$N$371+$H$371/$Z$366*$M$24,NA())</f>
        <v>#N/A</v>
      </c>
      <c r="BE387" s="144">
        <f>IF($I$372=1,$M$372+$H$372/$Z$366*$L$24,NA())</f>
        <v>0.0534458814022733</v>
      </c>
      <c r="BF387" s="144">
        <f>IF($S$372=1,$N$372+$H$372/$Z$366*$M$24,NA())</f>
        <v>-0.621646833610333</v>
      </c>
      <c r="BG387" s="144" t="e">
        <f>IF(AND($I$372=1,$C$372=1,$S$372=0),$N$372+$H$372/$Z$366*$M$24,NA())</f>
        <v>#N/A</v>
      </c>
      <c r="BH387" s="144" t="e">
        <f>IF(AND($I$372=1,$C$372=0),$N$372+$H$372/$Z$366*$M$24,NA())</f>
        <v>#N/A</v>
      </c>
      <c r="BI387" s="144" t="e">
        <f>IF($I$373=1,$M$373+$H$373/$Z$366*$L$24,NA())</f>
        <v>#N/A</v>
      </c>
      <c r="BJ387" s="144" t="e">
        <f>IF($S$373=1,$N$373+$H$373/$Z$366*$M$24,NA())</f>
        <v>#N/A</v>
      </c>
      <c r="BK387" s="144" t="e">
        <f>IF(AND($I$373=1,$C$373=1,$S$373=0),$N$373+$H$373/$Z$366*$M$24,NA())</f>
        <v>#N/A</v>
      </c>
      <c r="BL387" s="144" t="e">
        <f>IF(AND($I$373=1,$C$373=0),$N$373+$H$373/$Z$366*$M$24,NA())</f>
        <v>#N/A</v>
      </c>
      <c r="BM387" s="144" t="e">
        <f>IF($I$374=1,$M$374+$H$374/$Z$366*$L$24,NA())</f>
        <v>#N/A</v>
      </c>
      <c r="BN387" s="144" t="e">
        <f>IF($S$374=1,$N$374+$H$374/$Z$366*$M$24,NA())</f>
        <v>#N/A</v>
      </c>
      <c r="BO387" s="144" t="e">
        <f>IF(AND($I$374=1,$C$374=1,$S$374=0),$N$374+$H$374/$Z$366*$M$24,NA())</f>
        <v>#N/A</v>
      </c>
      <c r="BP387" s="144" t="e">
        <f>IF(AND($I$374=1,$C$374=0),$N$374+$H$374/$Z$366*$M$24,NA())</f>
        <v>#N/A</v>
      </c>
    </row>
    <row r="388">
      <c r="AN388" s="146">
        <v>20</v>
      </c>
      <c r="AO388" s="144">
        <f>IF($I$368=1,$M$368+$H$368/$Z$366*$L$25,NA())</f>
        <v>0.125437926333494</v>
      </c>
      <c r="AP388" s="144">
        <f>IF($S$368=1,$N$368+$H$368/$Z$366*$M$25,NA())</f>
        <v>-0.10800128989654</v>
      </c>
      <c r="AQ388" s="144" t="e">
        <f>IF(AND($I$368=1,$C$368=1,$S$368=0),$N$368+$H$368/$Z$366*$M$25,NA())</f>
        <v>#N/A</v>
      </c>
      <c r="AR388" s="144" t="e">
        <f>IF(AND($I$368=1,$C$368=0),$N$368+$H$368/$Z$366*$M$25,NA())</f>
        <v>#N/A</v>
      </c>
      <c r="AS388" s="144">
        <f>IF($I$369=1,$M$369+$H$369/$Z$366*$L$25,NA())</f>
        <v>0.590314661513666</v>
      </c>
      <c r="AT388" s="144">
        <f>IF($S$369=1,$N$369+$H$369/$Z$366*$M$25,NA())</f>
        <v>-0.363536076403074</v>
      </c>
      <c r="AU388" s="144" t="e">
        <f>IF(AND($I$369=1,$C$369=1,$S$369=0),$N$369+$H$369/$Z$366*$M$25,NA())</f>
        <v>#N/A</v>
      </c>
      <c r="AV388" s="144" t="e">
        <f>IF(AND($I$369=1,$C$369=0),$N$369+$H$369/$Z$366*$M$25,NA())</f>
        <v>#N/A</v>
      </c>
      <c r="AW388" s="144" t="e">
        <f>IF($I$370=1,$M$370+$H$370/$Z$366*$L$25,NA())</f>
        <v>#N/A</v>
      </c>
      <c r="AX388" s="144" t="e">
        <f>IF($S$370=1,$N$370+$H$370/$Z$366*$M$25,NA())</f>
        <v>#N/A</v>
      </c>
      <c r="AY388" s="144" t="e">
        <f>IF(AND($I$370=1,$C$370=1,$S$370=0),$N$370+$H$370/$Z$366*$M$25,NA())</f>
        <v>#N/A</v>
      </c>
      <c r="AZ388" s="144" t="e">
        <f>IF(AND($I$370=1,$C$370=0),$N$370+$H$370/$Z$366*$M$25,NA())</f>
        <v>#N/A</v>
      </c>
      <c r="BA388" s="144">
        <f>IF($I$371=1,$M$371+$H$371/$Z$366*$L$25,NA())</f>
        <v>-0.453814557008653</v>
      </c>
      <c r="BB388" s="144" t="e">
        <f>IF($S$371=1,$N$371+$H$371/$Z$366*$M$25,NA())</f>
        <v>#N/A</v>
      </c>
      <c r="BC388" s="144">
        <f>IF(AND($I$371=1,$C$371=1,$S$371=0),$N$371+$H$371/$Z$366*$M$25,NA())</f>
        <v>-0.641507834940045</v>
      </c>
      <c r="BD388" s="144" t="e">
        <f>IF(AND($I$371=1,$C$371=0),$N$371+$H$371/$Z$366*$M$25,NA())</f>
        <v>#N/A</v>
      </c>
      <c r="BE388" s="144">
        <f>IF($I$372=1,$M$372+$H$372/$Z$366*$L$25,NA())</f>
        <v>0.181685398779553</v>
      </c>
      <c r="BF388" s="144">
        <f>IF($S$372=1,$N$372+$H$372/$Z$366*$M$25,NA())</f>
        <v>-0.568528286280484</v>
      </c>
      <c r="BG388" s="144" t="e">
        <f>IF(AND($I$372=1,$C$372=1,$S$372=0),$N$372+$H$372/$Z$366*$M$25,NA())</f>
        <v>#N/A</v>
      </c>
      <c r="BH388" s="144" t="e">
        <f>IF(AND($I$372=1,$C$372=0),$N$372+$H$372/$Z$366*$M$25,NA())</f>
        <v>#N/A</v>
      </c>
      <c r="BI388" s="144" t="e">
        <f>IF($I$373=1,$M$373+$H$373/$Z$366*$L$25,NA())</f>
        <v>#N/A</v>
      </c>
      <c r="BJ388" s="144" t="e">
        <f>IF($S$373=1,$N$373+$H$373/$Z$366*$M$25,NA())</f>
        <v>#N/A</v>
      </c>
      <c r="BK388" s="144" t="e">
        <f>IF(AND($I$373=1,$C$373=1,$S$373=0),$N$373+$H$373/$Z$366*$M$25,NA())</f>
        <v>#N/A</v>
      </c>
      <c r="BL388" s="144" t="e">
        <f>IF(AND($I$373=1,$C$373=0),$N$373+$H$373/$Z$366*$M$25,NA())</f>
        <v>#N/A</v>
      </c>
      <c r="BM388" s="144" t="e">
        <f>IF($I$374=1,$M$374+$H$374/$Z$366*$L$25,NA())</f>
        <v>#N/A</v>
      </c>
      <c r="BN388" s="144" t="e">
        <f>IF($S$374=1,$N$374+$H$374/$Z$366*$M$25,NA())</f>
        <v>#N/A</v>
      </c>
      <c r="BO388" s="144" t="e">
        <f>IF(AND($I$374=1,$C$374=1,$S$374=0),$N$374+$H$374/$Z$366*$M$25,NA())</f>
        <v>#N/A</v>
      </c>
      <c r="BP388" s="144" t="e">
        <f>IF(AND($I$374=1,$C$374=0),$N$374+$H$374/$Z$366*$M$25,NA())</f>
        <v>#N/A</v>
      </c>
    </row>
    <row r="389">
      <c r="AN389" s="146">
        <v>21</v>
      </c>
      <c r="AO389" s="144">
        <f>IF($I$368=1,$M$368+$H$368/$Z$366*$L$26,NA())</f>
        <v>0.212261230485545</v>
      </c>
      <c r="AP389" s="144">
        <f>IF($S$368=1,$N$368+$H$368/$Z$366*$M$26,NA())</f>
        <v>-0.0413794254351659</v>
      </c>
      <c r="AQ389" s="144" t="e">
        <f>IF(AND($I$368=1,$C$368=1,$S$368=0),$N$368+$H$368/$Z$366*$M$26,NA())</f>
        <v>#N/A</v>
      </c>
      <c r="AR389" s="144" t="e">
        <f>IF(AND($I$368=1,$C$368=0),$N$368+$H$368/$Z$366*$M$26,NA())</f>
        <v>#N/A</v>
      </c>
      <c r="AS389" s="144">
        <f>IF($I$369=1,$M$369+$H$369/$Z$366*$L$26,NA())</f>
        <v>0.70598402905841</v>
      </c>
      <c r="AT389" s="144">
        <f>IF($S$369=1,$N$369+$H$369/$Z$366*$M$26,NA())</f>
        <v>-0.274779849003535</v>
      </c>
      <c r="AU389" s="144" t="e">
        <f>IF(AND($I$369=1,$C$369=1,$S$369=0),$N$369+$H$369/$Z$366*$M$26,NA())</f>
        <v>#N/A</v>
      </c>
      <c r="AV389" s="144" t="e">
        <f>IF(AND($I$369=1,$C$369=0),$N$369+$H$369/$Z$366*$M$26,NA())</f>
        <v>#N/A</v>
      </c>
      <c r="AW389" s="144" t="e">
        <f>IF($I$370=1,$M$370+$H$370/$Z$366*$L$26,NA())</f>
        <v>#N/A</v>
      </c>
      <c r="AX389" s="144" t="e">
        <f>IF($S$370=1,$N$370+$H$370/$Z$366*$M$26,NA())</f>
        <v>#N/A</v>
      </c>
      <c r="AY389" s="144" t="e">
        <f>IF(AND($I$370=1,$C$370=1,$S$370=0),$N$370+$H$370/$Z$366*$M$26,NA())</f>
        <v>#N/A</v>
      </c>
      <c r="AZ389" s="144" t="e">
        <f>IF(AND($I$370=1,$C$370=0),$N$370+$H$370/$Z$366*$M$26,NA())</f>
        <v>#N/A</v>
      </c>
      <c r="BA389" s="144">
        <f>IF($I$371=1,$M$371+$H$371/$Z$366*$L$26,NA())</f>
        <v>-0.396411369643298</v>
      </c>
      <c r="BB389" s="144" t="e">
        <f>IF($S$371=1,$N$371+$H$371/$Z$366*$M$26,NA())</f>
        <v>#N/A</v>
      </c>
      <c r="BC389" s="144">
        <f>IF(AND($I$371=1,$C$371=1,$S$371=0),$N$371+$H$371/$Z$366*$M$26,NA())</f>
        <v>-0.597460820078595</v>
      </c>
      <c r="BD389" s="144" t="e">
        <f>IF(AND($I$371=1,$C$371=0),$N$371+$H$371/$Z$366*$M$26,NA())</f>
        <v>#N/A</v>
      </c>
      <c r="BE389" s="144">
        <f>IF($I$372=1,$M$372+$H$372/$Z$366*$L$26,NA())</f>
        <v>0.291807168867968</v>
      </c>
      <c r="BF389" s="144">
        <f>IF($S$372=1,$N$372+$H$372/$Z$366*$M$26,NA())</f>
        <v>-0.484028880127629</v>
      </c>
      <c r="BG389" s="144" t="e">
        <f>IF(AND($I$372=1,$C$372=1,$S$372=0),$N$372+$H$372/$Z$366*$M$26,NA())</f>
        <v>#N/A</v>
      </c>
      <c r="BH389" s="144" t="e">
        <f>IF(AND($I$372=1,$C$372=0),$N$372+$H$372/$Z$366*$M$26,NA())</f>
        <v>#N/A</v>
      </c>
      <c r="BI389" s="144" t="e">
        <f>IF($I$373=1,$M$373+$H$373/$Z$366*$L$26,NA())</f>
        <v>#N/A</v>
      </c>
      <c r="BJ389" s="144" t="e">
        <f>IF($S$373=1,$N$373+$H$373/$Z$366*$M$26,NA())</f>
        <v>#N/A</v>
      </c>
      <c r="BK389" s="144" t="e">
        <f>IF(AND($I$373=1,$C$373=1,$S$373=0),$N$373+$H$373/$Z$366*$M$26,NA())</f>
        <v>#N/A</v>
      </c>
      <c r="BL389" s="144" t="e">
        <f>IF(AND($I$373=1,$C$373=0),$N$373+$H$373/$Z$366*$M$26,NA())</f>
        <v>#N/A</v>
      </c>
      <c r="BM389" s="144" t="e">
        <f>IF($I$374=1,$M$374+$H$374/$Z$366*$L$26,NA())</f>
        <v>#N/A</v>
      </c>
      <c r="BN389" s="144" t="e">
        <f>IF($S$374=1,$N$374+$H$374/$Z$366*$M$26,NA())</f>
        <v>#N/A</v>
      </c>
      <c r="BO389" s="144" t="e">
        <f>IF(AND($I$374=1,$C$374=1,$S$374=0),$N$374+$H$374/$Z$366*$M$26,NA())</f>
        <v>#N/A</v>
      </c>
      <c r="BP389" s="144" t="e">
        <f>IF(AND($I$374=1,$C$374=0),$N$374+$H$374/$Z$366*$M$26,NA())</f>
        <v>#N/A</v>
      </c>
    </row>
    <row r="390">
      <c r="AN390" s="146">
        <v>22</v>
      </c>
      <c r="AO390" s="144">
        <f>IF($I$368=1,$M$368+$H$368/$Z$366*$L$27,NA())</f>
        <v>0.278883094946919</v>
      </c>
      <c r="AP390" s="144">
        <f>IF($S$368=1,$N$368+$H$368/$Z$366*$M$27,NA())</f>
        <v>0.0454438787168847</v>
      </c>
      <c r="AQ390" s="144" t="e">
        <f>IF(AND($I$368=1,$C$368=1,$S$368=0),$N$368+$H$368/$Z$366*$M$27,NA())</f>
        <v>#N/A</v>
      </c>
      <c r="AR390" s="144" t="e">
        <f>IF(AND($I$368=1,$C$368=0),$N$368+$H$368/$Z$366*$M$27,NA())</f>
        <v>#N/A</v>
      </c>
      <c r="AS390" s="144">
        <f>IF($I$369=1,$M$369+$H$369/$Z$366*$L$27,NA())</f>
        <v>0.794740256457949</v>
      </c>
      <c r="AT390" s="144">
        <f>IF($S$369=1,$N$369+$H$369/$Z$366*$M$27,NA())</f>
        <v>-0.159110481458791</v>
      </c>
      <c r="AU390" s="144" t="e">
        <f>IF(AND($I$369=1,$C$369=1,$S$369=0),$N$369+$H$369/$Z$366*$M$27,NA())</f>
        <v>#N/A</v>
      </c>
      <c r="AV390" s="144" t="e">
        <f>IF(AND($I$369=1,$C$369=0),$N$369+$H$369/$Z$366*$M$27,NA())</f>
        <v>#N/A</v>
      </c>
      <c r="AW390" s="144" t="e">
        <f>IF($I$370=1,$M$370+$H$370/$Z$366*$L$27,NA())</f>
        <v>#N/A</v>
      </c>
      <c r="AX390" s="144" t="e">
        <f>IF($S$370=1,$N$370+$H$370/$Z$366*$M$27,NA())</f>
        <v>#N/A</v>
      </c>
      <c r="AY390" s="144" t="e">
        <f>IF(AND($I$370=1,$C$370=1,$S$370=0),$N$370+$H$370/$Z$366*$M$27,NA())</f>
        <v>#N/A</v>
      </c>
      <c r="AZ390" s="144" t="e">
        <f>IF(AND($I$370=1,$C$370=0),$N$370+$H$370/$Z$366*$M$27,NA())</f>
        <v>#N/A</v>
      </c>
      <c r="BA390" s="144">
        <f>IF($I$371=1,$M$371+$H$371/$Z$366*$L$27,NA())</f>
        <v>-0.352364354781848</v>
      </c>
      <c r="BB390" s="144" t="e">
        <f>IF($S$371=1,$N$371+$H$371/$Z$366*$M$27,NA())</f>
        <v>#N/A</v>
      </c>
      <c r="BC390" s="144">
        <f>IF(AND($I$371=1,$C$371=1,$S$371=0),$N$371+$H$371/$Z$366*$M$27,NA())</f>
        <v>-0.54005763271324</v>
      </c>
      <c r="BD390" s="144" t="e">
        <f>IF(AND($I$371=1,$C$371=0),$N$371+$H$371/$Z$366*$M$27,NA())</f>
        <v>#N/A</v>
      </c>
      <c r="BE390" s="144">
        <f>IF($I$372=1,$M$372+$H$372/$Z$366*$L$27,NA())</f>
        <v>0.376306575020824</v>
      </c>
      <c r="BF390" s="144">
        <f>IF($S$372=1,$N$372+$H$372/$Z$366*$M$27,NA())</f>
        <v>-0.373907110039213</v>
      </c>
      <c r="BG390" s="144" t="e">
        <f>IF(AND($I$372=1,$C$372=1,$S$372=0),$N$372+$H$372/$Z$366*$M$27,NA())</f>
        <v>#N/A</v>
      </c>
      <c r="BH390" s="144" t="e">
        <f>IF(AND($I$372=1,$C$372=0),$N$372+$H$372/$Z$366*$M$27,NA())</f>
        <v>#N/A</v>
      </c>
      <c r="BI390" s="144" t="e">
        <f>IF($I$373=1,$M$373+$H$373/$Z$366*$L$27,NA())</f>
        <v>#N/A</v>
      </c>
      <c r="BJ390" s="144" t="e">
        <f>IF($S$373=1,$N$373+$H$373/$Z$366*$M$27,NA())</f>
        <v>#N/A</v>
      </c>
      <c r="BK390" s="144" t="e">
        <f>IF(AND($I$373=1,$C$373=1,$S$373=0),$N$373+$H$373/$Z$366*$M$27,NA())</f>
        <v>#N/A</v>
      </c>
      <c r="BL390" s="144" t="e">
        <f>IF(AND($I$373=1,$C$373=0),$N$373+$H$373/$Z$366*$M$27,NA())</f>
        <v>#N/A</v>
      </c>
      <c r="BM390" s="144" t="e">
        <f>IF($I$374=1,$M$374+$H$374/$Z$366*$L$27,NA())</f>
        <v>#N/A</v>
      </c>
      <c r="BN390" s="144" t="e">
        <f>IF($S$374=1,$N$374+$H$374/$Z$366*$M$27,NA())</f>
        <v>#N/A</v>
      </c>
      <c r="BO390" s="144" t="e">
        <f>IF(AND($I$374=1,$C$374=1,$S$374=0),$N$374+$H$374/$Z$366*$M$27,NA())</f>
        <v>#N/A</v>
      </c>
      <c r="BP390" s="144" t="e">
        <f>IF(AND($I$374=1,$C$374=0),$N$374+$H$374/$Z$366*$M$27,NA())</f>
        <v>#N/A</v>
      </c>
    </row>
    <row r="391">
      <c r="AN391" s="146">
        <v>23</v>
      </c>
      <c r="AO391" s="144">
        <f>IF($I$368=1,$M$368+$H$368/$Z$366*$L$28,NA())</f>
        <v>0.320763349752411</v>
      </c>
      <c r="AP391" s="144">
        <f>IF($S$368=1,$N$368+$H$368/$Z$366*$M$28,NA())</f>
        <v>0.146551757863944</v>
      </c>
      <c r="AQ391" s="144" t="e">
        <f>IF(AND($I$368=1,$C$368=1,$S$368=0),$N$368+$H$368/$Z$366*$M$28,NA())</f>
        <v>#N/A</v>
      </c>
      <c r="AR391" s="144" t="e">
        <f>IF(AND($I$368=1,$C$368=0),$N$368+$H$368/$Z$366*$M$28,NA())</f>
        <v>#N/A</v>
      </c>
      <c r="AS391" s="144">
        <f>IF($I$369=1,$M$369+$H$369/$Z$366*$L$28,NA())</f>
        <v>0.850534753491607</v>
      </c>
      <c r="AT391" s="144">
        <f>IF($S$369=1,$N$369+$H$369/$Z$366*$M$28,NA())</f>
        <v>-0.02441065001435</v>
      </c>
      <c r="AU391" s="144" t="e">
        <f>IF(AND($I$369=1,$C$369=1,$S$369=0),$N$369+$H$369/$Z$366*$M$28,NA())</f>
        <v>#N/A</v>
      </c>
      <c r="AV391" s="144" t="e">
        <f>IF(AND($I$369=1,$C$369=0),$N$369+$H$369/$Z$366*$M$28,NA())</f>
        <v>#N/A</v>
      </c>
      <c r="AW391" s="144" t="e">
        <f>IF($I$370=1,$M$370+$H$370/$Z$366*$L$28,NA())</f>
        <v>#N/A</v>
      </c>
      <c r="AX391" s="144" t="e">
        <f>IF($S$370=1,$N$370+$H$370/$Z$366*$M$28,NA())</f>
        <v>#N/A</v>
      </c>
      <c r="AY391" s="144" t="e">
        <f>IF(AND($I$370=1,$C$370=1,$S$370=0),$N$370+$H$370/$Z$366*$M$28,NA())</f>
        <v>#N/A</v>
      </c>
      <c r="AZ391" s="144" t="e">
        <f>IF(AND($I$370=1,$C$370=0),$N$370+$H$370/$Z$366*$M$28,NA())</f>
        <v>#N/A</v>
      </c>
      <c r="BA391" s="144">
        <f>IF($I$371=1,$M$371+$H$371/$Z$366*$L$28,NA())</f>
        <v>-0.324675243695978</v>
      </c>
      <c r="BB391" s="144" t="e">
        <f>IF($S$371=1,$N$371+$H$371/$Z$366*$M$28,NA())</f>
        <v>#N/A</v>
      </c>
      <c r="BC391" s="144">
        <f>IF(AND($I$371=1,$C$371=1,$S$371=0),$N$371+$H$371/$Z$366*$M$28,NA())</f>
        <v>-0.473210205199677</v>
      </c>
      <c r="BD391" s="144" t="e">
        <f>IF(AND($I$371=1,$C$371=0),$N$371+$H$371/$Z$366*$M$28,NA())</f>
        <v>#N/A</v>
      </c>
      <c r="BE391" s="144">
        <f>IF($I$372=1,$M$372+$H$372/$Z$366*$L$28,NA())</f>
        <v>0.429425122350673</v>
      </c>
      <c r="BF391" s="144">
        <f>IF($S$372=1,$N$372+$H$372/$Z$366*$M$28,NA())</f>
        <v>-0.245667592661934</v>
      </c>
      <c r="BG391" s="144" t="e">
        <f>IF(AND($I$372=1,$C$372=1,$S$372=0),$N$372+$H$372/$Z$366*$M$28,NA())</f>
        <v>#N/A</v>
      </c>
      <c r="BH391" s="144" t="e">
        <f>IF(AND($I$372=1,$C$372=0),$N$372+$H$372/$Z$366*$M$28,NA())</f>
        <v>#N/A</v>
      </c>
      <c r="BI391" s="144" t="e">
        <f>IF($I$373=1,$M$373+$H$373/$Z$366*$L$28,NA())</f>
        <v>#N/A</v>
      </c>
      <c r="BJ391" s="144" t="e">
        <f>IF($S$373=1,$N$373+$H$373/$Z$366*$M$28,NA())</f>
        <v>#N/A</v>
      </c>
      <c r="BK391" s="144" t="e">
        <f>IF(AND($I$373=1,$C$373=1,$S$373=0),$N$373+$H$373/$Z$366*$M$28,NA())</f>
        <v>#N/A</v>
      </c>
      <c r="BL391" s="144" t="e">
        <f>IF(AND($I$373=1,$C$373=0),$N$373+$H$373/$Z$366*$M$28,NA())</f>
        <v>#N/A</v>
      </c>
      <c r="BM391" s="144" t="e">
        <f>IF($I$374=1,$M$374+$H$374/$Z$366*$L$28,NA())</f>
        <v>#N/A</v>
      </c>
      <c r="BN391" s="144" t="e">
        <f>IF($S$374=1,$N$374+$H$374/$Z$366*$M$28,NA())</f>
        <v>#N/A</v>
      </c>
      <c r="BO391" s="144" t="e">
        <f>IF(AND($I$374=1,$C$374=1,$S$374=0),$N$374+$H$374/$Z$366*$M$28,NA())</f>
        <v>#N/A</v>
      </c>
      <c r="BP391" s="144" t="e">
        <f>IF(AND($I$374=1,$C$374=0),$N$374+$H$374/$Z$366*$M$28,NA())</f>
        <v>#N/A</v>
      </c>
    </row>
    <row r="392">
      <c r="AN392" s="146">
        <v>24</v>
      </c>
      <c r="AO392" s="144">
        <f>IF($I$368=1,$M$368+$H$368/$Z$366*$L$29,NA())</f>
        <v>0.335047924747419</v>
      </c>
      <c r="AP392" s="144">
        <f>IF($S$368=1,$N$368+$H$368/$Z$366*$M$29,NA())</f>
        <v>0.25505387713081</v>
      </c>
      <c r="AQ392" s="144" t="e">
        <f>IF(AND($I$368=1,$C$368=1,$S$368=0),$N$368+$H$368/$Z$366*$M$29,NA())</f>
        <v>#N/A</v>
      </c>
      <c r="AR392" s="144" t="e">
        <f>IF(AND($I$368=1,$C$368=0),$N$368+$H$368/$Z$366*$M$29,NA())</f>
        <v>#N/A</v>
      </c>
      <c r="AS392" s="144">
        <f>IF($I$369=1,$M$369+$H$369/$Z$366*$L$29,NA())</f>
        <v>0.869565217391304</v>
      </c>
      <c r="AT392" s="144">
        <f>IF($S$369=1,$N$369+$H$369/$Z$366*$M$29,NA())</f>
        <v>0.120140074418847</v>
      </c>
      <c r="AU392" s="144" t="e">
        <f>IF(AND($I$369=1,$C$369=1,$S$369=0),$N$369+$H$369/$Z$366*$M$29,NA())</f>
        <v>#N/A</v>
      </c>
      <c r="AV392" s="144" t="e">
        <f>IF(AND($I$369=1,$C$369=0),$N$369+$H$369/$Z$366*$M$29,NA())</f>
        <v>#N/A</v>
      </c>
      <c r="AW392" s="144" t="e">
        <f>IF($I$370=1,$M$370+$H$370/$Z$366*$L$29,NA())</f>
        <v>#N/A</v>
      </c>
      <c r="AX392" s="144" t="e">
        <f>IF($S$370=1,$N$370+$H$370/$Z$366*$M$29,NA())</f>
        <v>#N/A</v>
      </c>
      <c r="AY392" s="144" t="e">
        <f>IF(AND($I$370=1,$C$370=1,$S$370=0),$N$370+$H$370/$Z$366*$M$29,NA())</f>
        <v>#N/A</v>
      </c>
      <c r="AZ392" s="144" t="e">
        <f>IF(AND($I$370=1,$C$370=0),$N$370+$H$370/$Z$366*$M$29,NA())</f>
        <v>#N/A</v>
      </c>
      <c r="BA392" s="144">
        <f>IF($I$371=1,$M$371+$H$371/$Z$366*$L$29,NA())</f>
        <v>-0.315231003547769</v>
      </c>
      <c r="BB392" s="144" t="e">
        <f>IF($S$371=1,$N$371+$H$371/$Z$366*$M$29,NA())</f>
        <v>#N/A</v>
      </c>
      <c r="BC392" s="144">
        <f>IF(AND($I$371=1,$C$371=1,$S$371=0),$N$371+$H$371/$Z$366*$M$29,NA())</f>
        <v>-0.401474079252357</v>
      </c>
      <c r="BD392" s="144" t="e">
        <f>IF(AND($I$371=1,$C$371=0),$N$371+$H$371/$Z$366*$M$29,NA())</f>
        <v>#N/A</v>
      </c>
      <c r="BE392" s="144">
        <f>IF($I$372=1,$M$372+$H$372/$Z$366*$L$29,NA())</f>
        <v>0.447542869639537</v>
      </c>
      <c r="BF392" s="144">
        <f>IF($S$372=1,$N$372+$H$372/$Z$366*$M$29,NA())</f>
        <v>-0.108049639179229</v>
      </c>
      <c r="BG392" s="144" t="e">
        <f>IF(AND($I$372=1,$C$372=1,$S$372=0),$N$372+$H$372/$Z$366*$M$29,NA())</f>
        <v>#N/A</v>
      </c>
      <c r="BH392" s="144" t="e">
        <f>IF(AND($I$372=1,$C$372=0),$N$372+$H$372/$Z$366*$M$29,NA())</f>
        <v>#N/A</v>
      </c>
      <c r="BI392" s="144" t="e">
        <f>IF($I$373=1,$M$373+$H$373/$Z$366*$L$29,NA())</f>
        <v>#N/A</v>
      </c>
      <c r="BJ392" s="144" t="e">
        <f>IF($S$373=1,$N$373+$H$373/$Z$366*$M$29,NA())</f>
        <v>#N/A</v>
      </c>
      <c r="BK392" s="144" t="e">
        <f>IF(AND($I$373=1,$C$373=1,$S$373=0),$N$373+$H$373/$Z$366*$M$29,NA())</f>
        <v>#N/A</v>
      </c>
      <c r="BL392" s="144" t="e">
        <f>IF(AND($I$373=1,$C$373=0),$N$373+$H$373/$Z$366*$M$29,NA())</f>
        <v>#N/A</v>
      </c>
      <c r="BM392" s="144" t="e">
        <f>IF($I$374=1,$M$374+$H$374/$Z$366*$L$29,NA())</f>
        <v>#N/A</v>
      </c>
      <c r="BN392" s="144" t="e">
        <f>IF($S$374=1,$N$374+$H$374/$Z$366*$M$29,NA())</f>
        <v>#N/A</v>
      </c>
      <c r="BO392" s="144" t="e">
        <f>IF(AND($I$374=1,$C$374=1,$S$374=0),$N$374+$H$374/$Z$366*$M$29,NA())</f>
        <v>#N/A</v>
      </c>
      <c r="BP392" s="144" t="e">
        <f>IF(AND($I$374=1,$C$374=0),$N$374+$H$374/$Z$366*$M$29,NA())</f>
        <v>#N/A</v>
      </c>
    </row>
    <row r="393"/>
    <row r="394">
      <c r="A394" s="59" t="inlineStr">
        <is>
          <t xml:space="preserve">Iteration 4 · diagram on “Hyperspheres (Iterations)” — centre = the selected Sᵢ; every own-class object carries its enemy sphere (radius r(Sⱼ)) around its own position</t>
        </is>
      </c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  <c r="AF394" s="59"/>
      <c r="AG394" s="59"/>
      <c r="AH394" s="59"/>
      <c r="AI394" s="59"/>
      <c r="AJ394" s="59"/>
      <c r="AK394" s="59"/>
      <c r="AL394" s="59"/>
      <c r="AM394" s="59"/>
      <c r="AN394" s="59"/>
      <c r="AO394" s="59"/>
      <c r="AP394" s="59"/>
      <c r="AQ394" s="59"/>
      <c r="AR394" s="59"/>
      <c r="AS394" s="59"/>
      <c r="AT394" s="59"/>
      <c r="AU394" s="59"/>
      <c r="AV394" s="59"/>
      <c r="AW394" s="59"/>
      <c r="AX394" s="59"/>
      <c r="AY394" s="59"/>
      <c r="AZ394" s="59"/>
      <c r="BA394" s="59"/>
      <c r="BB394" s="59"/>
      <c r="BC394" s="59"/>
      <c r="BD394" s="59"/>
      <c r="BE394" s="59"/>
      <c r="BF394" s="59"/>
      <c r="BG394" s="59"/>
      <c r="BH394" s="59"/>
      <c r="BI394" s="59"/>
      <c r="BJ394" s="59"/>
      <c r="BK394" s="59"/>
      <c r="BL394" s="59"/>
      <c r="BM394" s="59"/>
      <c r="BN394" s="59"/>
      <c r="BO394" s="59"/>
      <c r="BP394" s="59"/>
    </row>
    <row r="395">
      <c r="A395" s="63" t="inlineStr">
        <is>
          <t xml:space="preserve">Chart title</t>
        </is>
      </c>
      <c r="B395" s="145" t="str">
        <f>IF($Q$395=0,"Iteration 4  ·  queue empty → Step 6 (stop)","Iteration 4  ·  Sᵢ = "&amp;'ERDR Iterations'!$K$88&amp;"  ·  L = "&amp;'ERDR Iterations'!$K$91&amp;"  ·  "&amp;'ERDR Iterations'!$K$93)</f>
        <v>Iteration 4  ·  Sᵢ = S₂  ·  L = {S₂}  ·  |L| = 1 → Sᵢ moves to D</v>
      </c>
      <c r="P395" s="63" t="inlineStr">
        <is>
          <t xml:space="preserve">Selected</t>
        </is>
      </c>
      <c r="Q395" s="146">
        <f>'ERDR Iterations'!$K$87</f>
        <v>2</v>
      </c>
      <c r="S395" s="63" t="inlineStr">
        <is>
          <t xml:space="preserve">Box centre x</t>
        </is>
      </c>
      <c r="T395" s="144">
        <f>IF($Q$395=0,0,(MIN(O397:O403)+MAX(P397:P403))/2)</f>
        <v>2.41319124174808</v>
      </c>
      <c r="V395" s="63" t="inlineStr">
        <is>
          <t xml:space="preserve">Box centre y</t>
        </is>
      </c>
      <c r="W395" s="144">
        <f>IF($Q$395=0,0,(MIN(Q397:Q403)+MAX(R397:R403))/2)</f>
        <v>1.39886039885</v>
      </c>
      <c r="Y395" s="63" t="inlineStr">
        <is>
          <t xml:space="preserve">Half side</t>
        </is>
      </c>
      <c r="Z395" s="144">
        <f>IF($Q$395=0,1,$B$8*MAX(MAX(P397:P403)-MIN(O397:O403),MAX(R397:R403)-MIN(Q397:Q403))/2)</f>
        <v>11.4825304218509</v>
      </c>
    </row>
    <row r="396" ht="44" customHeight="1">
      <c r="A396" s="147" t="inlineStr">
        <is>
          <t xml:space="preserve">Sⱼ</t>
        </is>
      </c>
      <c r="B396" s="147" t="inlineStr">
        <is>
          <t xml:space="preserve">Class</t>
        </is>
      </c>
      <c r="C396" s="147" t="inlineStr">
        <is>
          <t xml:space="preserve">In F before</t>
        </is>
      </c>
      <c r="D396" s="147" t="inlineStr">
        <is>
          <t xml:space="preserve">Own class of Sᵢ</t>
        </is>
      </c>
      <c r="E396" s="147" t="inlineStr">
        <is>
          <t xml:space="preserve">Centre (= Sᵢ)</t>
        </is>
      </c>
      <c r="F396" s="147" t="inlineStr">
        <is>
          <t xml:space="preserve">Rank around Sᵢ</t>
        </is>
      </c>
      <c r="G396" s="147" t="inlineStr">
        <is>
          <t xml:space="preserve">ρ(Sⱼ, Sᵢ)</t>
        </is>
      </c>
      <c r="H396" s="147" t="inlineStr">
        <is>
          <t xml:space="preserve">r(Sⱼ)</t>
        </is>
      </c>
      <c r="I396" s="147" t="inlineStr">
        <is>
          <t xml:space="preserve">Own-class sphere drawn</t>
        </is>
      </c>
      <c r="J396" s="147" t="inlineStr">
        <is>
          <t xml:space="preserve">Angle θ</t>
        </is>
      </c>
      <c r="K396" s="147" t="inlineStr">
        <is>
          <t xml:space="preserve">px = ρ·cos θ</t>
        </is>
      </c>
      <c r="L396" s="147" t="inlineStr">
        <is>
          <t xml:space="preserve">py = ρ·sin θ</t>
        </is>
      </c>
      <c r="M396" s="147" t="inlineStr">
        <is>
          <t xml:space="preserve">x (fitted)</t>
        </is>
      </c>
      <c r="N396" s="147" t="inlineStr">
        <is>
          <t xml:space="preserve">y (fitted)</t>
        </is>
      </c>
      <c r="O396" s="147" t="inlineStr">
        <is>
          <t xml:space="preserve">Box x min</t>
        </is>
      </c>
      <c r="P396" s="147" t="inlineStr">
        <is>
          <t xml:space="preserve">Box x max</t>
        </is>
      </c>
      <c r="Q396" s="147" t="inlineStr">
        <is>
          <t xml:space="preserve">Box y min</t>
        </is>
      </c>
      <c r="R396" s="147" t="inlineStr">
        <is>
          <t xml:space="preserve">Box y max</t>
        </is>
      </c>
      <c r="S396" s="147" t="inlineStr">
        <is>
          <t xml:space="preserve">Sⱼ ∈ L</t>
        </is>
      </c>
      <c r="T396" s="147" t="inlineStr">
        <is>
          <t xml:space="preserve">g before</t>
        </is>
      </c>
      <c r="U396" s="147" t="inlineStr">
        <is>
          <t xml:space="preserve">g after</t>
        </is>
      </c>
      <c r="V396" s="147" t="inlineStr">
        <is>
          <t xml:space="preserve">Counter decreased</t>
        </is>
      </c>
      <c r="W396" s="147" t="inlineStr">
        <is>
          <t xml:space="preserve">Moves to D</t>
        </is>
      </c>
      <c r="X396" s="147" t="inlineStr">
        <is>
          <t xml:space="preserve">K1 in F · x</t>
        </is>
      </c>
      <c r="Y396" s="147" t="inlineStr">
        <is>
          <t xml:space="preserve">y</t>
        </is>
      </c>
      <c r="Z396" s="147" t="inlineStr">
        <is>
          <t xml:space="preserve">K1 in D · x</t>
        </is>
      </c>
      <c r="AA396" s="147" t="inlineStr">
        <is>
          <t xml:space="preserve">y</t>
        </is>
      </c>
      <c r="AB396" s="147" t="inlineStr">
        <is>
          <t xml:space="preserve">K2 in F · x</t>
        </is>
      </c>
      <c r="AC396" s="147" t="inlineStr">
        <is>
          <t xml:space="preserve">y</t>
        </is>
      </c>
      <c r="AD396" s="147" t="inlineStr">
        <is>
          <t xml:space="preserve">K2 in D · x</t>
        </is>
      </c>
      <c r="AE396" s="147" t="inlineStr">
        <is>
          <t xml:space="preserve">y</t>
        </is>
      </c>
      <c r="AF396" s="147" t="inlineStr">
        <is>
          <t xml:space="preserve">Centre K1 · x</t>
        </is>
      </c>
      <c r="AG396" s="147" t="inlineStr">
        <is>
          <t xml:space="preserve">y</t>
        </is>
      </c>
      <c r="AH396" s="147" t="inlineStr">
        <is>
          <t xml:space="preserve">Centre K2 · x</t>
        </is>
      </c>
      <c r="AI396" s="147" t="inlineStr">
        <is>
          <t xml:space="preserve">y</t>
        </is>
      </c>
      <c r="AJ396" s="147" t="inlineStr">
        <is>
          <t xml:space="preserve">Label text</t>
        </is>
      </c>
      <c r="AN396" s="147" t="inlineStr">
        <is>
          <t xml:space="preserve">k</t>
        </is>
      </c>
      <c r="AO396" s="147" t="inlineStr">
        <is>
          <t xml:space="preserve">S₁ sphere · x</t>
        </is>
      </c>
      <c r="AP396" s="147" t="inlineStr">
        <is>
          <t xml:space="preserve">y · in L</t>
        </is>
      </c>
      <c r="AQ396" s="147" t="inlineStr">
        <is>
          <t xml:space="preserve">y · in F, not in L</t>
        </is>
      </c>
      <c r="AR396" s="147" t="inlineStr">
        <is>
          <t xml:space="preserve">y · in D</t>
        </is>
      </c>
      <c r="AS396" s="147" t="inlineStr">
        <is>
          <t xml:space="preserve">S₂ sphere · x</t>
        </is>
      </c>
      <c r="AT396" s="147" t="inlineStr">
        <is>
          <t xml:space="preserve">y · in L</t>
        </is>
      </c>
      <c r="AU396" s="147" t="inlineStr">
        <is>
          <t xml:space="preserve">y · in F, not in L</t>
        </is>
      </c>
      <c r="AV396" s="147" t="inlineStr">
        <is>
          <t xml:space="preserve">y · in D</t>
        </is>
      </c>
      <c r="AW396" s="147" t="inlineStr">
        <is>
          <t xml:space="preserve">S₃ sphere · x</t>
        </is>
      </c>
      <c r="AX396" s="147" t="inlineStr">
        <is>
          <t xml:space="preserve">y · in L</t>
        </is>
      </c>
      <c r="AY396" s="147" t="inlineStr">
        <is>
          <t xml:space="preserve">y · in F, not in L</t>
        </is>
      </c>
      <c r="AZ396" s="147" t="inlineStr">
        <is>
          <t xml:space="preserve">y · in D</t>
        </is>
      </c>
      <c r="BA396" s="147" t="inlineStr">
        <is>
          <t xml:space="preserve">S₄ sphere · x</t>
        </is>
      </c>
      <c r="BB396" s="147" t="inlineStr">
        <is>
          <t xml:space="preserve">y · in L</t>
        </is>
      </c>
      <c r="BC396" s="147" t="inlineStr">
        <is>
          <t xml:space="preserve">y · in F, not in L</t>
        </is>
      </c>
      <c r="BD396" s="147" t="inlineStr">
        <is>
          <t xml:space="preserve">y · in D</t>
        </is>
      </c>
      <c r="BE396" s="147" t="inlineStr">
        <is>
          <t xml:space="preserve">S₅ sphere · x</t>
        </is>
      </c>
      <c r="BF396" s="147" t="inlineStr">
        <is>
          <t xml:space="preserve">y · in L</t>
        </is>
      </c>
      <c r="BG396" s="147" t="inlineStr">
        <is>
          <t xml:space="preserve">y · in F, not in L</t>
        </is>
      </c>
      <c r="BH396" s="147" t="inlineStr">
        <is>
          <t xml:space="preserve">y · in D</t>
        </is>
      </c>
      <c r="BI396" s="147" t="inlineStr">
        <is>
          <t xml:space="preserve">S₆ sphere · x</t>
        </is>
      </c>
      <c r="BJ396" s="147" t="inlineStr">
        <is>
          <t xml:space="preserve">y · in L</t>
        </is>
      </c>
      <c r="BK396" s="147" t="inlineStr">
        <is>
          <t xml:space="preserve">y · in F, not in L</t>
        </is>
      </c>
      <c r="BL396" s="147" t="inlineStr">
        <is>
          <t xml:space="preserve">y · in D</t>
        </is>
      </c>
      <c r="BM396" s="147" t="inlineStr">
        <is>
          <t xml:space="preserve">S₇ sphere · x</t>
        </is>
      </c>
      <c r="BN396" s="147" t="inlineStr">
        <is>
          <t xml:space="preserve">y · in L</t>
        </is>
      </c>
      <c r="BO396" s="147" t="inlineStr">
        <is>
          <t xml:space="preserve">y · in F, not in L</t>
        </is>
      </c>
      <c r="BP396" s="147" t="inlineStr">
        <is>
          <t xml:space="preserve">y · in D</t>
        </is>
      </c>
    </row>
    <row r="397">
      <c r="A397" s="62" t="inlineStr">
        <is>
          <t xml:space="preserve">S₁</t>
        </is>
      </c>
      <c r="B397" s="68">
        <f>'ERDR Iterations'!B$85</f>
        <v>2</v>
      </c>
      <c r="C397" s="146">
        <f>'ERDR Iterations'!B$86</f>
        <v>0</v>
      </c>
      <c r="D397" s="146">
        <f>'ERDR Iterations'!B$92</f>
        <v>1</v>
      </c>
      <c r="E397" s="146">
        <f>IF($Q$395=1,1,0)</f>
        <v>0</v>
      </c>
      <c r="F397" s="146">
        <f>IF(OR($Q$395=0,E397=1),0,INDEX('Sorted Neighbors'!$B$5:$H$11,$Q$395,1))</f>
        <v>1</v>
      </c>
      <c r="G397" s="144">
        <f>IF($Q$395=0,0,INDEX('Zhuravlev Distances'!$B$5:$H$11,$Q$395,1))</f>
        <v>4.6606100796</v>
      </c>
      <c r="H397" s="144">
        <f>'ERDR Characteristics'!$D$5</f>
        <v>5.60708061</v>
      </c>
      <c r="I397" s="146">
        <f>D397</f>
        <v>1</v>
      </c>
      <c r="J397" s="144">
        <f>IF(F397=0,0,PI()/2-(F397-1)*$B$6)</f>
        <v>1.5707963267949</v>
      </c>
      <c r="K397" s="144">
        <f>G397*COS(J397)</f>
        <v>2.85380060802802e-16</v>
      </c>
      <c r="L397" s="144">
        <f>G397*SIN(J397)</f>
        <v>4.6606100796</v>
      </c>
      <c r="M397" s="144">
        <f>IF($Q$395=0,NA(),(K397-$T$395)/$Z$395)</f>
        <v>-0.210161972412966</v>
      </c>
      <c r="N397" s="144">
        <f>IF($Q$395=0,NA(),(L397-$W$395)/$Z$395)</f>
        <v>0.284061923715263</v>
      </c>
      <c r="O397" s="144">
        <f>K397-I397*H397</f>
        <v>-5.60708061</v>
      </c>
      <c r="P397" s="144">
        <f>K397+I397*H397</f>
        <v>5.60708061</v>
      </c>
      <c r="Q397" s="144">
        <f>L397-I397*H397</f>
        <v>-0.9464705304</v>
      </c>
      <c r="R397" s="144">
        <f>L397+I397*H397</f>
        <v>10.2676906896</v>
      </c>
      <c r="S397" s="146">
        <f>'ERDR Iterations'!B$98</f>
        <v>0</v>
      </c>
      <c r="T397" s="146">
        <f>'ERDR Iterations'!B$88</f>
        <v>1</v>
      </c>
      <c r="U397" s="146">
        <f>'ERDR Iterations'!B$101</f>
        <v>1</v>
      </c>
      <c r="V397" s="146">
        <f>'ERDR Iterations'!B$100</f>
        <v>0</v>
      </c>
      <c r="W397" s="146">
        <f>'ERDR Iterations'!B$103</f>
        <v>0</v>
      </c>
      <c r="X397" s="144" t="e">
        <f>IF(AND($Q$395&gt;0,E397=0,B397=1,C397=1),M397,NA())</f>
        <v>#N/A</v>
      </c>
      <c r="Y397" s="144" t="e">
        <f>IF(AND($Q$395&gt;0,E397=0,B397=1,C397=1),N397,NA())</f>
        <v>#N/A</v>
      </c>
      <c r="Z397" s="144" t="e">
        <f>IF(AND($Q$395&gt;0,E397=0,B397=1,C397=0),M397,NA())</f>
        <v>#N/A</v>
      </c>
      <c r="AA397" s="144" t="e">
        <f>IF(AND($Q$395&gt;0,E397=0,B397=1,C397=0),N397,NA())</f>
        <v>#N/A</v>
      </c>
      <c r="AB397" s="144" t="e">
        <f>IF(AND($Q$395&gt;0,E397=0,B397=2,C397=1),M397,NA())</f>
        <v>#N/A</v>
      </c>
      <c r="AC397" s="144" t="e">
        <f>IF(AND($Q$395&gt;0,E397=0,B397=2,C397=1),N397,NA())</f>
        <v>#N/A</v>
      </c>
      <c r="AD397" s="144">
        <f>IF(AND($Q$395&gt;0,E397=0,B397=2,C397=0),M397,NA())</f>
        <v>-0.210161972412966</v>
      </c>
      <c r="AE397" s="144">
        <f>IF(AND($Q$395&gt;0,E397=0,B397=2,C397=0),N397,NA())</f>
        <v>0.284061923715263</v>
      </c>
      <c r="AF397" s="144" t="e">
        <f>IF(AND(E397=1,B397=1),M397,NA())</f>
        <v>#N/A</v>
      </c>
      <c r="AG397" s="144" t="e">
        <f>IF(AND(E397=1,B397=1),N397,NA())</f>
        <v>#N/A</v>
      </c>
      <c r="AH397" s="144" t="e">
        <f>IF(AND(E397=1,B397=2),M397,NA())</f>
        <v>#N/A</v>
      </c>
      <c r="AI397" s="144" t="e">
        <f>IF(AND(E397=1,B397=2),N397,NA())</f>
        <v>#N/A</v>
      </c>
      <c r="AJ397" s="145" t="str">
        <f>A397&amp;IF(E397=1," = Sᵢ",IF(C397=0," (in D)",""))&amp;IF(V397=1,"  ·  g "&amp;T397&amp;"→"&amp;U397,"")&amp;IF(W397=1,"  → D","")</f>
        <v>S₁ (in D)</v>
      </c>
      <c r="AN397" s="146">
        <v>0</v>
      </c>
      <c r="AO397" s="144">
        <f>IF($I$397=1,$M$397+$H$397/$Z$395*$L$5,NA())</f>
        <v>0.278152049323035</v>
      </c>
      <c r="AP397" s="144" t="e">
        <f>IF($S$397=1,$N$397+$H$397/$Z$395*$M$5,NA())</f>
        <v>#N/A</v>
      </c>
      <c r="AQ397" s="144" t="e">
        <f>IF(AND($I$397=1,$C$397=1,$S$397=0),$N$397+$H$397/$Z$395*$M$5,NA())</f>
        <v>#N/A</v>
      </c>
      <c r="AR397" s="144">
        <f>IF(AND($I$397=1,$C$397=0),$N$397+$H$397/$Z$395*$M$5,NA())</f>
        <v>0.284061923715263</v>
      </c>
      <c r="AS397" s="144">
        <f>IF($I$398=1,$M$398+$H$398/$Z$395*$L$5,NA())</f>
        <v>0.440388874609818</v>
      </c>
      <c r="AT397" s="144">
        <f>IF($S$398=1,$N$398+$H$398/$Z$395*$M$5,NA())</f>
        <v>-0.12182509842848</v>
      </c>
      <c r="AU397" s="144" t="e">
        <f>IF(AND($I$398=1,$C$398=1,$S$398=0),$N$398+$H$398/$Z$395*$M$5,NA())</f>
        <v>#N/A</v>
      </c>
      <c r="AV397" s="144" t="e">
        <f>IF(AND($I$398=1,$C$398=0),$N$398+$H$398/$Z$395*$M$5,NA())</f>
        <v>#N/A</v>
      </c>
      <c r="AW397" s="144" t="e">
        <f>IF($I$399=1,$M$399+$H$399/$Z$395*$L$5,NA())</f>
        <v>#N/A</v>
      </c>
      <c r="AX397" s="144" t="e">
        <f>IF($S$399=1,$N$399+$H$399/$Z$395*$M$5,NA())</f>
        <v>#N/A</v>
      </c>
      <c r="AY397" s="144" t="e">
        <f>IF(AND($I$399=1,$C$399=1,$S$399=0),$N$399+$H$399/$Z$395*$M$5,NA())</f>
        <v>#N/A</v>
      </c>
      <c r="AZ397" s="144" t="e">
        <f>IF(AND($I$399=1,$C$399=0),$N$399+$H$399/$Z$395*$M$5,NA())</f>
        <v>#N/A</v>
      </c>
      <c r="BA397" s="144">
        <f>IF($I$400=1,$M$400+$H$400/$Z$395*$L$5,NA())</f>
        <v>0.593056286803824</v>
      </c>
      <c r="BB397" s="144" t="e">
        <f>IF($S$400=1,$N$400+$H$400/$Z$395*$M$5,NA())</f>
        <v>#N/A</v>
      </c>
      <c r="BC397" s="144">
        <f>IF(AND($I$400=1,$C$400=1,$S$400=0),$N$400+$H$400/$Z$395*$M$5,NA())</f>
        <v>-0.39916665653921</v>
      </c>
      <c r="BD397" s="144" t="e">
        <f>IF(AND($I$400=1,$C$400=0),$N$400+$H$400/$Z$395*$M$5,NA())</f>
        <v>#N/A</v>
      </c>
      <c r="BE397" s="144">
        <f>IF($I$401=1,$M$401+$H$401/$Z$395*$L$5,NA())</f>
        <v>0.869565217391304</v>
      </c>
      <c r="BF397" s="144" t="e">
        <f>IF($S$401=1,$N$401+$H$401/$Z$395*$M$5,NA())</f>
        <v>#N/A</v>
      </c>
      <c r="BG397" s="144" t="e">
        <f>IF(AND($I$401=1,$C$401=1,$S$401=0),$N$401+$H$401/$Z$395*$M$5,NA())</f>
        <v>#N/A</v>
      </c>
      <c r="BH397" s="144">
        <f>IF(AND($I$401=1,$C$401=0),$N$401+$H$401/$Z$395*$M$5,NA())</f>
        <v>0.143973855841395</v>
      </c>
      <c r="BI397" s="144" t="e">
        <f>IF($I$402=1,$M$402+$H$402/$Z$395*$L$5,NA())</f>
        <v>#N/A</v>
      </c>
      <c r="BJ397" s="144" t="e">
        <f>IF($S$402=1,$N$402+$H$402/$Z$395*$M$5,NA())</f>
        <v>#N/A</v>
      </c>
      <c r="BK397" s="144" t="e">
        <f>IF(AND($I$402=1,$C$402=1,$S$402=0),$N$402+$H$402/$Z$395*$M$5,NA())</f>
        <v>#N/A</v>
      </c>
      <c r="BL397" s="144" t="e">
        <f>IF(AND($I$402=1,$C$402=0),$N$402+$H$402/$Z$395*$M$5,NA())</f>
        <v>#N/A</v>
      </c>
      <c r="BM397" s="144" t="e">
        <f>IF($I$403=1,$M$403+$H$403/$Z$395*$L$5,NA())</f>
        <v>#N/A</v>
      </c>
      <c r="BN397" s="144" t="e">
        <f>IF($S$403=1,$N$403+$H$403/$Z$395*$M$5,NA())</f>
        <v>#N/A</v>
      </c>
      <c r="BO397" s="144" t="e">
        <f>IF(AND($I$403=1,$C$403=1,$S$403=0),$N$403+$H$403/$Z$395*$M$5,NA())</f>
        <v>#N/A</v>
      </c>
      <c r="BP397" s="144" t="e">
        <f>IF(AND($I$403=1,$C$403=0),$N$403+$H$403/$Z$395*$M$5,NA())</f>
        <v>#N/A</v>
      </c>
    </row>
    <row r="398">
      <c r="A398" s="62" t="inlineStr">
        <is>
          <t xml:space="preserve">S₂</t>
        </is>
      </c>
      <c r="B398" s="68">
        <f>'ERDR Iterations'!C$85</f>
        <v>2</v>
      </c>
      <c r="C398" s="146">
        <f>'ERDR Iterations'!C$86</f>
        <v>1</v>
      </c>
      <c r="D398" s="146">
        <f>'ERDR Iterations'!C$92</f>
        <v>1</v>
      </c>
      <c r="E398" s="146">
        <f>IF($Q$395=2,1,0)</f>
        <v>1</v>
      </c>
      <c r="F398" s="146">
        <f>IF(OR($Q$395=0,E398=1),0,INDEX('Sorted Neighbors'!$B$5:$H$11,$Q$395,2))</f>
        <v>0</v>
      </c>
      <c r="G398" s="144">
        <f>IF($Q$395=0,0,INDEX('Zhuravlev Distances'!$B$5:$H$11,$Q$395,2))</f>
        <v>0</v>
      </c>
      <c r="H398" s="144">
        <f>'ERDR Characteristics'!$D$6</f>
        <v>7.4699698919</v>
      </c>
      <c r="I398" s="146">
        <f>D398</f>
        <v>1</v>
      </c>
      <c r="J398" s="144">
        <f>IF(F398=0,0,PI()/2-(F398-1)*$B$6)</f>
        <v>0</v>
      </c>
      <c r="K398" s="144">
        <f>G398*COS(J398)</f>
        <v>0</v>
      </c>
      <c r="L398" s="144">
        <f>G398*SIN(J398)</f>
        <v>0</v>
      </c>
      <c r="M398" s="144">
        <f>IF($Q$395=0,NA(),(K398-$T$395)/$Z$395)</f>
        <v>-0.210161972412966</v>
      </c>
      <c r="N398" s="144">
        <f>IF($Q$395=0,NA(),(L398-$W$395)/$Z$395)</f>
        <v>-0.12182509842848</v>
      </c>
      <c r="O398" s="144">
        <f>K398-I398*H398</f>
        <v>-7.4699698919</v>
      </c>
      <c r="P398" s="144">
        <f>K398+I398*H398</f>
        <v>7.4699698919</v>
      </c>
      <c r="Q398" s="144">
        <f>L398-I398*H398</f>
        <v>-7.4699698919</v>
      </c>
      <c r="R398" s="144">
        <f>L398+I398*H398</f>
        <v>7.4699698919</v>
      </c>
      <c r="S398" s="146">
        <f>'ERDR Iterations'!C$98</f>
        <v>1</v>
      </c>
      <c r="T398" s="146">
        <f>'ERDR Iterations'!C$88</f>
        <v>2</v>
      </c>
      <c r="U398" s="146">
        <f>'ERDR Iterations'!C$101</f>
        <v>2</v>
      </c>
      <c r="V398" s="146">
        <f>'ERDR Iterations'!C$100</f>
        <v>0</v>
      </c>
      <c r="W398" s="146">
        <f>'ERDR Iterations'!C$103</f>
        <v>1</v>
      </c>
      <c r="X398" s="144" t="e">
        <f>IF(AND($Q$395&gt;0,E398=0,B398=1,C398=1),M398,NA())</f>
        <v>#N/A</v>
      </c>
      <c r="Y398" s="144" t="e">
        <f>IF(AND($Q$395&gt;0,E398=0,B398=1,C398=1),N398,NA())</f>
        <v>#N/A</v>
      </c>
      <c r="Z398" s="144" t="e">
        <f>IF(AND($Q$395&gt;0,E398=0,B398=1,C398=0),M398,NA())</f>
        <v>#N/A</v>
      </c>
      <c r="AA398" s="144" t="e">
        <f>IF(AND($Q$395&gt;0,E398=0,B398=1,C398=0),N398,NA())</f>
        <v>#N/A</v>
      </c>
      <c r="AB398" s="144" t="e">
        <f>IF(AND($Q$395&gt;0,E398=0,B398=2,C398=1),M398,NA())</f>
        <v>#N/A</v>
      </c>
      <c r="AC398" s="144" t="e">
        <f>IF(AND($Q$395&gt;0,E398=0,B398=2,C398=1),N398,NA())</f>
        <v>#N/A</v>
      </c>
      <c r="AD398" s="144" t="e">
        <f>IF(AND($Q$395&gt;0,E398=0,B398=2,C398=0),M398,NA())</f>
        <v>#N/A</v>
      </c>
      <c r="AE398" s="144" t="e">
        <f>IF(AND($Q$395&gt;0,E398=0,B398=2,C398=0),N398,NA())</f>
        <v>#N/A</v>
      </c>
      <c r="AF398" s="144" t="e">
        <f>IF(AND(E398=1,B398=1),M398,NA())</f>
        <v>#N/A</v>
      </c>
      <c r="AG398" s="144" t="e">
        <f>IF(AND(E398=1,B398=1),N398,NA())</f>
        <v>#N/A</v>
      </c>
      <c r="AH398" s="144">
        <f>IF(AND(E398=1,B398=2),M398,NA())</f>
        <v>-0.210161972412966</v>
      </c>
      <c r="AI398" s="144">
        <f>IF(AND(E398=1,B398=2),N398,NA())</f>
        <v>-0.12182509842848</v>
      </c>
      <c r="AJ398" s="145" t="str">
        <f>A398&amp;IF(E398=1," = Sᵢ",IF(C398=0," (in D)",""))&amp;IF(V398=1,"  ·  g "&amp;T398&amp;"→"&amp;U398,"")&amp;IF(W398=1,"  → D","")</f>
        <v>S₂ = Sᵢ  → D</v>
      </c>
      <c r="AN398" s="146">
        <v>1</v>
      </c>
      <c r="AO398" s="144">
        <f>IF($I$397=1,$M$397+$H$397/$Z$395*$L$6,NA())</f>
        <v>0.261513152520919</v>
      </c>
      <c r="AP398" s="144" t="e">
        <f>IF($S$397=1,$N$397+$H$397/$Z$395*$M$6,NA())</f>
        <v>#N/A</v>
      </c>
      <c r="AQ398" s="144" t="e">
        <f>IF(AND($I$397=1,$C$397=1,$S$397=0),$N$397+$H$397/$Z$395*$M$6,NA())</f>
        <v>#N/A</v>
      </c>
      <c r="AR398" s="144">
        <f>IF(AND($I$397=1,$C$397=0),$N$397+$H$397/$Z$395*$M$6,NA())</f>
        <v>0.410446892531146</v>
      </c>
      <c r="AS398" s="144">
        <f>IF($I$398=1,$M$398+$H$398/$Z$395*$L$6,NA())</f>
        <v>0.41822189204057</v>
      </c>
      <c r="AT398" s="144">
        <f>IF($S$398=1,$N$398+$H$398/$Z$395*$M$6,NA())</f>
        <v>0.0465498505885934</v>
      </c>
      <c r="AU398" s="144" t="e">
        <f>IF(AND($I$398=1,$C$398=1,$S$398=0),$N$398+$H$398/$Z$395*$M$6,NA())</f>
        <v>#N/A</v>
      </c>
      <c r="AV398" s="144" t="e">
        <f>IF(AND($I$398=1,$C$398=0),$N$398+$H$398/$Z$395*$M$6,NA())</f>
        <v>#N/A</v>
      </c>
      <c r="AW398" s="144" t="e">
        <f>IF($I$399=1,$M$399+$H$399/$Z$395*$L$6,NA())</f>
        <v>#N/A</v>
      </c>
      <c r="AX398" s="144" t="e">
        <f>IF($S$399=1,$N$399+$H$399/$Z$395*$M$6,NA())</f>
        <v>#N/A</v>
      </c>
      <c r="AY398" s="144" t="e">
        <f>IF(AND($I$399=1,$C$399=1,$S$399=0),$N$399+$H$399/$Z$395*$M$6,NA())</f>
        <v>#N/A</v>
      </c>
      <c r="AZ398" s="144" t="e">
        <f>IF(AND($I$399=1,$C$399=0),$N$399+$H$399/$Z$395*$M$6,NA())</f>
        <v>#N/A</v>
      </c>
      <c r="BA398" s="144">
        <f>IF($I$400=1,$M$400+$H$400/$Z$395*$L$6,NA())</f>
        <v>0.582055487882235</v>
      </c>
      <c r="BB398" s="144" t="e">
        <f>IF($S$400=1,$N$400+$H$400/$Z$395*$M$6,NA())</f>
        <v>#N/A</v>
      </c>
      <c r="BC398" s="144">
        <f>IF(AND($I$400=1,$C$400=1,$S$400=0),$N$400+$H$400/$Z$395*$M$6,NA())</f>
        <v>-0.315607292887288</v>
      </c>
      <c r="BD398" s="144" t="e">
        <f>IF(AND($I$400=1,$C$400=0),$N$400+$H$400/$Z$395*$M$6,NA())</f>
        <v>#N/A</v>
      </c>
      <c r="BE398" s="144">
        <f>IF($I$401=1,$M$401+$H$401/$Z$395*$L$6,NA())</f>
        <v>0.848461381433177</v>
      </c>
      <c r="BF398" s="144" t="e">
        <f>IF($S$401=1,$N$401+$H$401/$Z$395*$M$6,NA())</f>
        <v>#N/A</v>
      </c>
      <c r="BG398" s="144" t="e">
        <f>IF(AND($I$401=1,$C$401=1,$S$401=0),$N$401+$H$401/$Z$395*$M$6,NA())</f>
        <v>#N/A</v>
      </c>
      <c r="BH398" s="144">
        <f>IF(AND($I$401=1,$C$401=0),$N$401+$H$401/$Z$395*$M$6,NA())</f>
        <v>0.304273404614621</v>
      </c>
      <c r="BI398" s="144" t="e">
        <f>IF($I$402=1,$M$402+$H$402/$Z$395*$L$6,NA())</f>
        <v>#N/A</v>
      </c>
      <c r="BJ398" s="144" t="e">
        <f>IF($S$402=1,$N$402+$H$402/$Z$395*$M$6,NA())</f>
        <v>#N/A</v>
      </c>
      <c r="BK398" s="144" t="e">
        <f>IF(AND($I$402=1,$C$402=1,$S$402=0),$N$402+$H$402/$Z$395*$M$6,NA())</f>
        <v>#N/A</v>
      </c>
      <c r="BL398" s="144" t="e">
        <f>IF(AND($I$402=1,$C$402=0),$N$402+$H$402/$Z$395*$M$6,NA())</f>
        <v>#N/A</v>
      </c>
      <c r="BM398" s="144" t="e">
        <f>IF($I$403=1,$M$403+$H$403/$Z$395*$L$6,NA())</f>
        <v>#N/A</v>
      </c>
      <c r="BN398" s="144" t="e">
        <f>IF($S$403=1,$N$403+$H$403/$Z$395*$M$6,NA())</f>
        <v>#N/A</v>
      </c>
      <c r="BO398" s="144" t="e">
        <f>IF(AND($I$403=1,$C$403=1,$S$403=0),$N$403+$H$403/$Z$395*$M$6,NA())</f>
        <v>#N/A</v>
      </c>
      <c r="BP398" s="144" t="e">
        <f>IF(AND($I$403=1,$C$403=0),$N$403+$H$403/$Z$395*$M$6,NA())</f>
        <v>#N/A</v>
      </c>
    </row>
    <row r="399">
      <c r="A399" s="62" t="inlineStr">
        <is>
          <t xml:space="preserve">S₃</t>
        </is>
      </c>
      <c r="B399" s="68">
        <f>'ERDR Iterations'!D$85</f>
        <v>1</v>
      </c>
      <c r="C399" s="146">
        <f>'ERDR Iterations'!D$86</f>
        <v>1</v>
      </c>
      <c r="D399" s="146">
        <f>'ERDR Iterations'!D$92</f>
        <v>0</v>
      </c>
      <c r="E399" s="146">
        <f>IF($Q$395=3,1,0)</f>
        <v>0</v>
      </c>
      <c r="F399" s="146">
        <f>IF(OR($Q$395=0,E399=1),0,INDEX('Sorted Neighbors'!$B$5:$H$11,$Q$395,3))</f>
        <v>4</v>
      </c>
      <c r="G399" s="144">
        <f>IF($Q$395=0,0,INDEX('Zhuravlev Distances'!$B$5:$H$11,$Q$395,3))</f>
        <v>7.4699698919</v>
      </c>
      <c r="H399" s="144">
        <f>'ERDR Characteristics'!$D$7</f>
        <v>5.60708061</v>
      </c>
      <c r="I399" s="146">
        <f>D399</f>
        <v>0</v>
      </c>
      <c r="J399" s="144">
        <f>IF(F399=0,0,PI()/2-(F399-1)*$B$6)</f>
        <v>-1.5707963267949</v>
      </c>
      <c r="K399" s="144">
        <f>G399*COS(J399)</f>
        <v>4.57403735892122e-16</v>
      </c>
      <c r="L399" s="144">
        <f>G399*SIN(J399)</f>
        <v>-7.4699698919</v>
      </c>
      <c r="M399" s="144">
        <f>IF($Q$395=0,NA(),(K399-$T$395)/$Z$395)</f>
        <v>-0.210161972412966</v>
      </c>
      <c r="N399" s="144">
        <f>IF($Q$395=0,NA(),(L399-$W$395)/$Z$395)</f>
        <v>-0.772375945451263</v>
      </c>
      <c r="O399" s="144">
        <f>K399-I399*H399</f>
        <v>4.57403735892122e-16</v>
      </c>
      <c r="P399" s="144">
        <f>K399+I399*H399</f>
        <v>4.57403735892122e-16</v>
      </c>
      <c r="Q399" s="144">
        <f>L399-I399*H399</f>
        <v>-7.4699698919</v>
      </c>
      <c r="R399" s="144">
        <f>L399+I399*H399</f>
        <v>-7.4699698919</v>
      </c>
      <c r="S399" s="146">
        <f>'ERDR Iterations'!D$98</f>
        <v>0</v>
      </c>
      <c r="T399" s="146">
        <f>'ERDR Iterations'!D$88</f>
        <v>2</v>
      </c>
      <c r="U399" s="146">
        <f>'ERDR Iterations'!D$101</f>
        <v>2</v>
      </c>
      <c r="V399" s="146">
        <f>'ERDR Iterations'!D$100</f>
        <v>0</v>
      </c>
      <c r="W399" s="146">
        <f>'ERDR Iterations'!D$103</f>
        <v>0</v>
      </c>
      <c r="X399" s="144">
        <f>IF(AND($Q$395&gt;0,E399=0,B399=1,C399=1),M399,NA())</f>
        <v>-0.210161972412966</v>
      </c>
      <c r="Y399" s="144">
        <f>IF(AND($Q$395&gt;0,E399=0,B399=1,C399=1),N399,NA())</f>
        <v>-0.772375945451263</v>
      </c>
      <c r="Z399" s="144" t="e">
        <f>IF(AND($Q$395&gt;0,E399=0,B399=1,C399=0),M399,NA())</f>
        <v>#N/A</v>
      </c>
      <c r="AA399" s="144" t="e">
        <f>IF(AND($Q$395&gt;0,E399=0,B399=1,C399=0),N399,NA())</f>
        <v>#N/A</v>
      </c>
      <c r="AB399" s="144" t="e">
        <f>IF(AND($Q$395&gt;0,E399=0,B399=2,C399=1),M399,NA())</f>
        <v>#N/A</v>
      </c>
      <c r="AC399" s="144" t="e">
        <f>IF(AND($Q$395&gt;0,E399=0,B399=2,C399=1),N399,NA())</f>
        <v>#N/A</v>
      </c>
      <c r="AD399" s="144" t="e">
        <f>IF(AND($Q$395&gt;0,E399=0,B399=2,C399=0),M399,NA())</f>
        <v>#N/A</v>
      </c>
      <c r="AE399" s="144" t="e">
        <f>IF(AND($Q$395&gt;0,E399=0,B399=2,C399=0),N399,NA())</f>
        <v>#N/A</v>
      </c>
      <c r="AF399" s="144" t="e">
        <f>IF(AND(E399=1,B399=1),M399,NA())</f>
        <v>#N/A</v>
      </c>
      <c r="AG399" s="144" t="e">
        <f>IF(AND(E399=1,B399=1),N399,NA())</f>
        <v>#N/A</v>
      </c>
      <c r="AH399" s="144" t="e">
        <f>IF(AND(E399=1,B399=2),M399,NA())</f>
        <v>#N/A</v>
      </c>
      <c r="AI399" s="144" t="e">
        <f>IF(AND(E399=1,B399=2),N399,NA())</f>
        <v>#N/A</v>
      </c>
      <c r="AJ399" s="145" t="str">
        <f>A399&amp;IF(E399=1," = Sᵢ",IF(C399=0," (in D)",""))&amp;IF(V399=1,"  ·  g "&amp;T399&amp;"→"&amp;U399,"")&amp;IF(W399=1,"  → D","")</f>
        <v>S₃</v>
      </c>
      <c r="AN399" s="146">
        <v>2</v>
      </c>
      <c r="AO399" s="144">
        <f>IF($I$397=1,$M$397+$H$397/$Z$395*$L$7,NA())</f>
        <v>0.212730375434557</v>
      </c>
      <c r="AP399" s="144" t="e">
        <f>IF($S$397=1,$N$397+$H$397/$Z$395*$M$7,NA())</f>
        <v>#N/A</v>
      </c>
      <c r="AQ399" s="144" t="e">
        <f>IF(AND($I$397=1,$C$397=1,$S$397=0),$N$397+$H$397/$Z$395*$M$7,NA())</f>
        <v>#N/A</v>
      </c>
      <c r="AR399" s="144">
        <f>IF(AND($I$397=1,$C$397=0),$N$397+$H$397/$Z$395*$M$7,NA())</f>
        <v>0.528218934583263</v>
      </c>
      <c r="AS399" s="144">
        <f>IF($I$398=1,$M$398+$H$398/$Z$395*$L$7,NA())</f>
        <v>0.353231587562249</v>
      </c>
      <c r="AT399" s="144">
        <f>IF($S$398=1,$N$398+$H$398/$Z$395*$M$7,NA())</f>
        <v>0.203450325082912</v>
      </c>
      <c r="AU399" s="144" t="e">
        <f>IF(AND($I$398=1,$C$398=1,$S$398=0),$N$398+$H$398/$Z$395*$M$7,NA())</f>
        <v>#N/A</v>
      </c>
      <c r="AV399" s="144" t="e">
        <f>IF(AND($I$398=1,$C$398=0),$N$398+$H$398/$Z$395*$M$7,NA())</f>
        <v>#N/A</v>
      </c>
      <c r="AW399" s="144" t="e">
        <f>IF($I$399=1,$M$399+$H$399/$Z$395*$L$7,NA())</f>
        <v>#N/A</v>
      </c>
      <c r="AX399" s="144" t="e">
        <f>IF($S$399=1,$N$399+$H$399/$Z$395*$M$7,NA())</f>
        <v>#N/A</v>
      </c>
      <c r="AY399" s="144" t="e">
        <f>IF(AND($I$399=1,$C$399=1,$S$399=0),$N$399+$H$399/$Z$395*$M$7,NA())</f>
        <v>#N/A</v>
      </c>
      <c r="AZ399" s="144" t="e">
        <f>IF(AND($I$399=1,$C$399=0),$N$399+$H$399/$Z$395*$M$7,NA())</f>
        <v>#N/A</v>
      </c>
      <c r="BA399" s="144">
        <f>IF($I$400=1,$M$400+$H$400/$Z$395*$L$7,NA())</f>
        <v>0.549802777384294</v>
      </c>
      <c r="BB399" s="144" t="e">
        <f>IF($S$400=1,$N$400+$H$400/$Z$395*$M$7,NA())</f>
        <v>#N/A</v>
      </c>
      <c r="BC399" s="144">
        <f>IF(AND($I$400=1,$C$400=1,$S$400=0),$N$400+$H$400/$Z$395*$M$7,NA())</f>
        <v>-0.237742361779866</v>
      </c>
      <c r="BD399" s="144" t="e">
        <f>IF(AND($I$400=1,$C$400=0),$N$400+$H$400/$Z$395*$M$7,NA())</f>
        <v>#N/A</v>
      </c>
      <c r="BE399" s="144">
        <f>IF($I$401=1,$M$401+$H$401/$Z$395*$L$7,NA())</f>
        <v>0.786588065103602</v>
      </c>
      <c r="BF399" s="144" t="e">
        <f>IF($S$401=1,$N$401+$H$401/$Z$395*$M$7,NA())</f>
        <v>#N/A</v>
      </c>
      <c r="BG399" s="144" t="e">
        <f>IF(AND($I$401=1,$C$401=1,$S$401=0),$N$401+$H$401/$Z$395*$M$7,NA())</f>
        <v>#N/A</v>
      </c>
      <c r="BH399" s="144">
        <f>IF(AND($I$401=1,$C$401=0),$N$401+$H$401/$Z$395*$M$7,NA())</f>
        <v>0.453648804046481</v>
      </c>
      <c r="BI399" s="144" t="e">
        <f>IF($I$402=1,$M$402+$H$402/$Z$395*$L$7,NA())</f>
        <v>#N/A</v>
      </c>
      <c r="BJ399" s="144" t="e">
        <f>IF($S$402=1,$N$402+$H$402/$Z$395*$M$7,NA())</f>
        <v>#N/A</v>
      </c>
      <c r="BK399" s="144" t="e">
        <f>IF(AND($I$402=1,$C$402=1,$S$402=0),$N$402+$H$402/$Z$395*$M$7,NA())</f>
        <v>#N/A</v>
      </c>
      <c r="BL399" s="144" t="e">
        <f>IF(AND($I$402=1,$C$402=0),$N$402+$H$402/$Z$395*$M$7,NA())</f>
        <v>#N/A</v>
      </c>
      <c r="BM399" s="144" t="e">
        <f>IF($I$403=1,$M$403+$H$403/$Z$395*$L$7,NA())</f>
        <v>#N/A</v>
      </c>
      <c r="BN399" s="144" t="e">
        <f>IF($S$403=1,$N$403+$H$403/$Z$395*$M$7,NA())</f>
        <v>#N/A</v>
      </c>
      <c r="BO399" s="144" t="e">
        <f>IF(AND($I$403=1,$C$403=1,$S$403=0),$N$403+$H$403/$Z$395*$M$7,NA())</f>
        <v>#N/A</v>
      </c>
      <c r="BP399" s="144" t="e">
        <f>IF(AND($I$403=1,$C$403=0),$N$403+$H$403/$Z$395*$M$7,NA())</f>
        <v>#N/A</v>
      </c>
    </row>
    <row r="400">
      <c r="A400" s="62" t="inlineStr">
        <is>
          <t xml:space="preserve">S₄</t>
        </is>
      </c>
      <c r="B400" s="68">
        <f>'ERDR Iterations'!E$85</f>
        <v>2</v>
      </c>
      <c r="C400" s="146">
        <f>'ERDR Iterations'!E$86</f>
        <v>1</v>
      </c>
      <c r="D400" s="146">
        <f>'ERDR Iterations'!E$92</f>
        <v>1</v>
      </c>
      <c r="E400" s="146">
        <f>IF($Q$395=4,1,0)</f>
        <v>0</v>
      </c>
      <c r="F400" s="146">
        <f>IF(OR($Q$395=0,E400=1),0,INDEX('Sorted Neighbors'!$B$5:$H$11,$Q$395,4))</f>
        <v>3</v>
      </c>
      <c r="G400" s="144">
        <f>IF($Q$395=0,0,INDEX('Zhuravlev Distances'!$B$5:$H$11,$Q$395,4))</f>
        <v>6.3691657565</v>
      </c>
      <c r="H400" s="144">
        <f>'ERDR Characteristics'!$D$8</f>
        <v>3.7071187508</v>
      </c>
      <c r="I400" s="146">
        <f>D400</f>
        <v>1</v>
      </c>
      <c r="J400" s="144">
        <f>IF(F400=0,0,PI()/2-(F400-1)*$B$6)</f>
        <v>-0.523598775598299</v>
      </c>
      <c r="K400" s="144">
        <f>G400*COS(J400)</f>
        <v>5.51585934604293</v>
      </c>
      <c r="L400" s="144">
        <f>G400*SIN(J400)</f>
        <v>-3.18458287825</v>
      </c>
      <c r="M400" s="144">
        <f>IF($Q$395=0,NA(),(K400-$T$395)/$Z$395)</f>
        <v>0.270207697285136</v>
      </c>
      <c r="N400" s="144">
        <f>IF($Q$395=0,NA(),(L400-$W$395)/$Z$395)</f>
        <v>-0.39916665653921</v>
      </c>
      <c r="O400" s="144">
        <f>K400-I400*H400</f>
        <v>1.80874059524293</v>
      </c>
      <c r="P400" s="144">
        <f>K400+I400*H400</f>
        <v>9.22297809684293</v>
      </c>
      <c r="Q400" s="144">
        <f>L400-I400*H400</f>
        <v>-6.89170162905</v>
      </c>
      <c r="R400" s="144">
        <f>L400+I400*H400</f>
        <v>0.522535872550001</v>
      </c>
      <c r="S400" s="146">
        <f>'ERDR Iterations'!E$98</f>
        <v>0</v>
      </c>
      <c r="T400" s="146">
        <f>'ERDR Iterations'!E$88</f>
        <v>1</v>
      </c>
      <c r="U400" s="146">
        <f>'ERDR Iterations'!E$101</f>
        <v>1</v>
      </c>
      <c r="V400" s="146">
        <f>'ERDR Iterations'!E$100</f>
        <v>0</v>
      </c>
      <c r="W400" s="146">
        <f>'ERDR Iterations'!E$103</f>
        <v>0</v>
      </c>
      <c r="X400" s="144" t="e">
        <f>IF(AND($Q$395&gt;0,E400=0,B400=1,C400=1),M400,NA())</f>
        <v>#N/A</v>
      </c>
      <c r="Y400" s="144" t="e">
        <f>IF(AND($Q$395&gt;0,E400=0,B400=1,C400=1),N400,NA())</f>
        <v>#N/A</v>
      </c>
      <c r="Z400" s="144" t="e">
        <f>IF(AND($Q$395&gt;0,E400=0,B400=1,C400=0),M400,NA())</f>
        <v>#N/A</v>
      </c>
      <c r="AA400" s="144" t="e">
        <f>IF(AND($Q$395&gt;0,E400=0,B400=1,C400=0),N400,NA())</f>
        <v>#N/A</v>
      </c>
      <c r="AB400" s="144">
        <f>IF(AND($Q$395&gt;0,E400=0,B400=2,C400=1),M400,NA())</f>
        <v>0.270207697285136</v>
      </c>
      <c r="AC400" s="144">
        <f>IF(AND($Q$395&gt;0,E400=0,B400=2,C400=1),N400,NA())</f>
        <v>-0.39916665653921</v>
      </c>
      <c r="AD400" s="144" t="e">
        <f>IF(AND($Q$395&gt;0,E400=0,B400=2,C400=0),M400,NA())</f>
        <v>#N/A</v>
      </c>
      <c r="AE400" s="144" t="e">
        <f>IF(AND($Q$395&gt;0,E400=0,B400=2,C400=0),N400,NA())</f>
        <v>#N/A</v>
      </c>
      <c r="AF400" s="144" t="e">
        <f>IF(AND(E400=1,B400=1),M400,NA())</f>
        <v>#N/A</v>
      </c>
      <c r="AG400" s="144" t="e">
        <f>IF(AND(E400=1,B400=1),N400,NA())</f>
        <v>#N/A</v>
      </c>
      <c r="AH400" s="144" t="e">
        <f>IF(AND(E400=1,B400=2),M400,NA())</f>
        <v>#N/A</v>
      </c>
      <c r="AI400" s="144" t="e">
        <f>IF(AND(E400=1,B400=2),N400,NA())</f>
        <v>#N/A</v>
      </c>
      <c r="AJ400" s="145" t="str">
        <f>A400&amp;IF(E400=1," = Sᵢ",IF(C400=0," (in D)",""))&amp;IF(V400=1,"  ·  g "&amp;T400&amp;"→"&amp;U400,"")&amp;IF(W400=1,"  → D","")</f>
        <v>S₄</v>
      </c>
      <c r="AN400" s="146">
        <v>3</v>
      </c>
      <c r="AO400" s="144">
        <f>IF($I$397=1,$M$397+$H$397/$Z$395*$L$8,NA())</f>
        <v>0.135128183705035</v>
      </c>
      <c r="AP400" s="144" t="e">
        <f>IF($S$397=1,$N$397+$H$397/$Z$395*$M$8,NA())</f>
        <v>#N/A</v>
      </c>
      <c r="AQ400" s="144" t="e">
        <f>IF(AND($I$397=1,$C$397=1,$S$397=0),$N$397+$H$397/$Z$395*$M$8,NA())</f>
        <v>#N/A</v>
      </c>
      <c r="AR400" s="144">
        <f>IF(AND($I$397=1,$C$397=0),$N$397+$H$397/$Z$395*$M$8,NA())</f>
        <v>0.629352079833264</v>
      </c>
      <c r="AS400" s="144">
        <f>IF($I$398=1,$M$398+$H$398/$Z$395*$L$8,NA())</f>
        <v>0.249846943023497</v>
      </c>
      <c r="AT400" s="144">
        <f>IF($S$398=1,$N$398+$H$398/$Z$395*$M$8,NA())</f>
        <v>0.338183817007983</v>
      </c>
      <c r="AU400" s="144" t="e">
        <f>IF(AND($I$398=1,$C$398=1,$S$398=0),$N$398+$H$398/$Z$395*$M$8,NA())</f>
        <v>#N/A</v>
      </c>
      <c r="AV400" s="144" t="e">
        <f>IF(AND($I$398=1,$C$398=0),$N$398+$H$398/$Z$395*$M$8,NA())</f>
        <v>#N/A</v>
      </c>
      <c r="AW400" s="144" t="e">
        <f>IF($I$399=1,$M$399+$H$399/$Z$395*$L$8,NA())</f>
        <v>#N/A</v>
      </c>
      <c r="AX400" s="144" t="e">
        <f>IF($S$399=1,$N$399+$H$399/$Z$395*$M$8,NA())</f>
        <v>#N/A</v>
      </c>
      <c r="AY400" s="144" t="e">
        <f>IF(AND($I$399=1,$C$399=1,$S$399=0),$N$399+$H$399/$Z$395*$M$8,NA())</f>
        <v>#N/A</v>
      </c>
      <c r="AZ400" s="144" t="e">
        <f>IF(AND($I$399=1,$C$399=0),$N$399+$H$399/$Z$395*$M$8,NA())</f>
        <v>#N/A</v>
      </c>
      <c r="BA400" s="144">
        <f>IF($I$400=1,$M$400+$H$400/$Z$395*$L$8,NA())</f>
        <v>0.498496124230313</v>
      </c>
      <c r="BB400" s="144" t="e">
        <f>IF($S$400=1,$N$400+$H$400/$Z$395*$M$8,NA())</f>
        <v>#N/A</v>
      </c>
      <c r="BC400" s="144">
        <f>IF(AND($I$400=1,$C$400=1,$S$400=0),$N$400+$H$400/$Z$395*$M$8,NA())</f>
        <v>-0.170878229594034</v>
      </c>
      <c r="BD400" s="144" t="e">
        <f>IF(AND($I$400=1,$C$400=0),$N$400+$H$400/$Z$395*$M$8,NA())</f>
        <v>#N/A</v>
      </c>
      <c r="BE400" s="144">
        <f>IF($I$401=1,$M$401+$H$401/$Z$395*$L$8,NA())</f>
        <v>0.688161832659951</v>
      </c>
      <c r="BF400" s="144" t="e">
        <f>IF($S$401=1,$N$401+$H$401/$Z$395*$M$8,NA())</f>
        <v>#N/A</v>
      </c>
      <c r="BG400" s="144" t="e">
        <f>IF(AND($I$401=1,$C$401=1,$S$401=0),$N$401+$H$401/$Z$395*$M$8,NA())</f>
        <v>#N/A</v>
      </c>
      <c r="BH400" s="144">
        <f>IF(AND($I$401=1,$C$401=0),$N$401+$H$401/$Z$395*$M$8,NA())</f>
        <v>0.581920367520213</v>
      </c>
      <c r="BI400" s="144" t="e">
        <f>IF($I$402=1,$M$402+$H$402/$Z$395*$L$8,NA())</f>
        <v>#N/A</v>
      </c>
      <c r="BJ400" s="144" t="e">
        <f>IF($S$402=1,$N$402+$H$402/$Z$395*$M$8,NA())</f>
        <v>#N/A</v>
      </c>
      <c r="BK400" s="144" t="e">
        <f>IF(AND($I$402=1,$C$402=1,$S$402=0),$N$402+$H$402/$Z$395*$M$8,NA())</f>
        <v>#N/A</v>
      </c>
      <c r="BL400" s="144" t="e">
        <f>IF(AND($I$402=1,$C$402=0),$N$402+$H$402/$Z$395*$M$8,NA())</f>
        <v>#N/A</v>
      </c>
      <c r="BM400" s="144" t="e">
        <f>IF($I$403=1,$M$403+$H$403/$Z$395*$L$8,NA())</f>
        <v>#N/A</v>
      </c>
      <c r="BN400" s="144" t="e">
        <f>IF($S$403=1,$N$403+$H$403/$Z$395*$M$8,NA())</f>
        <v>#N/A</v>
      </c>
      <c r="BO400" s="144" t="e">
        <f>IF(AND($I$403=1,$C$403=1,$S$403=0),$N$403+$H$403/$Z$395*$M$8,NA())</f>
        <v>#N/A</v>
      </c>
      <c r="BP400" s="144" t="e">
        <f>IF(AND($I$403=1,$C$403=0),$N$403+$H$403/$Z$395*$M$8,NA())</f>
        <v>#N/A</v>
      </c>
    </row>
    <row r="401">
      <c r="A401" s="62" t="inlineStr">
        <is>
          <t xml:space="preserve">S₅</t>
        </is>
      </c>
      <c r="B401" s="68">
        <f>'ERDR Iterations'!F$85</f>
        <v>2</v>
      </c>
      <c r="C401" s="146">
        <f>'ERDR Iterations'!F$86</f>
        <v>0</v>
      </c>
      <c r="D401" s="146">
        <f>'ERDR Iterations'!F$92</f>
        <v>1</v>
      </c>
      <c r="E401" s="146">
        <f>IF($Q$395=5,1,0)</f>
        <v>0</v>
      </c>
      <c r="F401" s="146">
        <f>IF(OR($Q$395=0,E401=1),0,INDEX('Sorted Neighbors'!$B$5:$H$11,$Q$395,5))</f>
        <v>2</v>
      </c>
      <c r="G401" s="144">
        <f>IF($Q$395=0,0,INDEX('Zhuravlev Distances'!$B$5:$H$11,$Q$395,5))</f>
        <v>6.104089157</v>
      </c>
      <c r="H401" s="144">
        <f>'ERDR Characteristics'!$D$9</f>
        <v>7.1117040273</v>
      </c>
      <c r="I401" s="146">
        <f>D401</f>
        <v>1</v>
      </c>
      <c r="J401" s="144">
        <f>IF(F401=0,0,PI()/2-(F401-1)*$B$6)</f>
        <v>0.523598775598299</v>
      </c>
      <c r="K401" s="144">
        <f>G401*COS(J401)</f>
        <v>5.28629627692714</v>
      </c>
      <c r="L401" s="144">
        <f>G401*SIN(J401)</f>
        <v>3.0520445785</v>
      </c>
      <c r="M401" s="144">
        <f>IF($Q$395=0,NA(),(K401-$T$395)/$Z$395)</f>
        <v>0.250215320981134</v>
      </c>
      <c r="N401" s="144">
        <f>IF($Q$395=0,NA(),(L401-$W$395)/$Z$395)</f>
        <v>0.143973855841395</v>
      </c>
      <c r="O401" s="144">
        <f>K401-I401*H401</f>
        <v>-1.82540775037286</v>
      </c>
      <c r="P401" s="144">
        <f>K401+I401*H401</f>
        <v>12.3980003042271</v>
      </c>
      <c r="Q401" s="144">
        <f>L401-I401*H401</f>
        <v>-4.0596594488</v>
      </c>
      <c r="R401" s="144">
        <f>L401+I401*H401</f>
        <v>10.1637486058</v>
      </c>
      <c r="S401" s="146">
        <f>'ERDR Iterations'!F$98</f>
        <v>0</v>
      </c>
      <c r="T401" s="146">
        <f>'ERDR Iterations'!F$88</f>
        <v>1</v>
      </c>
      <c r="U401" s="146">
        <f>'ERDR Iterations'!F$101</f>
        <v>1</v>
      </c>
      <c r="V401" s="146">
        <f>'ERDR Iterations'!F$100</f>
        <v>0</v>
      </c>
      <c r="W401" s="146">
        <f>'ERDR Iterations'!F$103</f>
        <v>0</v>
      </c>
      <c r="X401" s="144" t="e">
        <f>IF(AND($Q$395&gt;0,E401=0,B401=1,C401=1),M401,NA())</f>
        <v>#N/A</v>
      </c>
      <c r="Y401" s="144" t="e">
        <f>IF(AND($Q$395&gt;0,E401=0,B401=1,C401=1),N401,NA())</f>
        <v>#N/A</v>
      </c>
      <c r="Z401" s="144" t="e">
        <f>IF(AND($Q$395&gt;0,E401=0,B401=1,C401=0),M401,NA())</f>
        <v>#N/A</v>
      </c>
      <c r="AA401" s="144" t="e">
        <f>IF(AND($Q$395&gt;0,E401=0,B401=1,C401=0),N401,NA())</f>
        <v>#N/A</v>
      </c>
      <c r="AB401" s="144" t="e">
        <f>IF(AND($Q$395&gt;0,E401=0,B401=2,C401=1),M401,NA())</f>
        <v>#N/A</v>
      </c>
      <c r="AC401" s="144" t="e">
        <f>IF(AND($Q$395&gt;0,E401=0,B401=2,C401=1),N401,NA())</f>
        <v>#N/A</v>
      </c>
      <c r="AD401" s="144">
        <f>IF(AND($Q$395&gt;0,E401=0,B401=2,C401=0),M401,NA())</f>
        <v>0.250215320981134</v>
      </c>
      <c r="AE401" s="144">
        <f>IF(AND($Q$395&gt;0,E401=0,B401=2,C401=0),N401,NA())</f>
        <v>0.143973855841395</v>
      </c>
      <c r="AF401" s="144" t="e">
        <f>IF(AND(E401=1,B401=1),M401,NA())</f>
        <v>#N/A</v>
      </c>
      <c r="AG401" s="144" t="e">
        <f>IF(AND(E401=1,B401=1),N401,NA())</f>
        <v>#N/A</v>
      </c>
      <c r="AH401" s="144" t="e">
        <f>IF(AND(E401=1,B401=2),M401,NA())</f>
        <v>#N/A</v>
      </c>
      <c r="AI401" s="144" t="e">
        <f>IF(AND(E401=1,B401=2),N401,NA())</f>
        <v>#N/A</v>
      </c>
      <c r="AJ401" s="145" t="str">
        <f>A401&amp;IF(E401=1," = Sᵢ",IF(C401=0," (in D)",""))&amp;IF(V401=1,"  ·  g "&amp;T401&amp;"→"&amp;U401,"")&amp;IF(W401=1,"  → D","")</f>
        <v>S₅ (in D)</v>
      </c>
      <c r="AN401" s="146">
        <v>4</v>
      </c>
      <c r="AO401" s="144">
        <f>IF($I$397=1,$M$397+$H$397/$Z$395*$L$9,NA())</f>
        <v>0.0339950384550344</v>
      </c>
      <c r="AP401" s="144" t="e">
        <f>IF($S$397=1,$N$397+$H$397/$Z$395*$M$9,NA())</f>
        <v>#N/A</v>
      </c>
      <c r="AQ401" s="144" t="e">
        <f>IF(AND($I$397=1,$C$397=1,$S$397=0),$N$397+$H$397/$Z$395*$M$9,NA())</f>
        <v>#N/A</v>
      </c>
      <c r="AR401" s="144">
        <f>IF(AND($I$397=1,$C$397=0),$N$397+$H$397/$Z$395*$M$9,NA())</f>
        <v>0.706954271562786</v>
      </c>
      <c r="AS401" s="144">
        <f>IF($I$398=1,$M$398+$H$398/$Z$395*$L$9,NA())</f>
        <v>0.115113451098426</v>
      </c>
      <c r="AT401" s="144">
        <f>IF($S$398=1,$N$398+$H$398/$Z$395*$M$9,NA())</f>
        <v>0.441568461546735</v>
      </c>
      <c r="AU401" s="144" t="e">
        <f>IF(AND($I$398=1,$C$398=1,$S$398=0),$N$398+$H$398/$Z$395*$M$9,NA())</f>
        <v>#N/A</v>
      </c>
      <c r="AV401" s="144" t="e">
        <f>IF(AND($I$398=1,$C$398=0),$N$398+$H$398/$Z$395*$M$9,NA())</f>
        <v>#N/A</v>
      </c>
      <c r="AW401" s="144" t="e">
        <f>IF($I$399=1,$M$399+$H$399/$Z$395*$L$9,NA())</f>
        <v>#N/A</v>
      </c>
      <c r="AX401" s="144" t="e">
        <f>IF($S$399=1,$N$399+$H$399/$Z$395*$M$9,NA())</f>
        <v>#N/A</v>
      </c>
      <c r="AY401" s="144" t="e">
        <f>IF(AND($I$399=1,$C$399=1,$S$399=0),$N$399+$H$399/$Z$395*$M$9,NA())</f>
        <v>#N/A</v>
      </c>
      <c r="AZ401" s="144" t="e">
        <f>IF(AND($I$399=1,$C$399=0),$N$399+$H$399/$Z$395*$M$9,NA())</f>
        <v>#N/A</v>
      </c>
      <c r="BA401" s="144">
        <f>IF($I$400=1,$M$400+$H$400/$Z$395*$L$9,NA())</f>
        <v>0.43163199204448</v>
      </c>
      <c r="BB401" s="144" t="e">
        <f>IF($S$400=1,$N$400+$H$400/$Z$395*$M$9,NA())</f>
        <v>#N/A</v>
      </c>
      <c r="BC401" s="144">
        <f>IF(AND($I$400=1,$C$400=1,$S$400=0),$N$400+$H$400/$Z$395*$M$9,NA())</f>
        <v>-0.119571576440052</v>
      </c>
      <c r="BD401" s="144" t="e">
        <f>IF(AND($I$400=1,$C$400=0),$N$400+$H$400/$Z$395*$M$9,NA())</f>
        <v>#N/A</v>
      </c>
      <c r="BE401" s="144">
        <f>IF($I$401=1,$M$401+$H$401/$Z$395*$L$9,NA())</f>
        <v>0.559890269186219</v>
      </c>
      <c r="BF401" s="144" t="e">
        <f>IF($S$401=1,$N$401+$H$401/$Z$395*$M$9,NA())</f>
        <v>#N/A</v>
      </c>
      <c r="BG401" s="144" t="e">
        <f>IF(AND($I$401=1,$C$401=1,$S$401=0),$N$401+$H$401/$Z$395*$M$9,NA())</f>
        <v>#N/A</v>
      </c>
      <c r="BH401" s="144">
        <f>IF(AND($I$401=1,$C$401=0),$N$401+$H$401/$Z$395*$M$9,NA())</f>
        <v>0.680346599963864</v>
      </c>
      <c r="BI401" s="144" t="e">
        <f>IF($I$402=1,$M$402+$H$402/$Z$395*$L$9,NA())</f>
        <v>#N/A</v>
      </c>
      <c r="BJ401" s="144" t="e">
        <f>IF($S$402=1,$N$402+$H$402/$Z$395*$M$9,NA())</f>
        <v>#N/A</v>
      </c>
      <c r="BK401" s="144" t="e">
        <f>IF(AND($I$402=1,$C$402=1,$S$402=0),$N$402+$H$402/$Z$395*$M$9,NA())</f>
        <v>#N/A</v>
      </c>
      <c r="BL401" s="144" t="e">
        <f>IF(AND($I$402=1,$C$402=0),$N$402+$H$402/$Z$395*$M$9,NA())</f>
        <v>#N/A</v>
      </c>
      <c r="BM401" s="144" t="e">
        <f>IF($I$403=1,$M$403+$H$403/$Z$395*$L$9,NA())</f>
        <v>#N/A</v>
      </c>
      <c r="BN401" s="144" t="e">
        <f>IF($S$403=1,$N$403+$H$403/$Z$395*$M$9,NA())</f>
        <v>#N/A</v>
      </c>
      <c r="BO401" s="144" t="e">
        <f>IF(AND($I$403=1,$C$403=1,$S$403=0),$N$403+$H$403/$Z$395*$M$9,NA())</f>
        <v>#N/A</v>
      </c>
      <c r="BP401" s="144" t="e">
        <f>IF(AND($I$403=1,$C$403=0),$N$403+$H$403/$Z$395*$M$9,NA())</f>
        <v>#N/A</v>
      </c>
    </row>
    <row r="402">
      <c r="A402" s="62" t="inlineStr">
        <is>
          <t xml:space="preserve">S₆</t>
        </is>
      </c>
      <c r="B402" s="68">
        <f>'ERDR Iterations'!G$85</f>
        <v>1</v>
      </c>
      <c r="C402" s="146">
        <f>'ERDR Iterations'!G$86</f>
        <v>1</v>
      </c>
      <c r="D402" s="146">
        <f>'ERDR Iterations'!G$92</f>
        <v>0</v>
      </c>
      <c r="E402" s="146">
        <f>IF($Q$395=6,1,0)</f>
        <v>0</v>
      </c>
      <c r="F402" s="146">
        <f>IF(OR($Q$395=0,E402=1),0,INDEX('Sorted Neighbors'!$B$5:$H$11,$Q$395,6))</f>
        <v>6</v>
      </c>
      <c r="G402" s="144">
        <f>IF($Q$395=0,0,INDEX('Zhuravlev Distances'!$B$5:$H$11,$Q$395,6))</f>
        <v>8.742951174</v>
      </c>
      <c r="H402" s="144">
        <f>'ERDR Characteristics'!$D$10</f>
        <v>3.7071187508</v>
      </c>
      <c r="I402" s="146">
        <f>D402</f>
        <v>0</v>
      </c>
      <c r="J402" s="144">
        <f>IF(F402=0,0,PI()/2-(F402-1)*$B$6)</f>
        <v>-3.66519142918809</v>
      </c>
      <c r="K402" s="144">
        <f>G402*COS(J402)</f>
        <v>-7.57161782073099</v>
      </c>
      <c r="L402" s="144">
        <f>G402*SIN(J402)</f>
        <v>4.371475587</v>
      </c>
      <c r="M402" s="144">
        <f>IF($Q$395=0,NA(),(K402-$T$395)/$Z$395)</f>
        <v>-0.869565217391304</v>
      </c>
      <c r="N402" s="144">
        <f>IF($Q$395=0,NA(),(L402-$W$395)/$Z$395)</f>
        <v>0.258881542564276</v>
      </c>
      <c r="O402" s="144">
        <f>K402-I402*H402</f>
        <v>-7.57161782073099</v>
      </c>
      <c r="P402" s="144">
        <f>K402+I402*H402</f>
        <v>-7.57161782073099</v>
      </c>
      <c r="Q402" s="144">
        <f>L402-I402*H402</f>
        <v>4.371475587</v>
      </c>
      <c r="R402" s="144">
        <f>L402+I402*H402</f>
        <v>4.371475587</v>
      </c>
      <c r="S402" s="146">
        <f>'ERDR Iterations'!G$98</f>
        <v>0</v>
      </c>
      <c r="T402" s="146">
        <f>'ERDR Iterations'!G$88</f>
        <v>1</v>
      </c>
      <c r="U402" s="146">
        <f>'ERDR Iterations'!G$101</f>
        <v>1</v>
      </c>
      <c r="V402" s="146">
        <f>'ERDR Iterations'!G$100</f>
        <v>0</v>
      </c>
      <c r="W402" s="146">
        <f>'ERDR Iterations'!G$103</f>
        <v>0</v>
      </c>
      <c r="X402" s="144">
        <f>IF(AND($Q$395&gt;0,E402=0,B402=1,C402=1),M402,NA())</f>
        <v>-0.869565217391304</v>
      </c>
      <c r="Y402" s="144">
        <f>IF(AND($Q$395&gt;0,E402=0,B402=1,C402=1),N402,NA())</f>
        <v>0.258881542564276</v>
      </c>
      <c r="Z402" s="144" t="e">
        <f>IF(AND($Q$395&gt;0,E402=0,B402=1,C402=0),M402,NA())</f>
        <v>#N/A</v>
      </c>
      <c r="AA402" s="144" t="e">
        <f>IF(AND($Q$395&gt;0,E402=0,B402=1,C402=0),N402,NA())</f>
        <v>#N/A</v>
      </c>
      <c r="AB402" s="144" t="e">
        <f>IF(AND($Q$395&gt;0,E402=0,B402=2,C402=1),M402,NA())</f>
        <v>#N/A</v>
      </c>
      <c r="AC402" s="144" t="e">
        <f>IF(AND($Q$395&gt;0,E402=0,B402=2,C402=1),N402,NA())</f>
        <v>#N/A</v>
      </c>
      <c r="AD402" s="144" t="e">
        <f>IF(AND($Q$395&gt;0,E402=0,B402=2,C402=0),M402,NA())</f>
        <v>#N/A</v>
      </c>
      <c r="AE402" s="144" t="e">
        <f>IF(AND($Q$395&gt;0,E402=0,B402=2,C402=0),N402,NA())</f>
        <v>#N/A</v>
      </c>
      <c r="AF402" s="144" t="e">
        <f>IF(AND(E402=1,B402=1),M402,NA())</f>
        <v>#N/A</v>
      </c>
      <c r="AG402" s="144" t="e">
        <f>IF(AND(E402=1,B402=1),N402,NA())</f>
        <v>#N/A</v>
      </c>
      <c r="AH402" s="144" t="e">
        <f>IF(AND(E402=1,B402=2),M402,NA())</f>
        <v>#N/A</v>
      </c>
      <c r="AI402" s="144" t="e">
        <f>IF(AND(E402=1,B402=2),N402,NA())</f>
        <v>#N/A</v>
      </c>
      <c r="AJ402" s="145" t="str">
        <f>A402&amp;IF(E402=1," = Sᵢ",IF(C402=0," (in D)",""))&amp;IF(V402=1,"  ·  g "&amp;T402&amp;"→"&amp;U402,"")&amp;IF(W402=1,"  → D","")</f>
        <v>S₆</v>
      </c>
      <c r="AN402" s="146">
        <v>5</v>
      </c>
      <c r="AO402" s="144">
        <f>IF($I$397=1,$M$397+$H$397/$Z$395*$L$10,NA())</f>
        <v>-0.0837770035970828</v>
      </c>
      <c r="AP402" s="144" t="e">
        <f>IF($S$397=1,$N$397+$H$397/$Z$395*$M$10,NA())</f>
        <v>#N/A</v>
      </c>
      <c r="AQ402" s="144" t="e">
        <f>IF(AND($I$397=1,$C$397=1,$S$397=0),$N$397+$H$397/$Z$395*$M$10,NA())</f>
        <v>#N/A</v>
      </c>
      <c r="AR402" s="144">
        <f>IF(AND($I$397=1,$C$397=0),$N$397+$H$397/$Z$395*$M$10,NA())</f>
        <v>0.755737048649147</v>
      </c>
      <c r="AS402" s="144">
        <f>IF($I$398=1,$M$398+$H$398/$Z$395*$L$10,NA())</f>
        <v>-0.0417870233958931</v>
      </c>
      <c r="AT402" s="144">
        <f>IF($S$398=1,$N$398+$H$398/$Z$395*$M$10,NA())</f>
        <v>0.506558766025056</v>
      </c>
      <c r="AU402" s="144" t="e">
        <f>IF(AND($I$398=1,$C$398=1,$S$398=0),$N$398+$H$398/$Z$395*$M$10,NA())</f>
        <v>#N/A</v>
      </c>
      <c r="AV402" s="144" t="e">
        <f>IF(AND($I$398=1,$C$398=0),$N$398+$H$398/$Z$395*$M$10,NA())</f>
        <v>#N/A</v>
      </c>
      <c r="AW402" s="144" t="e">
        <f>IF($I$399=1,$M$399+$H$399/$Z$395*$L$10,NA())</f>
        <v>#N/A</v>
      </c>
      <c r="AX402" s="144" t="e">
        <f>IF($S$399=1,$N$399+$H$399/$Z$395*$M$10,NA())</f>
        <v>#N/A</v>
      </c>
      <c r="AY402" s="144" t="e">
        <f>IF(AND($I$399=1,$C$399=1,$S$399=0),$N$399+$H$399/$Z$395*$M$10,NA())</f>
        <v>#N/A</v>
      </c>
      <c r="AZ402" s="144" t="e">
        <f>IF(AND($I$399=1,$C$399=0),$N$399+$H$399/$Z$395*$M$10,NA())</f>
        <v>#N/A</v>
      </c>
      <c r="BA402" s="144">
        <f>IF($I$400=1,$M$400+$H$400/$Z$395*$L$10,NA())</f>
        <v>0.353767060937058</v>
      </c>
      <c r="BB402" s="144" t="e">
        <f>IF($S$400=1,$N$400+$H$400/$Z$395*$M$10,NA())</f>
        <v>#N/A</v>
      </c>
      <c r="BC402" s="144">
        <f>IF(AND($I$400=1,$C$400=1,$S$400=0),$N$400+$H$400/$Z$395*$M$10,NA())</f>
        <v>-0.0873188659421109</v>
      </c>
      <c r="BD402" s="144" t="e">
        <f>IF(AND($I$400=1,$C$400=0),$N$400+$H$400/$Z$395*$M$10,NA())</f>
        <v>#N/A</v>
      </c>
      <c r="BE402" s="144">
        <f>IF($I$401=1,$M$401+$H$401/$Z$395*$L$10,NA())</f>
        <v>0.410514869754359</v>
      </c>
      <c r="BF402" s="144" t="e">
        <f>IF($S$401=1,$N$401+$H$401/$Z$395*$M$10,NA())</f>
        <v>#N/A</v>
      </c>
      <c r="BG402" s="144" t="e">
        <f>IF(AND($I$401=1,$C$401=1,$S$401=0),$N$401+$H$401/$Z$395*$M$10,NA())</f>
        <v>#N/A</v>
      </c>
      <c r="BH402" s="144">
        <f>IF(AND($I$401=1,$C$401=0),$N$401+$H$401/$Z$395*$M$10,NA())</f>
        <v>0.742219916293438</v>
      </c>
      <c r="BI402" s="144" t="e">
        <f>IF($I$402=1,$M$402+$H$402/$Z$395*$L$10,NA())</f>
        <v>#N/A</v>
      </c>
      <c r="BJ402" s="144" t="e">
        <f>IF($S$402=1,$N$402+$H$402/$Z$395*$M$10,NA())</f>
        <v>#N/A</v>
      </c>
      <c r="BK402" s="144" t="e">
        <f>IF(AND($I$402=1,$C$402=1,$S$402=0),$N$402+$H$402/$Z$395*$M$10,NA())</f>
        <v>#N/A</v>
      </c>
      <c r="BL402" s="144" t="e">
        <f>IF(AND($I$402=1,$C$402=0),$N$402+$H$402/$Z$395*$M$10,NA())</f>
        <v>#N/A</v>
      </c>
      <c r="BM402" s="144" t="e">
        <f>IF($I$403=1,$M$403+$H$403/$Z$395*$L$10,NA())</f>
        <v>#N/A</v>
      </c>
      <c r="BN402" s="144" t="e">
        <f>IF($S$403=1,$N$403+$H$403/$Z$395*$M$10,NA())</f>
        <v>#N/A</v>
      </c>
      <c r="BO402" s="144" t="e">
        <f>IF(AND($I$403=1,$C$403=1,$S$403=0),$N$403+$H$403/$Z$395*$M$10,NA())</f>
        <v>#N/A</v>
      </c>
      <c r="BP402" s="144" t="e">
        <f>IF(AND($I$403=1,$C$403=0),$N$403+$H$403/$Z$395*$M$10,NA())</f>
        <v>#N/A</v>
      </c>
    </row>
    <row r="403">
      <c r="A403" s="62" t="inlineStr">
        <is>
          <t xml:space="preserve">S₇</t>
        </is>
      </c>
      <c r="B403" s="68">
        <f>'ERDR Iterations'!H$85</f>
        <v>1</v>
      </c>
      <c r="C403" s="146">
        <f>'ERDR Iterations'!H$86</f>
        <v>0</v>
      </c>
      <c r="D403" s="146">
        <f>'ERDR Iterations'!H$92</f>
        <v>0</v>
      </c>
      <c r="E403" s="146">
        <f>IF($Q$395=7,1,0)</f>
        <v>0</v>
      </c>
      <c r="F403" s="146">
        <f>IF(OR($Q$395=0,E403=1),0,INDEX('Sorted Neighbors'!$B$5:$H$11,$Q$395,7))</f>
        <v>5</v>
      </c>
      <c r="G403" s="144">
        <f>IF($Q$395=0,0,INDEX('Zhuravlev Distances'!$B$5:$H$11,$Q$395,7))</f>
        <v>7.7855937542</v>
      </c>
      <c r="H403" s="144">
        <f>'ERDR Characteristics'!$D$11</f>
        <v>3.9109813746</v>
      </c>
      <c r="I403" s="146">
        <f>D403</f>
        <v>0</v>
      </c>
      <c r="J403" s="144">
        <f>IF(F403=0,0,PI()/2-(F403-1)*$B$6)</f>
        <v>-2.61799387799149</v>
      </c>
      <c r="K403" s="144">
        <f>G403*COS(J403)</f>
        <v>-6.74252197468266</v>
      </c>
      <c r="L403" s="144">
        <f>G403*SIN(J403)</f>
        <v>-3.8927968771</v>
      </c>
      <c r="M403" s="144">
        <f>IF($Q$395=0,NA(),(K403-$T$395)/$Z$395)</f>
        <v>-0.797360240301012</v>
      </c>
      <c r="N403" s="144">
        <f>IF($Q$395=0,NA(),(L403-$W$395)/$Z$395)</f>
        <v>-0.460844176461325</v>
      </c>
      <c r="O403" s="144">
        <f>K403-I403*H403</f>
        <v>-6.74252197468266</v>
      </c>
      <c r="P403" s="144">
        <f>K403+I403*H403</f>
        <v>-6.74252197468266</v>
      </c>
      <c r="Q403" s="144">
        <f>L403-I403*H403</f>
        <v>-3.8927968771</v>
      </c>
      <c r="R403" s="144">
        <f>L403+I403*H403</f>
        <v>-3.8927968771</v>
      </c>
      <c r="S403" s="146">
        <f>'ERDR Iterations'!H$98</f>
        <v>0</v>
      </c>
      <c r="T403" s="146">
        <f>'ERDR Iterations'!H$88</f>
        <v>1</v>
      </c>
      <c r="U403" s="146">
        <f>'ERDR Iterations'!H$101</f>
        <v>1</v>
      </c>
      <c r="V403" s="146">
        <f>'ERDR Iterations'!H$100</f>
        <v>0</v>
      </c>
      <c r="W403" s="146">
        <f>'ERDR Iterations'!H$103</f>
        <v>0</v>
      </c>
      <c r="X403" s="144" t="e">
        <f>IF(AND($Q$395&gt;0,E403=0,B403=1,C403=1),M403,NA())</f>
        <v>#N/A</v>
      </c>
      <c r="Y403" s="144" t="e">
        <f>IF(AND($Q$395&gt;0,E403=0,B403=1,C403=1),N403,NA())</f>
        <v>#N/A</v>
      </c>
      <c r="Z403" s="144">
        <f>IF(AND($Q$395&gt;0,E403=0,B403=1,C403=0),M403,NA())</f>
        <v>-0.797360240301012</v>
      </c>
      <c r="AA403" s="144">
        <f>IF(AND($Q$395&gt;0,E403=0,B403=1,C403=0),N403,NA())</f>
        <v>-0.460844176461325</v>
      </c>
      <c r="AB403" s="144" t="e">
        <f>IF(AND($Q$395&gt;0,E403=0,B403=2,C403=1),M403,NA())</f>
        <v>#N/A</v>
      </c>
      <c r="AC403" s="144" t="e">
        <f>IF(AND($Q$395&gt;0,E403=0,B403=2,C403=1),N403,NA())</f>
        <v>#N/A</v>
      </c>
      <c r="AD403" s="144" t="e">
        <f>IF(AND($Q$395&gt;0,E403=0,B403=2,C403=0),M403,NA())</f>
        <v>#N/A</v>
      </c>
      <c r="AE403" s="144" t="e">
        <f>IF(AND($Q$395&gt;0,E403=0,B403=2,C403=0),N403,NA())</f>
        <v>#N/A</v>
      </c>
      <c r="AF403" s="144" t="e">
        <f>IF(AND(E403=1,B403=1),M403,NA())</f>
        <v>#N/A</v>
      </c>
      <c r="AG403" s="144" t="e">
        <f>IF(AND(E403=1,B403=1),N403,NA())</f>
        <v>#N/A</v>
      </c>
      <c r="AH403" s="144" t="e">
        <f>IF(AND(E403=1,B403=2),M403,NA())</f>
        <v>#N/A</v>
      </c>
      <c r="AI403" s="144" t="e">
        <f>IF(AND(E403=1,B403=2),N403,NA())</f>
        <v>#N/A</v>
      </c>
      <c r="AJ403" s="145" t="str">
        <f>A403&amp;IF(E403=1," = Sᵢ",IF(C403=0," (in D)",""))&amp;IF(V403=1,"  ·  g "&amp;T403&amp;"→"&amp;U403,"")&amp;IF(W403=1,"  → D","")</f>
        <v>S₇ (in D)</v>
      </c>
      <c r="AN403" s="146">
        <v>6</v>
      </c>
      <c r="AO403" s="144">
        <f>IF($I$397=1,$M$397+$H$397/$Z$395*$L$11,NA())</f>
        <v>-0.210161972412966</v>
      </c>
      <c r="AP403" s="144" t="e">
        <f>IF($S$397=1,$N$397+$H$397/$Z$395*$M$11,NA())</f>
        <v>#N/A</v>
      </c>
      <c r="AQ403" s="144" t="e">
        <f>IF(AND($I$397=1,$C$397=1,$S$397=0),$N$397+$H$397/$Z$395*$M$11,NA())</f>
        <v>#N/A</v>
      </c>
      <c r="AR403" s="144">
        <f>IF(AND($I$397=1,$C$397=0),$N$397+$H$397/$Z$395*$M$11,NA())</f>
        <v>0.772375945451264</v>
      </c>
      <c r="AS403" s="144">
        <f>IF($I$398=1,$M$398+$H$398/$Z$395*$L$11,NA())</f>
        <v>-0.210161972412966</v>
      </c>
      <c r="AT403" s="144">
        <f>IF($S$398=1,$N$398+$H$398/$Z$395*$M$11,NA())</f>
        <v>0.528725748594304</v>
      </c>
      <c r="AU403" s="144" t="e">
        <f>IF(AND($I$398=1,$C$398=1,$S$398=0),$N$398+$H$398/$Z$395*$M$11,NA())</f>
        <v>#N/A</v>
      </c>
      <c r="AV403" s="144" t="e">
        <f>IF(AND($I$398=1,$C$398=0),$N$398+$H$398/$Z$395*$M$11,NA())</f>
        <v>#N/A</v>
      </c>
      <c r="AW403" s="144" t="e">
        <f>IF($I$399=1,$M$399+$H$399/$Z$395*$L$11,NA())</f>
        <v>#N/A</v>
      </c>
      <c r="AX403" s="144" t="e">
        <f>IF($S$399=1,$N$399+$H$399/$Z$395*$M$11,NA())</f>
        <v>#N/A</v>
      </c>
      <c r="AY403" s="144" t="e">
        <f>IF(AND($I$399=1,$C$399=1,$S$399=0),$N$399+$H$399/$Z$395*$M$11,NA())</f>
        <v>#N/A</v>
      </c>
      <c r="AZ403" s="144" t="e">
        <f>IF(AND($I$399=1,$C$399=0),$N$399+$H$399/$Z$395*$M$11,NA())</f>
        <v>#N/A</v>
      </c>
      <c r="BA403" s="144">
        <f>IF($I$400=1,$M$400+$H$400/$Z$395*$L$11,NA())</f>
        <v>0.270207697285136</v>
      </c>
      <c r="BB403" s="144" t="e">
        <f>IF($S$400=1,$N$400+$H$400/$Z$395*$M$11,NA())</f>
        <v>#N/A</v>
      </c>
      <c r="BC403" s="144">
        <f>IF(AND($I$400=1,$C$400=1,$S$400=0),$N$400+$H$400/$Z$395*$M$11,NA())</f>
        <v>-0.0763180670205218</v>
      </c>
      <c r="BD403" s="144" t="e">
        <f>IF(AND($I$400=1,$C$400=0),$N$400+$H$400/$Z$395*$M$11,NA())</f>
        <v>#N/A</v>
      </c>
      <c r="BE403" s="144">
        <f>IF($I$401=1,$M$401+$H$401/$Z$395*$L$11,NA())</f>
        <v>0.250215320981134</v>
      </c>
      <c r="BF403" s="144" t="e">
        <f>IF($S$401=1,$N$401+$H$401/$Z$395*$M$11,NA())</f>
        <v>#N/A</v>
      </c>
      <c r="BG403" s="144" t="e">
        <f>IF(AND($I$401=1,$C$401=1,$S$401=0),$N$401+$H$401/$Z$395*$M$11,NA())</f>
        <v>#N/A</v>
      </c>
      <c r="BH403" s="144">
        <f>IF(AND($I$401=1,$C$401=0),$N$401+$H$401/$Z$395*$M$11,NA())</f>
        <v>0.763323752251566</v>
      </c>
      <c r="BI403" s="144" t="e">
        <f>IF($I$402=1,$M$402+$H$402/$Z$395*$L$11,NA())</f>
        <v>#N/A</v>
      </c>
      <c r="BJ403" s="144" t="e">
        <f>IF($S$402=1,$N$402+$H$402/$Z$395*$M$11,NA())</f>
        <v>#N/A</v>
      </c>
      <c r="BK403" s="144" t="e">
        <f>IF(AND($I$402=1,$C$402=1,$S$402=0),$N$402+$H$402/$Z$395*$M$11,NA())</f>
        <v>#N/A</v>
      </c>
      <c r="BL403" s="144" t="e">
        <f>IF(AND($I$402=1,$C$402=0),$N$402+$H$402/$Z$395*$M$11,NA())</f>
        <v>#N/A</v>
      </c>
      <c r="BM403" s="144" t="e">
        <f>IF($I$403=1,$M$403+$H$403/$Z$395*$L$11,NA())</f>
        <v>#N/A</v>
      </c>
      <c r="BN403" s="144" t="e">
        <f>IF($S$403=1,$N$403+$H$403/$Z$395*$M$11,NA())</f>
        <v>#N/A</v>
      </c>
      <c r="BO403" s="144" t="e">
        <f>IF(AND($I$403=1,$C$403=1,$S$403=0),$N$403+$H$403/$Z$395*$M$11,NA())</f>
        <v>#N/A</v>
      </c>
      <c r="BP403" s="144" t="e">
        <f>IF(AND($I$403=1,$C$403=0),$N$403+$H$403/$Z$395*$M$11,NA())</f>
        <v>#N/A</v>
      </c>
    </row>
    <row r="404">
      <c r="A404" s="63" t="inlineStr">
        <is>
          <t xml:space="preserve">Message</t>
        </is>
      </c>
      <c r="D404" s="145" t="str">
        <f>"Queue empty → Step 6:   D = "&amp;'Training &amp; Validation'!$B$19&amp;"   ·   F = "&amp;'Training &amp; Validation'!$B$20</f>
        <v>Queue empty → Step 6:   D = {S₁, S₂, S₅, S₆, S₇}   ·   F = {S₃, S₄}</v>
      </c>
      <c r="E404" s="144" t="e">
        <f>IF($Q$395=0,0,NA())</f>
        <v>#N/A</v>
      </c>
      <c r="F404" s="144" t="e">
        <f>IF($Q$395=0,0,NA())</f>
        <v>#N/A</v>
      </c>
      <c r="AN404" s="146">
        <v>7</v>
      </c>
      <c r="AO404" s="144">
        <f>IF($I$397=1,$M$397+$H$397/$Z$395*$L$12,NA())</f>
        <v>-0.336546941228849</v>
      </c>
      <c r="AP404" s="144" t="e">
        <f>IF($S$397=1,$N$397+$H$397/$Z$395*$M$12,NA())</f>
        <v>#N/A</v>
      </c>
      <c r="AQ404" s="144" t="e">
        <f>IF(AND($I$397=1,$C$397=1,$S$397=0),$N$397+$H$397/$Z$395*$M$12,NA())</f>
        <v>#N/A</v>
      </c>
      <c r="AR404" s="144">
        <f>IF(AND($I$397=1,$C$397=0),$N$397+$H$397/$Z$395*$M$12,NA())</f>
        <v>0.755737048649147</v>
      </c>
      <c r="AS404" s="144">
        <f>IF($I$398=1,$M$398+$H$398/$Z$395*$L$12,NA())</f>
        <v>-0.378536921430039</v>
      </c>
      <c r="AT404" s="144">
        <f>IF($S$398=1,$N$398+$H$398/$Z$395*$M$12,NA())</f>
        <v>0.506558766025056</v>
      </c>
      <c r="AU404" s="144" t="e">
        <f>IF(AND($I$398=1,$C$398=1,$S$398=0),$N$398+$H$398/$Z$395*$M$12,NA())</f>
        <v>#N/A</v>
      </c>
      <c r="AV404" s="144" t="e">
        <f>IF(AND($I$398=1,$C$398=0),$N$398+$H$398/$Z$395*$M$12,NA())</f>
        <v>#N/A</v>
      </c>
      <c r="AW404" s="144" t="e">
        <f>IF($I$399=1,$M$399+$H$399/$Z$395*$L$12,NA())</f>
        <v>#N/A</v>
      </c>
      <c r="AX404" s="144" t="e">
        <f>IF($S$399=1,$N$399+$H$399/$Z$395*$M$12,NA())</f>
        <v>#N/A</v>
      </c>
      <c r="AY404" s="144" t="e">
        <f>IF(AND($I$399=1,$C$399=1,$S$399=0),$N$399+$H$399/$Z$395*$M$12,NA())</f>
        <v>#N/A</v>
      </c>
      <c r="AZ404" s="144" t="e">
        <f>IF(AND($I$399=1,$C$399=0),$N$399+$H$399/$Z$395*$M$12,NA())</f>
        <v>#N/A</v>
      </c>
      <c r="BA404" s="144">
        <f>IF($I$400=1,$M$400+$H$400/$Z$395*$L$12,NA())</f>
        <v>0.186648333633213</v>
      </c>
      <c r="BB404" s="144" t="e">
        <f>IF($S$400=1,$N$400+$H$400/$Z$395*$M$12,NA())</f>
        <v>#N/A</v>
      </c>
      <c r="BC404" s="144">
        <f>IF(AND($I$400=1,$C$400=1,$S$400=0),$N$400+$H$400/$Z$395*$M$12,NA())</f>
        <v>-0.0873188659421109</v>
      </c>
      <c r="BD404" s="144" t="e">
        <f>IF(AND($I$400=1,$C$400=0),$N$400+$H$400/$Z$395*$M$12,NA())</f>
        <v>#N/A</v>
      </c>
      <c r="BE404" s="144">
        <f>IF($I$401=1,$M$401+$H$401/$Z$395*$L$12,NA())</f>
        <v>0.0899157722079083</v>
      </c>
      <c r="BF404" s="144" t="e">
        <f>IF($S$401=1,$N$401+$H$401/$Z$395*$M$12,NA())</f>
        <v>#N/A</v>
      </c>
      <c r="BG404" s="144" t="e">
        <f>IF(AND($I$401=1,$C$401=1,$S$401=0),$N$401+$H$401/$Z$395*$M$12,NA())</f>
        <v>#N/A</v>
      </c>
      <c r="BH404" s="144">
        <f>IF(AND($I$401=1,$C$401=0),$N$401+$H$401/$Z$395*$M$12,NA())</f>
        <v>0.742219916293438</v>
      </c>
      <c r="BI404" s="144" t="e">
        <f>IF($I$402=1,$M$402+$H$402/$Z$395*$L$12,NA())</f>
        <v>#N/A</v>
      </c>
      <c r="BJ404" s="144" t="e">
        <f>IF($S$402=1,$N$402+$H$402/$Z$395*$M$12,NA())</f>
        <v>#N/A</v>
      </c>
      <c r="BK404" s="144" t="e">
        <f>IF(AND($I$402=1,$C$402=1,$S$402=0),$N$402+$H$402/$Z$395*$M$12,NA())</f>
        <v>#N/A</v>
      </c>
      <c r="BL404" s="144" t="e">
        <f>IF(AND($I$402=1,$C$402=0),$N$402+$H$402/$Z$395*$M$12,NA())</f>
        <v>#N/A</v>
      </c>
      <c r="BM404" s="144" t="e">
        <f>IF($I$403=1,$M$403+$H$403/$Z$395*$L$12,NA())</f>
        <v>#N/A</v>
      </c>
      <c r="BN404" s="144" t="e">
        <f>IF($S$403=1,$N$403+$H$403/$Z$395*$M$12,NA())</f>
        <v>#N/A</v>
      </c>
      <c r="BO404" s="144" t="e">
        <f>IF(AND($I$403=1,$C$403=1,$S$403=0),$N$403+$H$403/$Z$395*$M$12,NA())</f>
        <v>#N/A</v>
      </c>
      <c r="BP404" s="144" t="e">
        <f>IF(AND($I$403=1,$C$403=0),$N$403+$H$403/$Z$395*$M$12,NA())</f>
        <v>#N/A</v>
      </c>
    </row>
    <row r="405">
      <c r="A405" s="147" t="inlineStr">
        <is>
          <t xml:space="preserve">Label slot</t>
        </is>
      </c>
      <c r="B405" s="147" t="inlineStr">
        <is>
          <t xml:space="preserve">Rank t</t>
        </is>
      </c>
      <c r="C405" s="147" t="inlineStr">
        <is>
          <t xml:space="preserve">Object</t>
        </is>
      </c>
      <c r="D405" s="147" t="inlineStr">
        <is>
          <t xml:space="preserve">Label</t>
        </is>
      </c>
      <c r="E405" s="147" t="inlineStr">
        <is>
          <t xml:space="preserve">x</t>
        </is>
      </c>
      <c r="F405" s="147" t="inlineStr">
        <is>
          <t xml:space="preserve">y</t>
        </is>
      </c>
      <c r="AN405" s="146">
        <v>8</v>
      </c>
      <c r="AO405" s="144">
        <f>IF($I$397=1,$M$397+$H$397/$Z$395*$L$13,NA())</f>
        <v>-0.454318983280966</v>
      </c>
      <c r="AP405" s="144" t="e">
        <f>IF($S$397=1,$N$397+$H$397/$Z$395*$M$13,NA())</f>
        <v>#N/A</v>
      </c>
      <c r="AQ405" s="144" t="e">
        <f>IF(AND($I$397=1,$C$397=1,$S$397=0),$N$397+$H$397/$Z$395*$M$13,NA())</f>
        <v>#N/A</v>
      </c>
      <c r="AR405" s="144">
        <f>IF(AND($I$397=1,$C$397=0),$N$397+$H$397/$Z$395*$M$13,NA())</f>
        <v>0.706954271562786</v>
      </c>
      <c r="AS405" s="144">
        <f>IF($I$398=1,$M$398+$H$398/$Z$395*$L$13,NA())</f>
        <v>-0.535437395924358</v>
      </c>
      <c r="AT405" s="144">
        <f>IF($S$398=1,$N$398+$H$398/$Z$395*$M$13,NA())</f>
        <v>0.441568461546735</v>
      </c>
      <c r="AU405" s="144" t="e">
        <f>IF(AND($I$398=1,$C$398=1,$S$398=0),$N$398+$H$398/$Z$395*$M$13,NA())</f>
        <v>#N/A</v>
      </c>
      <c r="AV405" s="144" t="e">
        <f>IF(AND($I$398=1,$C$398=0),$N$398+$H$398/$Z$395*$M$13,NA())</f>
        <v>#N/A</v>
      </c>
      <c r="AW405" s="144" t="e">
        <f>IF($I$399=1,$M$399+$H$399/$Z$395*$L$13,NA())</f>
        <v>#N/A</v>
      </c>
      <c r="AX405" s="144" t="e">
        <f>IF($S$399=1,$N$399+$H$399/$Z$395*$M$13,NA())</f>
        <v>#N/A</v>
      </c>
      <c r="AY405" s="144" t="e">
        <f>IF(AND($I$399=1,$C$399=1,$S$399=0),$N$399+$H$399/$Z$395*$M$13,NA())</f>
        <v>#N/A</v>
      </c>
      <c r="AZ405" s="144" t="e">
        <f>IF(AND($I$399=1,$C$399=0),$N$399+$H$399/$Z$395*$M$13,NA())</f>
        <v>#N/A</v>
      </c>
      <c r="BA405" s="144">
        <f>IF($I$400=1,$M$400+$H$400/$Z$395*$L$13,NA())</f>
        <v>0.108783402525792</v>
      </c>
      <c r="BB405" s="144" t="e">
        <f>IF($S$400=1,$N$400+$H$400/$Z$395*$M$13,NA())</f>
        <v>#N/A</v>
      </c>
      <c r="BC405" s="144">
        <f>IF(AND($I$400=1,$C$400=1,$S$400=0),$N$400+$H$400/$Z$395*$M$13,NA())</f>
        <v>-0.119571576440052</v>
      </c>
      <c r="BD405" s="144" t="e">
        <f>IF(AND($I$400=1,$C$400=0),$N$400+$H$400/$Z$395*$M$13,NA())</f>
        <v>#N/A</v>
      </c>
      <c r="BE405" s="144">
        <f>IF($I$401=1,$M$401+$H$401/$Z$395*$L$13,NA())</f>
        <v>-0.0594596272239514</v>
      </c>
      <c r="BF405" s="144" t="e">
        <f>IF($S$401=1,$N$401+$H$401/$Z$395*$M$13,NA())</f>
        <v>#N/A</v>
      </c>
      <c r="BG405" s="144" t="e">
        <f>IF(AND($I$401=1,$C$401=1,$S$401=0),$N$401+$H$401/$Z$395*$M$13,NA())</f>
        <v>#N/A</v>
      </c>
      <c r="BH405" s="144">
        <f>IF(AND($I$401=1,$C$401=0),$N$401+$H$401/$Z$395*$M$13,NA())</f>
        <v>0.680346599963864</v>
      </c>
      <c r="BI405" s="144" t="e">
        <f>IF($I$402=1,$M$402+$H$402/$Z$395*$L$13,NA())</f>
        <v>#N/A</v>
      </c>
      <c r="BJ405" s="144" t="e">
        <f>IF($S$402=1,$N$402+$H$402/$Z$395*$M$13,NA())</f>
        <v>#N/A</v>
      </c>
      <c r="BK405" s="144" t="e">
        <f>IF(AND($I$402=1,$C$402=1,$S$402=0),$N$402+$H$402/$Z$395*$M$13,NA())</f>
        <v>#N/A</v>
      </c>
      <c r="BL405" s="144" t="e">
        <f>IF(AND($I$402=1,$C$402=0),$N$402+$H$402/$Z$395*$M$13,NA())</f>
        <v>#N/A</v>
      </c>
      <c r="BM405" s="144" t="e">
        <f>IF($I$403=1,$M$403+$H$403/$Z$395*$L$13,NA())</f>
        <v>#N/A</v>
      </c>
      <c r="BN405" s="144" t="e">
        <f>IF($S$403=1,$N$403+$H$403/$Z$395*$M$13,NA())</f>
        <v>#N/A</v>
      </c>
      <c r="BO405" s="144" t="e">
        <f>IF(AND($I$403=1,$C$403=1,$S$403=0),$N$403+$H$403/$Z$395*$M$13,NA())</f>
        <v>#N/A</v>
      </c>
      <c r="BP405" s="144" t="e">
        <f>IF(AND($I$403=1,$C$403=0),$N$403+$H$403/$Z$395*$M$13,NA())</f>
        <v>#N/A</v>
      </c>
    </row>
    <row r="406">
      <c r="A406" s="63" t="inlineStr">
        <is>
          <t xml:space="preserve">slot 1 (t)</t>
        </is>
      </c>
      <c r="B406" s="146">
        <v>1</v>
      </c>
      <c r="C406" s="146">
        <f>IFERROR(MATCH(B406,$F$397:$F$403,0),NA())</f>
        <v>1</v>
      </c>
      <c r="D406" s="145" t="str">
        <f>IFERROR(INDEX($AJ$397:$AJ$403,C406),"")</f>
        <v>S₁ (in D)</v>
      </c>
      <c r="E406" s="144">
        <f>IFERROR(INDEX($M$397:$M$403,C406),NA())</f>
        <v>-0.210161972412966</v>
      </c>
      <c r="F406" s="144">
        <f>IFERROR(INDEX($N$397:$N$403,C406),NA())</f>
        <v>0.284061923715263</v>
      </c>
      <c r="AN406" s="146">
        <v>9</v>
      </c>
      <c r="AO406" s="144">
        <f>IF($I$397=1,$M$397+$H$397/$Z$395*$L$14,NA())</f>
        <v>-0.555452128530967</v>
      </c>
      <c r="AP406" s="144" t="e">
        <f>IF($S$397=1,$N$397+$H$397/$Z$395*$M$14,NA())</f>
        <v>#N/A</v>
      </c>
      <c r="AQ406" s="144" t="e">
        <f>IF(AND($I$397=1,$C$397=1,$S$397=0),$N$397+$H$397/$Z$395*$M$14,NA())</f>
        <v>#N/A</v>
      </c>
      <c r="AR406" s="144">
        <f>IF(AND($I$397=1,$C$397=0),$N$397+$H$397/$Z$395*$M$14,NA())</f>
        <v>0.629352079833264</v>
      </c>
      <c r="AS406" s="144">
        <f>IF($I$398=1,$M$398+$H$398/$Z$395*$L$14,NA())</f>
        <v>-0.670170887849429</v>
      </c>
      <c r="AT406" s="144">
        <f>IF($S$398=1,$N$398+$H$398/$Z$395*$M$14,NA())</f>
        <v>0.338183817007983</v>
      </c>
      <c r="AU406" s="144" t="e">
        <f>IF(AND($I$398=1,$C$398=1,$S$398=0),$N$398+$H$398/$Z$395*$M$14,NA())</f>
        <v>#N/A</v>
      </c>
      <c r="AV406" s="144" t="e">
        <f>IF(AND($I$398=1,$C$398=0),$N$398+$H$398/$Z$395*$M$14,NA())</f>
        <v>#N/A</v>
      </c>
      <c r="AW406" s="144" t="e">
        <f>IF($I$399=1,$M$399+$H$399/$Z$395*$L$14,NA())</f>
        <v>#N/A</v>
      </c>
      <c r="AX406" s="144" t="e">
        <f>IF($S$399=1,$N$399+$H$399/$Z$395*$M$14,NA())</f>
        <v>#N/A</v>
      </c>
      <c r="AY406" s="144" t="e">
        <f>IF(AND($I$399=1,$C$399=1,$S$399=0),$N$399+$H$399/$Z$395*$M$14,NA())</f>
        <v>#N/A</v>
      </c>
      <c r="AZ406" s="144" t="e">
        <f>IF(AND($I$399=1,$C$399=0),$N$399+$H$399/$Z$395*$M$14,NA())</f>
        <v>#N/A</v>
      </c>
      <c r="BA406" s="144">
        <f>IF($I$400=1,$M$400+$H$400/$Z$395*$L$14,NA())</f>
        <v>0.0419192703399591</v>
      </c>
      <c r="BB406" s="144" t="e">
        <f>IF($S$400=1,$N$400+$H$400/$Z$395*$M$14,NA())</f>
        <v>#N/A</v>
      </c>
      <c r="BC406" s="144">
        <f>IF(AND($I$400=1,$C$400=1,$S$400=0),$N$400+$H$400/$Z$395*$M$14,NA())</f>
        <v>-0.170878229594033</v>
      </c>
      <c r="BD406" s="144" t="e">
        <f>IF(AND($I$400=1,$C$400=0),$N$400+$H$400/$Z$395*$M$14,NA())</f>
        <v>#N/A</v>
      </c>
      <c r="BE406" s="144">
        <f>IF($I$401=1,$M$401+$H$401/$Z$395*$L$14,NA())</f>
        <v>-0.187731190697684</v>
      </c>
      <c r="BF406" s="144" t="e">
        <f>IF($S$401=1,$N$401+$H$401/$Z$395*$M$14,NA())</f>
        <v>#N/A</v>
      </c>
      <c r="BG406" s="144" t="e">
        <f>IF(AND($I$401=1,$C$401=1,$S$401=0),$N$401+$H$401/$Z$395*$M$14,NA())</f>
        <v>#N/A</v>
      </c>
      <c r="BH406" s="144">
        <f>IF(AND($I$401=1,$C$401=0),$N$401+$H$401/$Z$395*$M$14,NA())</f>
        <v>0.581920367520213</v>
      </c>
      <c r="BI406" s="144" t="e">
        <f>IF($I$402=1,$M$402+$H$402/$Z$395*$L$14,NA())</f>
        <v>#N/A</v>
      </c>
      <c r="BJ406" s="144" t="e">
        <f>IF($S$402=1,$N$402+$H$402/$Z$395*$M$14,NA())</f>
        <v>#N/A</v>
      </c>
      <c r="BK406" s="144" t="e">
        <f>IF(AND($I$402=1,$C$402=1,$S$402=0),$N$402+$H$402/$Z$395*$M$14,NA())</f>
        <v>#N/A</v>
      </c>
      <c r="BL406" s="144" t="e">
        <f>IF(AND($I$402=1,$C$402=0),$N$402+$H$402/$Z$395*$M$14,NA())</f>
        <v>#N/A</v>
      </c>
      <c r="BM406" s="144" t="e">
        <f>IF($I$403=1,$M$403+$H$403/$Z$395*$L$14,NA())</f>
        <v>#N/A</v>
      </c>
      <c r="BN406" s="144" t="e">
        <f>IF($S$403=1,$N$403+$H$403/$Z$395*$M$14,NA())</f>
        <v>#N/A</v>
      </c>
      <c r="BO406" s="144" t="e">
        <f>IF(AND($I$403=1,$C$403=1,$S$403=0),$N$403+$H$403/$Z$395*$M$14,NA())</f>
        <v>#N/A</v>
      </c>
      <c r="BP406" s="144" t="e">
        <f>IF(AND($I$403=1,$C$403=0),$N$403+$H$403/$Z$395*$M$14,NA())</f>
        <v>#N/A</v>
      </c>
    </row>
    <row r="407">
      <c r="A407" s="63" t="inlineStr">
        <is>
          <t xml:space="preserve">slot 2 (r)</t>
        </is>
      </c>
      <c r="B407" s="146">
        <v>2</v>
      </c>
      <c r="C407" s="146">
        <f>IFERROR(MATCH(B407,$F$397:$F$403,0),NA())</f>
        <v>5</v>
      </c>
      <c r="D407" s="145" t="str">
        <f>IFERROR(INDEX($AJ$397:$AJ$403,C407),"")</f>
        <v>S₅ (in D)</v>
      </c>
      <c r="E407" s="144">
        <f>IFERROR(INDEX($M$397:$M$403,C407),NA())</f>
        <v>0.250215320981134</v>
      </c>
      <c r="F407" s="144">
        <f>IFERROR(INDEX($N$397:$N$403,C407),NA())</f>
        <v>0.143973855841395</v>
      </c>
      <c r="AN407" s="146">
        <v>10</v>
      </c>
      <c r="AO407" s="144">
        <f>IF($I$397=1,$M$397+$H$397/$Z$395*$L$15,NA())</f>
        <v>-0.633054320260489</v>
      </c>
      <c r="AP407" s="144" t="e">
        <f>IF($S$397=1,$N$397+$H$397/$Z$395*$M$15,NA())</f>
        <v>#N/A</v>
      </c>
      <c r="AQ407" s="144" t="e">
        <f>IF(AND($I$397=1,$C$397=1,$S$397=0),$N$397+$H$397/$Z$395*$M$15,NA())</f>
        <v>#N/A</v>
      </c>
      <c r="AR407" s="144">
        <f>IF(AND($I$397=1,$C$397=0),$N$397+$H$397/$Z$395*$M$15,NA())</f>
        <v>0.528218934583263</v>
      </c>
      <c r="AS407" s="144">
        <f>IF($I$398=1,$M$398+$H$398/$Z$395*$L$15,NA())</f>
        <v>-0.773555532388181</v>
      </c>
      <c r="AT407" s="144">
        <f>IF($S$398=1,$N$398+$H$398/$Z$395*$M$15,NA())</f>
        <v>0.203450325082912</v>
      </c>
      <c r="AU407" s="144" t="e">
        <f>IF(AND($I$398=1,$C$398=1,$S$398=0),$N$398+$H$398/$Z$395*$M$15,NA())</f>
        <v>#N/A</v>
      </c>
      <c r="AV407" s="144" t="e">
        <f>IF(AND($I$398=1,$C$398=0),$N$398+$H$398/$Z$395*$M$15,NA())</f>
        <v>#N/A</v>
      </c>
      <c r="AW407" s="144" t="e">
        <f>IF($I$399=1,$M$399+$H$399/$Z$395*$L$15,NA())</f>
        <v>#N/A</v>
      </c>
      <c r="AX407" s="144" t="e">
        <f>IF($S$399=1,$N$399+$H$399/$Z$395*$M$15,NA())</f>
        <v>#N/A</v>
      </c>
      <c r="AY407" s="144" t="e">
        <f>IF(AND($I$399=1,$C$399=1,$S$399=0),$N$399+$H$399/$Z$395*$M$15,NA())</f>
        <v>#N/A</v>
      </c>
      <c r="AZ407" s="144" t="e">
        <f>IF(AND($I$399=1,$C$399=0),$N$399+$H$399/$Z$395*$M$15,NA())</f>
        <v>#N/A</v>
      </c>
      <c r="BA407" s="144">
        <f>IF($I$400=1,$M$400+$H$400/$Z$395*$L$15,NA())</f>
        <v>-0.00938738281402285</v>
      </c>
      <c r="BB407" s="144" t="e">
        <f>IF($S$400=1,$N$400+$H$400/$Z$395*$M$15,NA())</f>
        <v>#N/A</v>
      </c>
      <c r="BC407" s="144">
        <f>IF(AND($I$400=1,$C$400=1,$S$400=0),$N$400+$H$400/$Z$395*$M$15,NA())</f>
        <v>-0.237742361779866</v>
      </c>
      <c r="BD407" s="144" t="e">
        <f>IF(AND($I$400=1,$C$400=0),$N$400+$H$400/$Z$395*$M$15,NA())</f>
        <v>#N/A</v>
      </c>
      <c r="BE407" s="144">
        <f>IF($I$401=1,$M$401+$H$401/$Z$395*$L$15,NA())</f>
        <v>-0.286157423141335</v>
      </c>
      <c r="BF407" s="144" t="e">
        <f>IF($S$401=1,$N$401+$H$401/$Z$395*$M$15,NA())</f>
        <v>#N/A</v>
      </c>
      <c r="BG407" s="144" t="e">
        <f>IF(AND($I$401=1,$C$401=1,$S$401=0),$N$401+$H$401/$Z$395*$M$15,NA())</f>
        <v>#N/A</v>
      </c>
      <c r="BH407" s="144">
        <f>IF(AND($I$401=1,$C$401=0),$N$401+$H$401/$Z$395*$M$15,NA())</f>
        <v>0.453648804046481</v>
      </c>
      <c r="BI407" s="144" t="e">
        <f>IF($I$402=1,$M$402+$H$402/$Z$395*$L$15,NA())</f>
        <v>#N/A</v>
      </c>
      <c r="BJ407" s="144" t="e">
        <f>IF($S$402=1,$N$402+$H$402/$Z$395*$M$15,NA())</f>
        <v>#N/A</v>
      </c>
      <c r="BK407" s="144" t="e">
        <f>IF(AND($I$402=1,$C$402=1,$S$402=0),$N$402+$H$402/$Z$395*$M$15,NA())</f>
        <v>#N/A</v>
      </c>
      <c r="BL407" s="144" t="e">
        <f>IF(AND($I$402=1,$C$402=0),$N$402+$H$402/$Z$395*$M$15,NA())</f>
        <v>#N/A</v>
      </c>
      <c r="BM407" s="144" t="e">
        <f>IF($I$403=1,$M$403+$H$403/$Z$395*$L$15,NA())</f>
        <v>#N/A</v>
      </c>
      <c r="BN407" s="144" t="e">
        <f>IF($S$403=1,$N$403+$H$403/$Z$395*$M$15,NA())</f>
        <v>#N/A</v>
      </c>
      <c r="BO407" s="144" t="e">
        <f>IF(AND($I$403=1,$C$403=1,$S$403=0),$N$403+$H$403/$Z$395*$M$15,NA())</f>
        <v>#N/A</v>
      </c>
      <c r="BP407" s="144" t="e">
        <f>IF(AND($I$403=1,$C$403=0),$N$403+$H$403/$Z$395*$M$15,NA())</f>
        <v>#N/A</v>
      </c>
    </row>
    <row r="408">
      <c r="A408" s="63" t="inlineStr">
        <is>
          <t xml:space="preserve">slot 3 (r)</t>
        </is>
      </c>
      <c r="B408" s="146">
        <v>3</v>
      </c>
      <c r="C408" s="146">
        <f>IFERROR(MATCH(B408,$F$397:$F$403,0),NA())</f>
        <v>4</v>
      </c>
      <c r="D408" s="145" t="str">
        <f>IFERROR(INDEX($AJ$397:$AJ$403,C408),"")</f>
        <v>S₄</v>
      </c>
      <c r="E408" s="144">
        <f>IFERROR(INDEX($M$397:$M$403,C408),NA())</f>
        <v>0.270207697285136</v>
      </c>
      <c r="F408" s="144">
        <f>IFERROR(INDEX($N$397:$N$403,C408),NA())</f>
        <v>-0.39916665653921</v>
      </c>
      <c r="AN408" s="146">
        <v>11</v>
      </c>
      <c r="AO408" s="144">
        <f>IF($I$397=1,$M$397+$H$397/$Z$395*$L$16,NA())</f>
        <v>-0.681837097346851</v>
      </c>
      <c r="AP408" s="144" t="e">
        <f>IF($S$397=1,$N$397+$H$397/$Z$395*$M$16,NA())</f>
        <v>#N/A</v>
      </c>
      <c r="AQ408" s="144" t="e">
        <f>IF(AND($I$397=1,$C$397=1,$S$397=0),$N$397+$H$397/$Z$395*$M$16,NA())</f>
        <v>#N/A</v>
      </c>
      <c r="AR408" s="144">
        <f>IF(AND($I$397=1,$C$397=0),$N$397+$H$397/$Z$395*$M$16,NA())</f>
        <v>0.410446892531146</v>
      </c>
      <c r="AS408" s="144">
        <f>IF($I$398=1,$M$398+$H$398/$Z$395*$L$16,NA())</f>
        <v>-0.838545836866502</v>
      </c>
      <c r="AT408" s="144">
        <f>IF($S$398=1,$N$398+$H$398/$Z$395*$M$16,NA())</f>
        <v>0.0465498505885936</v>
      </c>
      <c r="AU408" s="144" t="e">
        <f>IF(AND($I$398=1,$C$398=1,$S$398=0),$N$398+$H$398/$Z$395*$M$16,NA())</f>
        <v>#N/A</v>
      </c>
      <c r="AV408" s="144" t="e">
        <f>IF(AND($I$398=1,$C$398=0),$N$398+$H$398/$Z$395*$M$16,NA())</f>
        <v>#N/A</v>
      </c>
      <c r="AW408" s="144" t="e">
        <f>IF($I$399=1,$M$399+$H$399/$Z$395*$L$16,NA())</f>
        <v>#N/A</v>
      </c>
      <c r="AX408" s="144" t="e">
        <f>IF($S$399=1,$N$399+$H$399/$Z$395*$M$16,NA())</f>
        <v>#N/A</v>
      </c>
      <c r="AY408" s="144" t="e">
        <f>IF(AND($I$399=1,$C$399=1,$S$399=0),$N$399+$H$399/$Z$395*$M$16,NA())</f>
        <v>#N/A</v>
      </c>
      <c r="AZ408" s="144" t="e">
        <f>IF(AND($I$399=1,$C$399=0),$N$399+$H$399/$Z$395*$M$16,NA())</f>
        <v>#N/A</v>
      </c>
      <c r="BA408" s="144">
        <f>IF($I$400=1,$M$400+$H$400/$Z$395*$L$16,NA())</f>
        <v>-0.0416400933119635</v>
      </c>
      <c r="BB408" s="144" t="e">
        <f>IF($S$400=1,$N$400+$H$400/$Z$395*$M$16,NA())</f>
        <v>#N/A</v>
      </c>
      <c r="BC408" s="144">
        <f>IF(AND($I$400=1,$C$400=1,$S$400=0),$N$400+$H$400/$Z$395*$M$16,NA())</f>
        <v>-0.315607292887288</v>
      </c>
      <c r="BD408" s="144" t="e">
        <f>IF(AND($I$400=1,$C$400=0),$N$400+$H$400/$Z$395*$M$16,NA())</f>
        <v>#N/A</v>
      </c>
      <c r="BE408" s="144">
        <f>IF($I$401=1,$M$401+$H$401/$Z$395*$L$16,NA())</f>
        <v>-0.348030739470909</v>
      </c>
      <c r="BF408" s="144" t="e">
        <f>IF($S$401=1,$N$401+$H$401/$Z$395*$M$16,NA())</f>
        <v>#N/A</v>
      </c>
      <c r="BG408" s="144" t="e">
        <f>IF(AND($I$401=1,$C$401=1,$S$401=0),$N$401+$H$401/$Z$395*$M$16,NA())</f>
        <v>#N/A</v>
      </c>
      <c r="BH408" s="144">
        <f>IF(AND($I$401=1,$C$401=0),$N$401+$H$401/$Z$395*$M$16,NA())</f>
        <v>0.304273404614621</v>
      </c>
      <c r="BI408" s="144" t="e">
        <f>IF($I$402=1,$M$402+$H$402/$Z$395*$L$16,NA())</f>
        <v>#N/A</v>
      </c>
      <c r="BJ408" s="144" t="e">
        <f>IF($S$402=1,$N$402+$H$402/$Z$395*$M$16,NA())</f>
        <v>#N/A</v>
      </c>
      <c r="BK408" s="144" t="e">
        <f>IF(AND($I$402=1,$C$402=1,$S$402=0),$N$402+$H$402/$Z$395*$M$16,NA())</f>
        <v>#N/A</v>
      </c>
      <c r="BL408" s="144" t="e">
        <f>IF(AND($I$402=1,$C$402=0),$N$402+$H$402/$Z$395*$M$16,NA())</f>
        <v>#N/A</v>
      </c>
      <c r="BM408" s="144" t="e">
        <f>IF($I$403=1,$M$403+$H$403/$Z$395*$L$16,NA())</f>
        <v>#N/A</v>
      </c>
      <c r="BN408" s="144" t="e">
        <f>IF($S$403=1,$N$403+$H$403/$Z$395*$M$16,NA())</f>
        <v>#N/A</v>
      </c>
      <c r="BO408" s="144" t="e">
        <f>IF(AND($I$403=1,$C$403=1,$S$403=0),$N$403+$H$403/$Z$395*$M$16,NA())</f>
        <v>#N/A</v>
      </c>
      <c r="BP408" s="144" t="e">
        <f>IF(AND($I$403=1,$C$403=0),$N$403+$H$403/$Z$395*$M$16,NA())</f>
        <v>#N/A</v>
      </c>
    </row>
    <row r="409">
      <c r="A409" s="63" t="inlineStr">
        <is>
          <t xml:space="preserve">slot 4 (b)</t>
        </is>
      </c>
      <c r="B409" s="146">
        <v>4</v>
      </c>
      <c r="C409" s="146">
        <f>IFERROR(MATCH(B409,$F$397:$F$403,0),NA())</f>
        <v>3</v>
      </c>
      <c r="D409" s="145" t="str">
        <f>IFERROR(INDEX($AJ$397:$AJ$403,C409),"")</f>
        <v>S₃</v>
      </c>
      <c r="E409" s="144">
        <f>IFERROR(INDEX($M$397:$M$403,C409),NA())</f>
        <v>-0.210161972412966</v>
      </c>
      <c r="F409" s="144">
        <f>IFERROR(INDEX($N$397:$N$403,C409),NA())</f>
        <v>-0.772375945451263</v>
      </c>
      <c r="AN409" s="146">
        <v>12</v>
      </c>
      <c r="AO409" s="144">
        <f>IF($I$397=1,$M$397+$H$397/$Z$395*$L$17,NA())</f>
        <v>-0.698475994148967</v>
      </c>
      <c r="AP409" s="144" t="e">
        <f>IF($S$397=1,$N$397+$H$397/$Z$395*$M$17,NA())</f>
        <v>#N/A</v>
      </c>
      <c r="AQ409" s="144" t="e">
        <f>IF(AND($I$397=1,$C$397=1,$S$397=0),$N$397+$H$397/$Z$395*$M$17,NA())</f>
        <v>#N/A</v>
      </c>
      <c r="AR409" s="144">
        <f>IF(AND($I$397=1,$C$397=0),$N$397+$H$397/$Z$395*$M$17,NA())</f>
        <v>0.284061923715263</v>
      </c>
      <c r="AS409" s="144">
        <f>IF($I$398=1,$M$398+$H$398/$Z$395*$L$17,NA())</f>
        <v>-0.86071281943575</v>
      </c>
      <c r="AT409" s="144">
        <f>IF($S$398=1,$N$398+$H$398/$Z$395*$M$17,NA())</f>
        <v>-0.121825098428479</v>
      </c>
      <c r="AU409" s="144" t="e">
        <f>IF(AND($I$398=1,$C$398=1,$S$398=0),$N$398+$H$398/$Z$395*$M$17,NA())</f>
        <v>#N/A</v>
      </c>
      <c r="AV409" s="144" t="e">
        <f>IF(AND($I$398=1,$C$398=0),$N$398+$H$398/$Z$395*$M$17,NA())</f>
        <v>#N/A</v>
      </c>
      <c r="AW409" s="144" t="e">
        <f>IF($I$399=1,$M$399+$H$399/$Z$395*$L$17,NA())</f>
        <v>#N/A</v>
      </c>
      <c r="AX409" s="144" t="e">
        <f>IF($S$399=1,$N$399+$H$399/$Z$395*$M$17,NA())</f>
        <v>#N/A</v>
      </c>
      <c r="AY409" s="144" t="e">
        <f>IF(AND($I$399=1,$C$399=1,$S$399=0),$N$399+$H$399/$Z$395*$M$17,NA())</f>
        <v>#N/A</v>
      </c>
      <c r="AZ409" s="144" t="e">
        <f>IF(AND($I$399=1,$C$399=0),$N$399+$H$399/$Z$395*$M$17,NA())</f>
        <v>#N/A</v>
      </c>
      <c r="BA409" s="144">
        <f>IF($I$400=1,$M$400+$H$400/$Z$395*$L$17,NA())</f>
        <v>-0.0526408922335526</v>
      </c>
      <c r="BB409" s="144" t="e">
        <f>IF($S$400=1,$N$400+$H$400/$Z$395*$M$17,NA())</f>
        <v>#N/A</v>
      </c>
      <c r="BC409" s="144">
        <f>IF(AND($I$400=1,$C$400=1,$S$400=0),$N$400+$H$400/$Z$395*$M$17,NA())</f>
        <v>-0.39916665653921</v>
      </c>
      <c r="BD409" s="144" t="e">
        <f>IF(AND($I$400=1,$C$400=0),$N$400+$H$400/$Z$395*$M$17,NA())</f>
        <v>#N/A</v>
      </c>
      <c r="BE409" s="144">
        <f>IF($I$401=1,$M$401+$H$401/$Z$395*$L$17,NA())</f>
        <v>-0.369134575429037</v>
      </c>
      <c r="BF409" s="144" t="e">
        <f>IF($S$401=1,$N$401+$H$401/$Z$395*$M$17,NA())</f>
        <v>#N/A</v>
      </c>
      <c r="BG409" s="144" t="e">
        <f>IF(AND($I$401=1,$C$401=1,$S$401=0),$N$401+$H$401/$Z$395*$M$17,NA())</f>
        <v>#N/A</v>
      </c>
      <c r="BH409" s="144">
        <f>IF(AND($I$401=1,$C$401=0),$N$401+$H$401/$Z$395*$M$17,NA())</f>
        <v>0.143973855841395</v>
      </c>
      <c r="BI409" s="144" t="e">
        <f>IF($I$402=1,$M$402+$H$402/$Z$395*$L$17,NA())</f>
        <v>#N/A</v>
      </c>
      <c r="BJ409" s="144" t="e">
        <f>IF($S$402=1,$N$402+$H$402/$Z$395*$M$17,NA())</f>
        <v>#N/A</v>
      </c>
      <c r="BK409" s="144" t="e">
        <f>IF(AND($I$402=1,$C$402=1,$S$402=0),$N$402+$H$402/$Z$395*$M$17,NA())</f>
        <v>#N/A</v>
      </c>
      <c r="BL409" s="144" t="e">
        <f>IF(AND($I$402=1,$C$402=0),$N$402+$H$402/$Z$395*$M$17,NA())</f>
        <v>#N/A</v>
      </c>
      <c r="BM409" s="144" t="e">
        <f>IF($I$403=1,$M$403+$H$403/$Z$395*$L$17,NA())</f>
        <v>#N/A</v>
      </c>
      <c r="BN409" s="144" t="e">
        <f>IF($S$403=1,$N$403+$H$403/$Z$395*$M$17,NA())</f>
        <v>#N/A</v>
      </c>
      <c r="BO409" s="144" t="e">
        <f>IF(AND($I$403=1,$C$403=1,$S$403=0),$N$403+$H$403/$Z$395*$M$17,NA())</f>
        <v>#N/A</v>
      </c>
      <c r="BP409" s="144" t="e">
        <f>IF(AND($I$403=1,$C$403=0),$N$403+$H$403/$Z$395*$M$17,NA())</f>
        <v>#N/A</v>
      </c>
    </row>
    <row r="410">
      <c r="A410" s="63" t="inlineStr">
        <is>
          <t xml:space="preserve">slot 5 (l)</t>
        </is>
      </c>
      <c r="B410" s="146">
        <v>5</v>
      </c>
      <c r="C410" s="146">
        <f>IFERROR(MATCH(B410,$F$397:$F$403,0),NA())</f>
        <v>7</v>
      </c>
      <c r="D410" s="145" t="str">
        <f>IFERROR(INDEX($AJ$397:$AJ$403,C410),"")</f>
        <v>S₇ (in D)</v>
      </c>
      <c r="E410" s="144">
        <f>IFERROR(INDEX($M$397:$M$403,C410),NA())</f>
        <v>-0.797360240301012</v>
      </c>
      <c r="F410" s="144">
        <f>IFERROR(INDEX($N$397:$N$403,C410),NA())</f>
        <v>-0.460844176461325</v>
      </c>
      <c r="AN410" s="146">
        <v>13</v>
      </c>
      <c r="AO410" s="144">
        <f>IF($I$397=1,$M$397+$H$397/$Z$395*$L$18,NA())</f>
        <v>-0.681837097346851</v>
      </c>
      <c r="AP410" s="144" t="e">
        <f>IF($S$397=1,$N$397+$H$397/$Z$395*$M$18,NA())</f>
        <v>#N/A</v>
      </c>
      <c r="AQ410" s="144" t="e">
        <f>IF(AND($I$397=1,$C$397=1,$S$397=0),$N$397+$H$397/$Z$395*$M$18,NA())</f>
        <v>#N/A</v>
      </c>
      <c r="AR410" s="144">
        <f>IF(AND($I$397=1,$C$397=0),$N$397+$H$397/$Z$395*$M$18,NA())</f>
        <v>0.15767695489938</v>
      </c>
      <c r="AS410" s="144">
        <f>IF($I$398=1,$M$398+$H$398/$Z$395*$L$18,NA())</f>
        <v>-0.838545836866502</v>
      </c>
      <c r="AT410" s="144">
        <f>IF($S$398=1,$N$398+$H$398/$Z$395*$M$18,NA())</f>
        <v>-0.290200047445553</v>
      </c>
      <c r="AU410" s="144" t="e">
        <f>IF(AND($I$398=1,$C$398=1,$S$398=0),$N$398+$H$398/$Z$395*$M$18,NA())</f>
        <v>#N/A</v>
      </c>
      <c r="AV410" s="144" t="e">
        <f>IF(AND($I$398=1,$C$398=0),$N$398+$H$398/$Z$395*$M$18,NA())</f>
        <v>#N/A</v>
      </c>
      <c r="AW410" s="144" t="e">
        <f>IF($I$399=1,$M$399+$H$399/$Z$395*$L$18,NA())</f>
        <v>#N/A</v>
      </c>
      <c r="AX410" s="144" t="e">
        <f>IF($S$399=1,$N$399+$H$399/$Z$395*$M$18,NA())</f>
        <v>#N/A</v>
      </c>
      <c r="AY410" s="144" t="e">
        <f>IF(AND($I$399=1,$C$399=1,$S$399=0),$N$399+$H$399/$Z$395*$M$18,NA())</f>
        <v>#N/A</v>
      </c>
      <c r="AZ410" s="144" t="e">
        <f>IF(AND($I$399=1,$C$399=0),$N$399+$H$399/$Z$395*$M$18,NA())</f>
        <v>#N/A</v>
      </c>
      <c r="BA410" s="144">
        <f>IF($I$400=1,$M$400+$H$400/$Z$395*$L$18,NA())</f>
        <v>-0.0416400933119636</v>
      </c>
      <c r="BB410" s="144" t="e">
        <f>IF($S$400=1,$N$400+$H$400/$Z$395*$M$18,NA())</f>
        <v>#N/A</v>
      </c>
      <c r="BC410" s="144">
        <f>IF(AND($I$400=1,$C$400=1,$S$400=0),$N$400+$H$400/$Z$395*$M$18,NA())</f>
        <v>-0.482726020191133</v>
      </c>
      <c r="BD410" s="144" t="e">
        <f>IF(AND($I$400=1,$C$400=0),$N$400+$H$400/$Z$395*$M$18,NA())</f>
        <v>#N/A</v>
      </c>
      <c r="BE410" s="144">
        <f>IF($I$401=1,$M$401+$H$401/$Z$395*$L$18,NA())</f>
        <v>-0.348030739470909</v>
      </c>
      <c r="BF410" s="144" t="e">
        <f>IF($S$401=1,$N$401+$H$401/$Z$395*$M$18,NA())</f>
        <v>#N/A</v>
      </c>
      <c r="BG410" s="144" t="e">
        <f>IF(AND($I$401=1,$C$401=1,$S$401=0),$N$401+$H$401/$Z$395*$M$18,NA())</f>
        <v>#N/A</v>
      </c>
      <c r="BH410" s="144">
        <f>IF(AND($I$401=1,$C$401=0),$N$401+$H$401/$Z$395*$M$18,NA())</f>
        <v>-0.0163256929318302</v>
      </c>
      <c r="BI410" s="144" t="e">
        <f>IF($I$402=1,$M$402+$H$402/$Z$395*$L$18,NA())</f>
        <v>#N/A</v>
      </c>
      <c r="BJ410" s="144" t="e">
        <f>IF($S$402=1,$N$402+$H$402/$Z$395*$M$18,NA())</f>
        <v>#N/A</v>
      </c>
      <c r="BK410" s="144" t="e">
        <f>IF(AND($I$402=1,$C$402=1,$S$402=0),$N$402+$H$402/$Z$395*$M$18,NA())</f>
        <v>#N/A</v>
      </c>
      <c r="BL410" s="144" t="e">
        <f>IF(AND($I$402=1,$C$402=0),$N$402+$H$402/$Z$395*$M$18,NA())</f>
        <v>#N/A</v>
      </c>
      <c r="BM410" s="144" t="e">
        <f>IF($I$403=1,$M$403+$H$403/$Z$395*$L$18,NA())</f>
        <v>#N/A</v>
      </c>
      <c r="BN410" s="144" t="e">
        <f>IF($S$403=1,$N$403+$H$403/$Z$395*$M$18,NA())</f>
        <v>#N/A</v>
      </c>
      <c r="BO410" s="144" t="e">
        <f>IF(AND($I$403=1,$C$403=1,$S$403=0),$N$403+$H$403/$Z$395*$M$18,NA())</f>
        <v>#N/A</v>
      </c>
      <c r="BP410" s="144" t="e">
        <f>IF(AND($I$403=1,$C$403=0),$N$403+$H$403/$Z$395*$M$18,NA())</f>
        <v>#N/A</v>
      </c>
    </row>
    <row r="411">
      <c r="A411" s="63" t="inlineStr">
        <is>
          <t xml:space="preserve">slot 6 (l)</t>
        </is>
      </c>
      <c r="B411" s="146">
        <v>6</v>
      </c>
      <c r="C411" s="146">
        <f>IFERROR(MATCH(B411,$F$397:$F$403,0),NA())</f>
        <v>6</v>
      </c>
      <c r="D411" s="145" t="str">
        <f>IFERROR(INDEX($AJ$397:$AJ$403,C411),"")</f>
        <v>S₆</v>
      </c>
      <c r="E411" s="144">
        <f>IFERROR(INDEX($M$397:$M$403,C411),NA())</f>
        <v>-0.869565217391304</v>
      </c>
      <c r="F411" s="144">
        <f>IFERROR(INDEX($N$397:$N$403,C411),NA())</f>
        <v>0.258881542564276</v>
      </c>
      <c r="AN411" s="146">
        <v>14</v>
      </c>
      <c r="AO411" s="144">
        <f>IF($I$397=1,$M$397+$H$397/$Z$395*$L$19,NA())</f>
        <v>-0.633054320260489</v>
      </c>
      <c r="AP411" s="144" t="e">
        <f>IF($S$397=1,$N$397+$H$397/$Z$395*$M$19,NA())</f>
        <v>#N/A</v>
      </c>
      <c r="AQ411" s="144" t="e">
        <f>IF(AND($I$397=1,$C$397=1,$S$397=0),$N$397+$H$397/$Z$395*$M$19,NA())</f>
        <v>#N/A</v>
      </c>
      <c r="AR411" s="144">
        <f>IF(AND($I$397=1,$C$397=0),$N$397+$H$397/$Z$395*$M$19,NA())</f>
        <v>0.0399049128472626</v>
      </c>
      <c r="AS411" s="144">
        <f>IF($I$398=1,$M$398+$H$398/$Z$395*$L$19,NA())</f>
        <v>-0.773555532388181</v>
      </c>
      <c r="AT411" s="144">
        <f>IF($S$398=1,$N$398+$H$398/$Z$395*$M$19,NA())</f>
        <v>-0.447100521939871</v>
      </c>
      <c r="AU411" s="144" t="e">
        <f>IF(AND($I$398=1,$C$398=1,$S$398=0),$N$398+$H$398/$Z$395*$M$19,NA())</f>
        <v>#N/A</v>
      </c>
      <c r="AV411" s="144" t="e">
        <f>IF(AND($I$398=1,$C$398=0),$N$398+$H$398/$Z$395*$M$19,NA())</f>
        <v>#N/A</v>
      </c>
      <c r="AW411" s="144" t="e">
        <f>IF($I$399=1,$M$399+$H$399/$Z$395*$L$19,NA())</f>
        <v>#N/A</v>
      </c>
      <c r="AX411" s="144" t="e">
        <f>IF($S$399=1,$N$399+$H$399/$Z$395*$M$19,NA())</f>
        <v>#N/A</v>
      </c>
      <c r="AY411" s="144" t="e">
        <f>IF(AND($I$399=1,$C$399=1,$S$399=0),$N$399+$H$399/$Z$395*$M$19,NA())</f>
        <v>#N/A</v>
      </c>
      <c r="AZ411" s="144" t="e">
        <f>IF(AND($I$399=1,$C$399=0),$N$399+$H$399/$Z$395*$M$19,NA())</f>
        <v>#N/A</v>
      </c>
      <c r="BA411" s="144">
        <f>IF($I$400=1,$M$400+$H$400/$Z$395*$L$19,NA())</f>
        <v>-0.0093873828140229</v>
      </c>
      <c r="BB411" s="144" t="e">
        <f>IF($S$400=1,$N$400+$H$400/$Z$395*$M$19,NA())</f>
        <v>#N/A</v>
      </c>
      <c r="BC411" s="144">
        <f>IF(AND($I$400=1,$C$400=1,$S$400=0),$N$400+$H$400/$Z$395*$M$19,NA())</f>
        <v>-0.560590951298554</v>
      </c>
      <c r="BD411" s="144" t="e">
        <f>IF(AND($I$400=1,$C$400=0),$N$400+$H$400/$Z$395*$M$19,NA())</f>
        <v>#N/A</v>
      </c>
      <c r="BE411" s="144">
        <f>IF($I$401=1,$M$401+$H$401/$Z$395*$L$19,NA())</f>
        <v>-0.286157423141335</v>
      </c>
      <c r="BF411" s="144" t="e">
        <f>IF($S$401=1,$N$401+$H$401/$Z$395*$M$19,NA())</f>
        <v>#N/A</v>
      </c>
      <c r="BG411" s="144" t="e">
        <f>IF(AND($I$401=1,$C$401=1,$S$401=0),$N$401+$H$401/$Z$395*$M$19,NA())</f>
        <v>#N/A</v>
      </c>
      <c r="BH411" s="144">
        <f>IF(AND($I$401=1,$C$401=0),$N$401+$H$401/$Z$395*$M$19,NA())</f>
        <v>-0.16570109236369</v>
      </c>
      <c r="BI411" s="144" t="e">
        <f>IF($I$402=1,$M$402+$H$402/$Z$395*$L$19,NA())</f>
        <v>#N/A</v>
      </c>
      <c r="BJ411" s="144" t="e">
        <f>IF($S$402=1,$N$402+$H$402/$Z$395*$M$19,NA())</f>
        <v>#N/A</v>
      </c>
      <c r="BK411" s="144" t="e">
        <f>IF(AND($I$402=1,$C$402=1,$S$402=0),$N$402+$H$402/$Z$395*$M$19,NA())</f>
        <v>#N/A</v>
      </c>
      <c r="BL411" s="144" t="e">
        <f>IF(AND($I$402=1,$C$402=0),$N$402+$H$402/$Z$395*$M$19,NA())</f>
        <v>#N/A</v>
      </c>
      <c r="BM411" s="144" t="e">
        <f>IF($I$403=1,$M$403+$H$403/$Z$395*$L$19,NA())</f>
        <v>#N/A</v>
      </c>
      <c r="BN411" s="144" t="e">
        <f>IF($S$403=1,$N$403+$H$403/$Z$395*$M$19,NA())</f>
        <v>#N/A</v>
      </c>
      <c r="BO411" s="144" t="e">
        <f>IF(AND($I$403=1,$C$403=1,$S$403=0),$N$403+$H$403/$Z$395*$M$19,NA())</f>
        <v>#N/A</v>
      </c>
      <c r="BP411" s="144" t="e">
        <f>IF(AND($I$403=1,$C$403=0),$N$403+$H$403/$Z$395*$M$19,NA())</f>
        <v>#N/A</v>
      </c>
    </row>
    <row r="412">
      <c r="A412" s="63" t="inlineStr">
        <is>
          <t xml:space="preserve">centre (b)</t>
        </is>
      </c>
      <c r="C412" s="146">
        <f>IF($Q$395=0,NA(),$Q$395)</f>
        <v>2</v>
      </c>
      <c r="D412" s="145" t="str">
        <f>IF($Q$395=0,"",INDEX($AJ$397:$AJ$403,$Q$395))</f>
        <v>S₂ = Sᵢ  → D</v>
      </c>
      <c r="E412" s="144">
        <f>IF($Q$395=0,NA(),INDEX($M$397:$M$403,$Q$395))</f>
        <v>-0.210161972412966</v>
      </c>
      <c r="F412" s="144">
        <f>IF($Q$395=0,NA(),INDEX($N$397:$N$403,$Q$395))</f>
        <v>-0.12182509842848</v>
      </c>
      <c r="AN412" s="146">
        <v>15</v>
      </c>
      <c r="AO412" s="144">
        <f>IF($I$397=1,$M$397+$H$397/$Z$395*$L$20,NA())</f>
        <v>-0.555452128530968</v>
      </c>
      <c r="AP412" s="144" t="e">
        <f>IF($S$397=1,$N$397+$H$397/$Z$395*$M$20,NA())</f>
        <v>#N/A</v>
      </c>
      <c r="AQ412" s="144" t="e">
        <f>IF(AND($I$397=1,$C$397=1,$S$397=0),$N$397+$H$397/$Z$395*$M$20,NA())</f>
        <v>#N/A</v>
      </c>
      <c r="AR412" s="144">
        <f>IF(AND($I$397=1,$C$397=0),$N$397+$H$397/$Z$395*$M$20,NA())</f>
        <v>-0.0612282324027383</v>
      </c>
      <c r="AS412" s="144">
        <f>IF($I$398=1,$M$398+$H$398/$Z$395*$L$20,NA())</f>
        <v>-0.670170887849429</v>
      </c>
      <c r="AT412" s="144">
        <f>IF($S$398=1,$N$398+$H$398/$Z$395*$M$20,NA())</f>
        <v>-0.581834013864942</v>
      </c>
      <c r="AU412" s="144" t="e">
        <f>IF(AND($I$398=1,$C$398=1,$S$398=0),$N$398+$H$398/$Z$395*$M$20,NA())</f>
        <v>#N/A</v>
      </c>
      <c r="AV412" s="144" t="e">
        <f>IF(AND($I$398=1,$C$398=0),$N$398+$H$398/$Z$395*$M$20,NA())</f>
        <v>#N/A</v>
      </c>
      <c r="AW412" s="144" t="e">
        <f>IF($I$399=1,$M$399+$H$399/$Z$395*$L$20,NA())</f>
        <v>#N/A</v>
      </c>
      <c r="AX412" s="144" t="e">
        <f>IF($S$399=1,$N$399+$H$399/$Z$395*$M$20,NA())</f>
        <v>#N/A</v>
      </c>
      <c r="AY412" s="144" t="e">
        <f>IF(AND($I$399=1,$C$399=1,$S$399=0),$N$399+$H$399/$Z$395*$M$20,NA())</f>
        <v>#N/A</v>
      </c>
      <c r="AZ412" s="144" t="e">
        <f>IF(AND($I$399=1,$C$399=0),$N$399+$H$399/$Z$395*$M$20,NA())</f>
        <v>#N/A</v>
      </c>
      <c r="BA412" s="144">
        <f>IF($I$400=1,$M$400+$H$400/$Z$395*$L$20,NA())</f>
        <v>0.041919270339959</v>
      </c>
      <c r="BB412" s="144" t="e">
        <f>IF($S$400=1,$N$400+$H$400/$Z$395*$M$20,NA())</f>
        <v>#N/A</v>
      </c>
      <c r="BC412" s="144">
        <f>IF(AND($I$400=1,$C$400=1,$S$400=0),$N$400+$H$400/$Z$395*$M$20,NA())</f>
        <v>-0.627455083484387</v>
      </c>
      <c r="BD412" s="144" t="e">
        <f>IF(AND($I$400=1,$C$400=0),$N$400+$H$400/$Z$395*$M$20,NA())</f>
        <v>#N/A</v>
      </c>
      <c r="BE412" s="144">
        <f>IF($I$401=1,$M$401+$H$401/$Z$395*$L$20,NA())</f>
        <v>-0.187731190697684</v>
      </c>
      <c r="BF412" s="144" t="e">
        <f>IF($S$401=1,$N$401+$H$401/$Z$395*$M$20,NA())</f>
        <v>#N/A</v>
      </c>
      <c r="BG412" s="144" t="e">
        <f>IF(AND($I$401=1,$C$401=1,$S$401=0),$N$401+$H$401/$Z$395*$M$20,NA())</f>
        <v>#N/A</v>
      </c>
      <c r="BH412" s="144">
        <f>IF(AND($I$401=1,$C$401=0),$N$401+$H$401/$Z$395*$M$20,NA())</f>
        <v>-0.293972655837422</v>
      </c>
      <c r="BI412" s="144" t="e">
        <f>IF($I$402=1,$M$402+$H$402/$Z$395*$L$20,NA())</f>
        <v>#N/A</v>
      </c>
      <c r="BJ412" s="144" t="e">
        <f>IF($S$402=1,$N$402+$H$402/$Z$395*$M$20,NA())</f>
        <v>#N/A</v>
      </c>
      <c r="BK412" s="144" t="e">
        <f>IF(AND($I$402=1,$C$402=1,$S$402=0),$N$402+$H$402/$Z$395*$M$20,NA())</f>
        <v>#N/A</v>
      </c>
      <c r="BL412" s="144" t="e">
        <f>IF(AND($I$402=1,$C$402=0),$N$402+$H$402/$Z$395*$M$20,NA())</f>
        <v>#N/A</v>
      </c>
      <c r="BM412" s="144" t="e">
        <f>IF($I$403=1,$M$403+$H$403/$Z$395*$L$20,NA())</f>
        <v>#N/A</v>
      </c>
      <c r="BN412" s="144" t="e">
        <f>IF($S$403=1,$N$403+$H$403/$Z$395*$M$20,NA())</f>
        <v>#N/A</v>
      </c>
      <c r="BO412" s="144" t="e">
        <f>IF(AND($I$403=1,$C$403=1,$S$403=0),$N$403+$H$403/$Z$395*$M$20,NA())</f>
        <v>#N/A</v>
      </c>
      <c r="BP412" s="144" t="e">
        <f>IF(AND($I$403=1,$C$403=0),$N$403+$H$403/$Z$395*$M$20,NA())</f>
        <v>#N/A</v>
      </c>
    </row>
    <row r="413">
      <c r="A413" s="63" t="inlineStr">
        <is>
          <t xml:space="preserve">caption, top left (r)</t>
        </is>
      </c>
      <c r="D413" s="145" t="str">
        <f>IF($Q$395=0,"","Sᵢ = "&amp;'ERDR Iterations'!$K$88&amp;"   ·   L = "&amp;'ERDR Iterations'!$K$91)</f>
        <v>Sᵢ = S₂   ·   L = {S₂}</v>
      </c>
      <c r="E413" s="144">
        <f>IF($Q$395=0,NA(),-0.97)</f>
        <v>-0.97</v>
      </c>
      <c r="F413" s="144">
        <f>IF($Q$395=0,NA(),0.955)</f>
        <v>0.955</v>
      </c>
      <c r="AN413" s="146">
        <v>16</v>
      </c>
      <c r="AO413" s="144">
        <f>IF($I$397=1,$M$397+$H$397/$Z$395*$L$21,NA())</f>
        <v>-0.454318983280967</v>
      </c>
      <c r="AP413" s="144" t="e">
        <f>IF($S$397=1,$N$397+$H$397/$Z$395*$M$21,NA())</f>
        <v>#N/A</v>
      </c>
      <c r="AQ413" s="144" t="e">
        <f>IF(AND($I$397=1,$C$397=1,$S$397=0),$N$397+$H$397/$Z$395*$M$21,NA())</f>
        <v>#N/A</v>
      </c>
      <c r="AR413" s="144">
        <f>IF(AND($I$397=1,$C$397=0),$N$397+$H$397/$Z$395*$M$21,NA())</f>
        <v>-0.13883042413226</v>
      </c>
      <c r="AS413" s="144">
        <f>IF($I$398=1,$M$398+$H$398/$Z$395*$L$21,NA())</f>
        <v>-0.535437395924358</v>
      </c>
      <c r="AT413" s="144">
        <f>IF($S$398=1,$N$398+$H$398/$Z$395*$M$21,NA())</f>
        <v>-0.685218658403694</v>
      </c>
      <c r="AU413" s="144" t="e">
        <f>IF(AND($I$398=1,$C$398=1,$S$398=0),$N$398+$H$398/$Z$395*$M$21,NA())</f>
        <v>#N/A</v>
      </c>
      <c r="AV413" s="144" t="e">
        <f>IF(AND($I$398=1,$C$398=0),$N$398+$H$398/$Z$395*$M$21,NA())</f>
        <v>#N/A</v>
      </c>
      <c r="AW413" s="144" t="e">
        <f>IF($I$399=1,$M$399+$H$399/$Z$395*$L$21,NA())</f>
        <v>#N/A</v>
      </c>
      <c r="AX413" s="144" t="e">
        <f>IF($S$399=1,$N$399+$H$399/$Z$395*$M$21,NA())</f>
        <v>#N/A</v>
      </c>
      <c r="AY413" s="144" t="e">
        <f>IF(AND($I$399=1,$C$399=1,$S$399=0),$N$399+$H$399/$Z$395*$M$21,NA())</f>
        <v>#N/A</v>
      </c>
      <c r="AZ413" s="144" t="e">
        <f>IF(AND($I$399=1,$C$399=0),$N$399+$H$399/$Z$395*$M$21,NA())</f>
        <v>#N/A</v>
      </c>
      <c r="BA413" s="144">
        <f>IF($I$400=1,$M$400+$H$400/$Z$395*$L$21,NA())</f>
        <v>0.108783402525791</v>
      </c>
      <c r="BB413" s="144" t="e">
        <f>IF($S$400=1,$N$400+$H$400/$Z$395*$M$21,NA())</f>
        <v>#N/A</v>
      </c>
      <c r="BC413" s="144">
        <f>IF(AND($I$400=1,$C$400=1,$S$400=0),$N$400+$H$400/$Z$395*$M$21,NA())</f>
        <v>-0.678761736638369</v>
      </c>
      <c r="BD413" s="144" t="e">
        <f>IF(AND($I$400=1,$C$400=0),$N$400+$H$400/$Z$395*$M$21,NA())</f>
        <v>#N/A</v>
      </c>
      <c r="BE413" s="144">
        <f>IF($I$401=1,$M$401+$H$401/$Z$395*$L$21,NA())</f>
        <v>-0.0594596272239518</v>
      </c>
      <c r="BF413" s="144" t="e">
        <f>IF($S$401=1,$N$401+$H$401/$Z$395*$M$21,NA())</f>
        <v>#N/A</v>
      </c>
      <c r="BG413" s="144" t="e">
        <f>IF(AND($I$401=1,$C$401=1,$S$401=0),$N$401+$H$401/$Z$395*$M$21,NA())</f>
        <v>#N/A</v>
      </c>
      <c r="BH413" s="144">
        <f>IF(AND($I$401=1,$C$401=0),$N$401+$H$401/$Z$395*$M$21,NA())</f>
        <v>-0.392398888281073</v>
      </c>
      <c r="BI413" s="144" t="e">
        <f>IF($I$402=1,$M$402+$H$402/$Z$395*$L$21,NA())</f>
        <v>#N/A</v>
      </c>
      <c r="BJ413" s="144" t="e">
        <f>IF($S$402=1,$N$402+$H$402/$Z$395*$M$21,NA())</f>
        <v>#N/A</v>
      </c>
      <c r="BK413" s="144" t="e">
        <f>IF(AND($I$402=1,$C$402=1,$S$402=0),$N$402+$H$402/$Z$395*$M$21,NA())</f>
        <v>#N/A</v>
      </c>
      <c r="BL413" s="144" t="e">
        <f>IF(AND($I$402=1,$C$402=0),$N$402+$H$402/$Z$395*$M$21,NA())</f>
        <v>#N/A</v>
      </c>
      <c r="BM413" s="144" t="e">
        <f>IF($I$403=1,$M$403+$H$403/$Z$395*$L$21,NA())</f>
        <v>#N/A</v>
      </c>
      <c r="BN413" s="144" t="e">
        <f>IF($S$403=1,$N$403+$H$403/$Z$395*$M$21,NA())</f>
        <v>#N/A</v>
      </c>
      <c r="BO413" s="144" t="e">
        <f>IF(AND($I$403=1,$C$403=1,$S$403=0),$N$403+$H$403/$Z$395*$M$21,NA())</f>
        <v>#N/A</v>
      </c>
      <c r="BP413" s="144" t="e">
        <f>IF(AND($I$403=1,$C$403=0),$N$403+$H$403/$Z$395*$M$21,NA())</f>
        <v>#N/A</v>
      </c>
    </row>
    <row r="414">
      <c r="A414" s="63" t="inlineStr">
        <is>
          <t xml:space="preserve">caption, bottom left (r)</t>
        </is>
      </c>
      <c r="D414" s="145" t="str">
        <f>IF($Q$395=0,"",'ERDR Iterations'!$K$93)</f>
        <v>|L| = 1 → Sᵢ moves to D</v>
      </c>
      <c r="E414" s="144">
        <f>IF($Q$395=0,NA(),-0.97)</f>
        <v>-0.97</v>
      </c>
      <c r="F414" s="144">
        <f>IF($Q$395=0,NA(),-0.955)</f>
        <v>-0.955</v>
      </c>
      <c r="AN414" s="146">
        <v>17</v>
      </c>
      <c r="AO414" s="144">
        <f>IF($I$397=1,$M$397+$H$397/$Z$395*$L$22,NA())</f>
        <v>-0.336546941228849</v>
      </c>
      <c r="AP414" s="144" t="e">
        <f>IF($S$397=1,$N$397+$H$397/$Z$395*$M$22,NA())</f>
        <v>#N/A</v>
      </c>
      <c r="AQ414" s="144" t="e">
        <f>IF(AND($I$397=1,$C$397=1,$S$397=0),$N$397+$H$397/$Z$395*$M$22,NA())</f>
        <v>#N/A</v>
      </c>
      <c r="AR414" s="144">
        <f>IF(AND($I$397=1,$C$397=0),$N$397+$H$397/$Z$395*$M$22,NA())</f>
        <v>-0.187613201218622</v>
      </c>
      <c r="AS414" s="144">
        <f>IF($I$398=1,$M$398+$H$398/$Z$395*$L$22,NA())</f>
        <v>-0.378536921430039</v>
      </c>
      <c r="AT414" s="144">
        <f>IF($S$398=1,$N$398+$H$398/$Z$395*$M$22,NA())</f>
        <v>-0.750208962882015</v>
      </c>
      <c r="AU414" s="144" t="e">
        <f>IF(AND($I$398=1,$C$398=1,$S$398=0),$N$398+$H$398/$Z$395*$M$22,NA())</f>
        <v>#N/A</v>
      </c>
      <c r="AV414" s="144" t="e">
        <f>IF(AND($I$398=1,$C$398=0),$N$398+$H$398/$Z$395*$M$22,NA())</f>
        <v>#N/A</v>
      </c>
      <c r="AW414" s="144" t="e">
        <f>IF($I$399=1,$M$399+$H$399/$Z$395*$L$22,NA())</f>
        <v>#N/A</v>
      </c>
      <c r="AX414" s="144" t="e">
        <f>IF($S$399=1,$N$399+$H$399/$Z$395*$M$22,NA())</f>
        <v>#N/A</v>
      </c>
      <c r="AY414" s="144" t="e">
        <f>IF(AND($I$399=1,$C$399=1,$S$399=0),$N$399+$H$399/$Z$395*$M$22,NA())</f>
        <v>#N/A</v>
      </c>
      <c r="AZ414" s="144" t="e">
        <f>IF(AND($I$399=1,$C$399=0),$N$399+$H$399/$Z$395*$M$22,NA())</f>
        <v>#N/A</v>
      </c>
      <c r="BA414" s="144">
        <f>IF($I$400=1,$M$400+$H$400/$Z$395*$L$22,NA())</f>
        <v>0.186648333633213</v>
      </c>
      <c r="BB414" s="144" t="e">
        <f>IF($S$400=1,$N$400+$H$400/$Z$395*$M$22,NA())</f>
        <v>#N/A</v>
      </c>
      <c r="BC414" s="144">
        <f>IF(AND($I$400=1,$C$400=1,$S$400=0),$N$400+$H$400/$Z$395*$M$22,NA())</f>
        <v>-0.71101444713631</v>
      </c>
      <c r="BD414" s="144" t="e">
        <f>IF(AND($I$400=1,$C$400=0),$N$400+$H$400/$Z$395*$M$22,NA())</f>
        <v>#N/A</v>
      </c>
      <c r="BE414" s="144">
        <f>IF($I$401=1,$M$401+$H$401/$Z$395*$L$22,NA())</f>
        <v>0.0899157722079083</v>
      </c>
      <c r="BF414" s="144" t="e">
        <f>IF($S$401=1,$N$401+$H$401/$Z$395*$M$22,NA())</f>
        <v>#N/A</v>
      </c>
      <c r="BG414" s="144" t="e">
        <f>IF(AND($I$401=1,$C$401=1,$S$401=0),$N$401+$H$401/$Z$395*$M$22,NA())</f>
        <v>#N/A</v>
      </c>
      <c r="BH414" s="144">
        <f>IF(AND($I$401=1,$C$401=0),$N$401+$H$401/$Z$395*$M$22,NA())</f>
        <v>-0.454272204610648</v>
      </c>
      <c r="BI414" s="144" t="e">
        <f>IF($I$402=1,$M$402+$H$402/$Z$395*$L$22,NA())</f>
        <v>#N/A</v>
      </c>
      <c r="BJ414" s="144" t="e">
        <f>IF($S$402=1,$N$402+$H$402/$Z$395*$M$22,NA())</f>
        <v>#N/A</v>
      </c>
      <c r="BK414" s="144" t="e">
        <f>IF(AND($I$402=1,$C$402=1,$S$402=0),$N$402+$H$402/$Z$395*$M$22,NA())</f>
        <v>#N/A</v>
      </c>
      <c r="BL414" s="144" t="e">
        <f>IF(AND($I$402=1,$C$402=0),$N$402+$H$402/$Z$395*$M$22,NA())</f>
        <v>#N/A</v>
      </c>
      <c r="BM414" s="144" t="e">
        <f>IF($I$403=1,$M$403+$H$403/$Z$395*$L$22,NA())</f>
        <v>#N/A</v>
      </c>
      <c r="BN414" s="144" t="e">
        <f>IF($S$403=1,$N$403+$H$403/$Z$395*$M$22,NA())</f>
        <v>#N/A</v>
      </c>
      <c r="BO414" s="144" t="e">
        <f>IF(AND($I$403=1,$C$403=1,$S$403=0),$N$403+$H$403/$Z$395*$M$22,NA())</f>
        <v>#N/A</v>
      </c>
      <c r="BP414" s="144" t="e">
        <f>IF(AND($I$403=1,$C$403=0),$N$403+$H$403/$Z$395*$M$22,NA())</f>
        <v>#N/A</v>
      </c>
    </row>
    <row r="415">
      <c r="AN415" s="146">
        <v>18</v>
      </c>
      <c r="AO415" s="144">
        <f>IF($I$397=1,$M$397+$H$397/$Z$395*$L$23,NA())</f>
        <v>-0.210161972412966</v>
      </c>
      <c r="AP415" s="144" t="e">
        <f>IF($S$397=1,$N$397+$H$397/$Z$395*$M$23,NA())</f>
        <v>#N/A</v>
      </c>
      <c r="AQ415" s="144" t="e">
        <f>IF(AND($I$397=1,$C$397=1,$S$397=0),$N$397+$H$397/$Z$395*$M$23,NA())</f>
        <v>#N/A</v>
      </c>
      <c r="AR415" s="144">
        <f>IF(AND($I$397=1,$C$397=0),$N$397+$H$397/$Z$395*$M$23,NA())</f>
        <v>-0.204252098020738</v>
      </c>
      <c r="AS415" s="144">
        <f>IF($I$398=1,$M$398+$H$398/$Z$395*$L$23,NA())</f>
        <v>-0.210161972412966</v>
      </c>
      <c r="AT415" s="144">
        <f>IF($S$398=1,$N$398+$H$398/$Z$395*$M$23,NA())</f>
        <v>-0.772375945451263</v>
      </c>
      <c r="AU415" s="144" t="e">
        <f>IF(AND($I$398=1,$C$398=1,$S$398=0),$N$398+$H$398/$Z$395*$M$23,NA())</f>
        <v>#N/A</v>
      </c>
      <c r="AV415" s="144" t="e">
        <f>IF(AND($I$398=1,$C$398=0),$N$398+$H$398/$Z$395*$M$23,NA())</f>
        <v>#N/A</v>
      </c>
      <c r="AW415" s="144" t="e">
        <f>IF($I$399=1,$M$399+$H$399/$Z$395*$L$23,NA())</f>
        <v>#N/A</v>
      </c>
      <c r="AX415" s="144" t="e">
        <f>IF($S$399=1,$N$399+$H$399/$Z$395*$M$23,NA())</f>
        <v>#N/A</v>
      </c>
      <c r="AY415" s="144" t="e">
        <f>IF(AND($I$399=1,$C$399=1,$S$399=0),$N$399+$H$399/$Z$395*$M$23,NA())</f>
        <v>#N/A</v>
      </c>
      <c r="AZ415" s="144" t="e">
        <f>IF(AND($I$399=1,$C$399=0),$N$399+$H$399/$Z$395*$M$23,NA())</f>
        <v>#N/A</v>
      </c>
      <c r="BA415" s="144">
        <f>IF($I$400=1,$M$400+$H$400/$Z$395*$L$23,NA())</f>
        <v>0.270207697285136</v>
      </c>
      <c r="BB415" s="144" t="e">
        <f>IF($S$400=1,$N$400+$H$400/$Z$395*$M$23,NA())</f>
        <v>#N/A</v>
      </c>
      <c r="BC415" s="144">
        <f>IF(AND($I$400=1,$C$400=1,$S$400=0),$N$400+$H$400/$Z$395*$M$23,NA())</f>
        <v>-0.722015246057899</v>
      </c>
      <c r="BD415" s="144" t="e">
        <f>IF(AND($I$400=1,$C$400=0),$N$400+$H$400/$Z$395*$M$23,NA())</f>
        <v>#N/A</v>
      </c>
      <c r="BE415" s="144">
        <f>IF($I$401=1,$M$401+$H$401/$Z$395*$L$23,NA())</f>
        <v>0.250215320981134</v>
      </c>
      <c r="BF415" s="144" t="e">
        <f>IF($S$401=1,$N$401+$H$401/$Z$395*$M$23,NA())</f>
        <v>#N/A</v>
      </c>
      <c r="BG415" s="144" t="e">
        <f>IF(AND($I$401=1,$C$401=1,$S$401=0),$N$401+$H$401/$Z$395*$M$23,NA())</f>
        <v>#N/A</v>
      </c>
      <c r="BH415" s="144">
        <f>IF(AND($I$401=1,$C$401=0),$N$401+$H$401/$Z$395*$M$23,NA())</f>
        <v>-0.475376040568775</v>
      </c>
      <c r="BI415" s="144" t="e">
        <f>IF($I$402=1,$M$402+$H$402/$Z$395*$L$23,NA())</f>
        <v>#N/A</v>
      </c>
      <c r="BJ415" s="144" t="e">
        <f>IF($S$402=1,$N$402+$H$402/$Z$395*$M$23,NA())</f>
        <v>#N/A</v>
      </c>
      <c r="BK415" s="144" t="e">
        <f>IF(AND($I$402=1,$C$402=1,$S$402=0),$N$402+$H$402/$Z$395*$M$23,NA())</f>
        <v>#N/A</v>
      </c>
      <c r="BL415" s="144" t="e">
        <f>IF(AND($I$402=1,$C$402=0),$N$402+$H$402/$Z$395*$M$23,NA())</f>
        <v>#N/A</v>
      </c>
      <c r="BM415" s="144" t="e">
        <f>IF($I$403=1,$M$403+$H$403/$Z$395*$L$23,NA())</f>
        <v>#N/A</v>
      </c>
      <c r="BN415" s="144" t="e">
        <f>IF($S$403=1,$N$403+$H$403/$Z$395*$M$23,NA())</f>
        <v>#N/A</v>
      </c>
      <c r="BO415" s="144" t="e">
        <f>IF(AND($I$403=1,$C$403=1,$S$403=0),$N$403+$H$403/$Z$395*$M$23,NA())</f>
        <v>#N/A</v>
      </c>
      <c r="BP415" s="144" t="e">
        <f>IF(AND($I$403=1,$C$403=0),$N$403+$H$403/$Z$395*$M$23,NA())</f>
        <v>#N/A</v>
      </c>
    </row>
    <row r="416">
      <c r="AN416" s="146">
        <v>19</v>
      </c>
      <c r="AO416" s="144">
        <f>IF($I$397=1,$M$397+$H$397/$Z$395*$L$24,NA())</f>
        <v>-0.083777003597083</v>
      </c>
      <c r="AP416" s="144" t="e">
        <f>IF($S$397=1,$N$397+$H$397/$Z$395*$M$24,NA())</f>
        <v>#N/A</v>
      </c>
      <c r="AQ416" s="144" t="e">
        <f>IF(AND($I$397=1,$C$397=1,$S$397=0),$N$397+$H$397/$Z$395*$M$24,NA())</f>
        <v>#N/A</v>
      </c>
      <c r="AR416" s="144">
        <f>IF(AND($I$397=1,$C$397=0),$N$397+$H$397/$Z$395*$M$24,NA())</f>
        <v>-0.187613201218622</v>
      </c>
      <c r="AS416" s="144">
        <f>IF($I$398=1,$M$398+$H$398/$Z$395*$L$24,NA())</f>
        <v>-0.0417870233958934</v>
      </c>
      <c r="AT416" s="144">
        <f>IF($S$398=1,$N$398+$H$398/$Z$395*$M$24,NA())</f>
        <v>-0.750208962882015</v>
      </c>
      <c r="AU416" s="144" t="e">
        <f>IF(AND($I$398=1,$C$398=1,$S$398=0),$N$398+$H$398/$Z$395*$M$24,NA())</f>
        <v>#N/A</v>
      </c>
      <c r="AV416" s="144" t="e">
        <f>IF(AND($I$398=1,$C$398=0),$N$398+$H$398/$Z$395*$M$24,NA())</f>
        <v>#N/A</v>
      </c>
      <c r="AW416" s="144" t="e">
        <f>IF($I$399=1,$M$399+$H$399/$Z$395*$L$24,NA())</f>
        <v>#N/A</v>
      </c>
      <c r="AX416" s="144" t="e">
        <f>IF($S$399=1,$N$399+$H$399/$Z$395*$M$24,NA())</f>
        <v>#N/A</v>
      </c>
      <c r="AY416" s="144" t="e">
        <f>IF(AND($I$399=1,$C$399=1,$S$399=0),$N$399+$H$399/$Z$395*$M$24,NA())</f>
        <v>#N/A</v>
      </c>
      <c r="AZ416" s="144" t="e">
        <f>IF(AND($I$399=1,$C$399=0),$N$399+$H$399/$Z$395*$M$24,NA())</f>
        <v>#N/A</v>
      </c>
      <c r="BA416" s="144">
        <f>IF($I$400=1,$M$400+$H$400/$Z$395*$L$24,NA())</f>
        <v>0.353767060937058</v>
      </c>
      <c r="BB416" s="144" t="e">
        <f>IF($S$400=1,$N$400+$H$400/$Z$395*$M$24,NA())</f>
        <v>#N/A</v>
      </c>
      <c r="BC416" s="144">
        <f>IF(AND($I$400=1,$C$400=1,$S$400=0),$N$400+$H$400/$Z$395*$M$24,NA())</f>
        <v>-0.71101444713631</v>
      </c>
      <c r="BD416" s="144" t="e">
        <f>IF(AND($I$400=1,$C$400=0),$N$400+$H$400/$Z$395*$M$24,NA())</f>
        <v>#N/A</v>
      </c>
      <c r="BE416" s="144">
        <f>IF($I$401=1,$M$401+$H$401/$Z$395*$L$24,NA())</f>
        <v>0.410514869754359</v>
      </c>
      <c r="BF416" s="144" t="e">
        <f>IF($S$401=1,$N$401+$H$401/$Z$395*$M$24,NA())</f>
        <v>#N/A</v>
      </c>
      <c r="BG416" s="144" t="e">
        <f>IF(AND($I$401=1,$C$401=1,$S$401=0),$N$401+$H$401/$Z$395*$M$24,NA())</f>
        <v>#N/A</v>
      </c>
      <c r="BH416" s="144">
        <f>IF(AND($I$401=1,$C$401=0),$N$401+$H$401/$Z$395*$M$24,NA())</f>
        <v>-0.454272204610648</v>
      </c>
      <c r="BI416" s="144" t="e">
        <f>IF($I$402=1,$M$402+$H$402/$Z$395*$L$24,NA())</f>
        <v>#N/A</v>
      </c>
      <c r="BJ416" s="144" t="e">
        <f>IF($S$402=1,$N$402+$H$402/$Z$395*$M$24,NA())</f>
        <v>#N/A</v>
      </c>
      <c r="BK416" s="144" t="e">
        <f>IF(AND($I$402=1,$C$402=1,$S$402=0),$N$402+$H$402/$Z$395*$M$24,NA())</f>
        <v>#N/A</v>
      </c>
      <c r="BL416" s="144" t="e">
        <f>IF(AND($I$402=1,$C$402=0),$N$402+$H$402/$Z$395*$M$24,NA())</f>
        <v>#N/A</v>
      </c>
      <c r="BM416" s="144" t="e">
        <f>IF($I$403=1,$M$403+$H$403/$Z$395*$L$24,NA())</f>
        <v>#N/A</v>
      </c>
      <c r="BN416" s="144" t="e">
        <f>IF($S$403=1,$N$403+$H$403/$Z$395*$M$24,NA())</f>
        <v>#N/A</v>
      </c>
      <c r="BO416" s="144" t="e">
        <f>IF(AND($I$403=1,$C$403=1,$S$403=0),$N$403+$H$403/$Z$395*$M$24,NA())</f>
        <v>#N/A</v>
      </c>
      <c r="BP416" s="144" t="e">
        <f>IF(AND($I$403=1,$C$403=0),$N$403+$H$403/$Z$395*$M$24,NA())</f>
        <v>#N/A</v>
      </c>
    </row>
    <row r="417">
      <c r="AN417" s="146">
        <v>20</v>
      </c>
      <c r="AO417" s="144">
        <f>IF($I$397=1,$M$397+$H$397/$Z$395*$L$25,NA())</f>
        <v>0.0339950384550344</v>
      </c>
      <c r="AP417" s="144" t="e">
        <f>IF($S$397=1,$N$397+$H$397/$Z$395*$M$25,NA())</f>
        <v>#N/A</v>
      </c>
      <c r="AQ417" s="144" t="e">
        <f>IF(AND($I$397=1,$C$397=1,$S$397=0),$N$397+$H$397/$Z$395*$M$25,NA())</f>
        <v>#N/A</v>
      </c>
      <c r="AR417" s="144">
        <f>IF(AND($I$397=1,$C$397=0),$N$397+$H$397/$Z$395*$M$25,NA())</f>
        <v>-0.13883042413226</v>
      </c>
      <c r="AS417" s="144">
        <f>IF($I$398=1,$M$398+$H$398/$Z$395*$L$25,NA())</f>
        <v>0.115113451098426</v>
      </c>
      <c r="AT417" s="144">
        <f>IF($S$398=1,$N$398+$H$398/$Z$395*$M$25,NA())</f>
        <v>-0.685218658403694</v>
      </c>
      <c r="AU417" s="144" t="e">
        <f>IF(AND($I$398=1,$C$398=1,$S$398=0),$N$398+$H$398/$Z$395*$M$25,NA())</f>
        <v>#N/A</v>
      </c>
      <c r="AV417" s="144" t="e">
        <f>IF(AND($I$398=1,$C$398=0),$N$398+$H$398/$Z$395*$M$25,NA())</f>
        <v>#N/A</v>
      </c>
      <c r="AW417" s="144" t="e">
        <f>IF($I$399=1,$M$399+$H$399/$Z$395*$L$25,NA())</f>
        <v>#N/A</v>
      </c>
      <c r="AX417" s="144" t="e">
        <f>IF($S$399=1,$N$399+$H$399/$Z$395*$M$25,NA())</f>
        <v>#N/A</v>
      </c>
      <c r="AY417" s="144" t="e">
        <f>IF(AND($I$399=1,$C$399=1,$S$399=0),$N$399+$H$399/$Z$395*$M$25,NA())</f>
        <v>#N/A</v>
      </c>
      <c r="AZ417" s="144" t="e">
        <f>IF(AND($I$399=1,$C$399=0),$N$399+$H$399/$Z$395*$M$25,NA())</f>
        <v>#N/A</v>
      </c>
      <c r="BA417" s="144">
        <f>IF($I$400=1,$M$400+$H$400/$Z$395*$L$25,NA())</f>
        <v>0.43163199204448</v>
      </c>
      <c r="BB417" s="144" t="e">
        <f>IF($S$400=1,$N$400+$H$400/$Z$395*$M$25,NA())</f>
        <v>#N/A</v>
      </c>
      <c r="BC417" s="144">
        <f>IF(AND($I$400=1,$C$400=1,$S$400=0),$N$400+$H$400/$Z$395*$M$25,NA())</f>
        <v>-0.678761736638369</v>
      </c>
      <c r="BD417" s="144" t="e">
        <f>IF(AND($I$400=1,$C$400=0),$N$400+$H$400/$Z$395*$M$25,NA())</f>
        <v>#N/A</v>
      </c>
      <c r="BE417" s="144">
        <f>IF($I$401=1,$M$401+$H$401/$Z$395*$L$25,NA())</f>
        <v>0.559890269186219</v>
      </c>
      <c r="BF417" s="144" t="e">
        <f>IF($S$401=1,$N$401+$H$401/$Z$395*$M$25,NA())</f>
        <v>#N/A</v>
      </c>
      <c r="BG417" s="144" t="e">
        <f>IF(AND($I$401=1,$C$401=1,$S$401=0),$N$401+$H$401/$Z$395*$M$25,NA())</f>
        <v>#N/A</v>
      </c>
      <c r="BH417" s="144">
        <f>IF(AND($I$401=1,$C$401=0),$N$401+$H$401/$Z$395*$M$25,NA())</f>
        <v>-0.392398888281073</v>
      </c>
      <c r="BI417" s="144" t="e">
        <f>IF($I$402=1,$M$402+$H$402/$Z$395*$L$25,NA())</f>
        <v>#N/A</v>
      </c>
      <c r="BJ417" s="144" t="e">
        <f>IF($S$402=1,$N$402+$H$402/$Z$395*$M$25,NA())</f>
        <v>#N/A</v>
      </c>
      <c r="BK417" s="144" t="e">
        <f>IF(AND($I$402=1,$C$402=1,$S$402=0),$N$402+$H$402/$Z$395*$M$25,NA())</f>
        <v>#N/A</v>
      </c>
      <c r="BL417" s="144" t="e">
        <f>IF(AND($I$402=1,$C$402=0),$N$402+$H$402/$Z$395*$M$25,NA())</f>
        <v>#N/A</v>
      </c>
      <c r="BM417" s="144" t="e">
        <f>IF($I$403=1,$M$403+$H$403/$Z$395*$L$25,NA())</f>
        <v>#N/A</v>
      </c>
      <c r="BN417" s="144" t="e">
        <f>IF($S$403=1,$N$403+$H$403/$Z$395*$M$25,NA())</f>
        <v>#N/A</v>
      </c>
      <c r="BO417" s="144" t="e">
        <f>IF(AND($I$403=1,$C$403=1,$S$403=0),$N$403+$H$403/$Z$395*$M$25,NA())</f>
        <v>#N/A</v>
      </c>
      <c r="BP417" s="144" t="e">
        <f>IF(AND($I$403=1,$C$403=0),$N$403+$H$403/$Z$395*$M$25,NA())</f>
        <v>#N/A</v>
      </c>
    </row>
    <row r="418">
      <c r="AN418" s="146">
        <v>21</v>
      </c>
      <c r="AO418" s="144">
        <f>IF($I$397=1,$M$397+$H$397/$Z$395*$L$26,NA())</f>
        <v>0.135128183705035</v>
      </c>
      <c r="AP418" s="144" t="e">
        <f>IF($S$397=1,$N$397+$H$397/$Z$395*$M$26,NA())</f>
        <v>#N/A</v>
      </c>
      <c r="AQ418" s="144" t="e">
        <f>IF(AND($I$397=1,$C$397=1,$S$397=0),$N$397+$H$397/$Z$395*$M$26,NA())</f>
        <v>#N/A</v>
      </c>
      <c r="AR418" s="144">
        <f>IF(AND($I$397=1,$C$397=0),$N$397+$H$397/$Z$395*$M$26,NA())</f>
        <v>-0.0612282324027386</v>
      </c>
      <c r="AS418" s="144">
        <f>IF($I$398=1,$M$398+$H$398/$Z$395*$L$26,NA())</f>
        <v>0.249846943023497</v>
      </c>
      <c r="AT418" s="144">
        <f>IF($S$398=1,$N$398+$H$398/$Z$395*$M$26,NA())</f>
        <v>-0.581834013864943</v>
      </c>
      <c r="AU418" s="144" t="e">
        <f>IF(AND($I$398=1,$C$398=1,$S$398=0),$N$398+$H$398/$Z$395*$M$26,NA())</f>
        <v>#N/A</v>
      </c>
      <c r="AV418" s="144" t="e">
        <f>IF(AND($I$398=1,$C$398=0),$N$398+$H$398/$Z$395*$M$26,NA())</f>
        <v>#N/A</v>
      </c>
      <c r="AW418" s="144" t="e">
        <f>IF($I$399=1,$M$399+$H$399/$Z$395*$L$26,NA())</f>
        <v>#N/A</v>
      </c>
      <c r="AX418" s="144" t="e">
        <f>IF($S$399=1,$N$399+$H$399/$Z$395*$M$26,NA())</f>
        <v>#N/A</v>
      </c>
      <c r="AY418" s="144" t="e">
        <f>IF(AND($I$399=1,$C$399=1,$S$399=0),$N$399+$H$399/$Z$395*$M$26,NA())</f>
        <v>#N/A</v>
      </c>
      <c r="AZ418" s="144" t="e">
        <f>IF(AND($I$399=1,$C$399=0),$N$399+$H$399/$Z$395*$M$26,NA())</f>
        <v>#N/A</v>
      </c>
      <c r="BA418" s="144">
        <f>IF($I$400=1,$M$400+$H$400/$Z$395*$L$26,NA())</f>
        <v>0.498496124230312</v>
      </c>
      <c r="BB418" s="144" t="e">
        <f>IF($S$400=1,$N$400+$H$400/$Z$395*$M$26,NA())</f>
        <v>#N/A</v>
      </c>
      <c r="BC418" s="144">
        <f>IF(AND($I$400=1,$C$400=1,$S$400=0),$N$400+$H$400/$Z$395*$M$26,NA())</f>
        <v>-0.627455083484387</v>
      </c>
      <c r="BD418" s="144" t="e">
        <f>IF(AND($I$400=1,$C$400=0),$N$400+$H$400/$Z$395*$M$26,NA())</f>
        <v>#N/A</v>
      </c>
      <c r="BE418" s="144">
        <f>IF($I$401=1,$M$401+$H$401/$Z$395*$L$26,NA())</f>
        <v>0.688161832659951</v>
      </c>
      <c r="BF418" s="144" t="e">
        <f>IF($S$401=1,$N$401+$H$401/$Z$395*$M$26,NA())</f>
        <v>#N/A</v>
      </c>
      <c r="BG418" s="144" t="e">
        <f>IF(AND($I$401=1,$C$401=1,$S$401=0),$N$401+$H$401/$Z$395*$M$26,NA())</f>
        <v>#N/A</v>
      </c>
      <c r="BH418" s="144">
        <f>IF(AND($I$401=1,$C$401=0),$N$401+$H$401/$Z$395*$M$26,NA())</f>
        <v>-0.293972655837422</v>
      </c>
      <c r="BI418" s="144" t="e">
        <f>IF($I$402=1,$M$402+$H$402/$Z$395*$L$26,NA())</f>
        <v>#N/A</v>
      </c>
      <c r="BJ418" s="144" t="e">
        <f>IF($S$402=1,$N$402+$H$402/$Z$395*$M$26,NA())</f>
        <v>#N/A</v>
      </c>
      <c r="BK418" s="144" t="e">
        <f>IF(AND($I$402=1,$C$402=1,$S$402=0),$N$402+$H$402/$Z$395*$M$26,NA())</f>
        <v>#N/A</v>
      </c>
      <c r="BL418" s="144" t="e">
        <f>IF(AND($I$402=1,$C$402=0),$N$402+$H$402/$Z$395*$M$26,NA())</f>
        <v>#N/A</v>
      </c>
      <c r="BM418" s="144" t="e">
        <f>IF($I$403=1,$M$403+$H$403/$Z$395*$L$26,NA())</f>
        <v>#N/A</v>
      </c>
      <c r="BN418" s="144" t="e">
        <f>IF($S$403=1,$N$403+$H$403/$Z$395*$M$26,NA())</f>
        <v>#N/A</v>
      </c>
      <c r="BO418" s="144" t="e">
        <f>IF(AND($I$403=1,$C$403=1,$S$403=0),$N$403+$H$403/$Z$395*$M$26,NA())</f>
        <v>#N/A</v>
      </c>
      <c r="BP418" s="144" t="e">
        <f>IF(AND($I$403=1,$C$403=0),$N$403+$H$403/$Z$395*$M$26,NA())</f>
        <v>#N/A</v>
      </c>
    </row>
    <row r="419">
      <c r="AN419" s="146">
        <v>22</v>
      </c>
      <c r="AO419" s="144">
        <f>IF($I$397=1,$M$397+$H$397/$Z$395*$L$27,NA())</f>
        <v>0.212730375434557</v>
      </c>
      <c r="AP419" s="144" t="e">
        <f>IF($S$397=1,$N$397+$H$397/$Z$395*$M$27,NA())</f>
        <v>#N/A</v>
      </c>
      <c r="AQ419" s="144" t="e">
        <f>IF(AND($I$397=1,$C$397=1,$S$397=0),$N$397+$H$397/$Z$395*$M$27,NA())</f>
        <v>#N/A</v>
      </c>
      <c r="AR419" s="144">
        <f>IF(AND($I$397=1,$C$397=0),$N$397+$H$397/$Z$395*$M$27,NA())</f>
        <v>0.0399049128472622</v>
      </c>
      <c r="AS419" s="144">
        <f>IF($I$398=1,$M$398+$H$398/$Z$395*$L$27,NA())</f>
        <v>0.353231587562249</v>
      </c>
      <c r="AT419" s="144">
        <f>IF($S$398=1,$N$398+$H$398/$Z$395*$M$27,NA())</f>
        <v>-0.447100521939872</v>
      </c>
      <c r="AU419" s="144" t="e">
        <f>IF(AND($I$398=1,$C$398=1,$S$398=0),$N$398+$H$398/$Z$395*$M$27,NA())</f>
        <v>#N/A</v>
      </c>
      <c r="AV419" s="144" t="e">
        <f>IF(AND($I$398=1,$C$398=0),$N$398+$H$398/$Z$395*$M$27,NA())</f>
        <v>#N/A</v>
      </c>
      <c r="AW419" s="144" t="e">
        <f>IF($I$399=1,$M$399+$H$399/$Z$395*$L$27,NA())</f>
        <v>#N/A</v>
      </c>
      <c r="AX419" s="144" t="e">
        <f>IF($S$399=1,$N$399+$H$399/$Z$395*$M$27,NA())</f>
        <v>#N/A</v>
      </c>
      <c r="AY419" s="144" t="e">
        <f>IF(AND($I$399=1,$C$399=1,$S$399=0),$N$399+$H$399/$Z$395*$M$27,NA())</f>
        <v>#N/A</v>
      </c>
      <c r="AZ419" s="144" t="e">
        <f>IF(AND($I$399=1,$C$399=0),$N$399+$H$399/$Z$395*$M$27,NA())</f>
        <v>#N/A</v>
      </c>
      <c r="BA419" s="144">
        <f>IF($I$400=1,$M$400+$H$400/$Z$395*$L$27,NA())</f>
        <v>0.549802777384294</v>
      </c>
      <c r="BB419" s="144" t="e">
        <f>IF($S$400=1,$N$400+$H$400/$Z$395*$M$27,NA())</f>
        <v>#N/A</v>
      </c>
      <c r="BC419" s="144">
        <f>IF(AND($I$400=1,$C$400=1,$S$400=0),$N$400+$H$400/$Z$395*$M$27,NA())</f>
        <v>-0.560590951298555</v>
      </c>
      <c r="BD419" s="144" t="e">
        <f>IF(AND($I$400=1,$C$400=0),$N$400+$H$400/$Z$395*$M$27,NA())</f>
        <v>#N/A</v>
      </c>
      <c r="BE419" s="144">
        <f>IF($I$401=1,$M$401+$H$401/$Z$395*$L$27,NA())</f>
        <v>0.786588065103602</v>
      </c>
      <c r="BF419" s="144" t="e">
        <f>IF($S$401=1,$N$401+$H$401/$Z$395*$M$27,NA())</f>
        <v>#N/A</v>
      </c>
      <c r="BG419" s="144" t="e">
        <f>IF(AND($I$401=1,$C$401=1,$S$401=0),$N$401+$H$401/$Z$395*$M$27,NA())</f>
        <v>#N/A</v>
      </c>
      <c r="BH419" s="144">
        <f>IF(AND($I$401=1,$C$401=0),$N$401+$H$401/$Z$395*$M$27,NA())</f>
        <v>-0.16570109236369</v>
      </c>
      <c r="BI419" s="144" t="e">
        <f>IF($I$402=1,$M$402+$H$402/$Z$395*$L$27,NA())</f>
        <v>#N/A</v>
      </c>
      <c r="BJ419" s="144" t="e">
        <f>IF($S$402=1,$N$402+$H$402/$Z$395*$M$27,NA())</f>
        <v>#N/A</v>
      </c>
      <c r="BK419" s="144" t="e">
        <f>IF(AND($I$402=1,$C$402=1,$S$402=0),$N$402+$H$402/$Z$395*$M$27,NA())</f>
        <v>#N/A</v>
      </c>
      <c r="BL419" s="144" t="e">
        <f>IF(AND($I$402=1,$C$402=0),$N$402+$H$402/$Z$395*$M$27,NA())</f>
        <v>#N/A</v>
      </c>
      <c r="BM419" s="144" t="e">
        <f>IF($I$403=1,$M$403+$H$403/$Z$395*$L$27,NA())</f>
        <v>#N/A</v>
      </c>
      <c r="BN419" s="144" t="e">
        <f>IF($S$403=1,$N$403+$H$403/$Z$395*$M$27,NA())</f>
        <v>#N/A</v>
      </c>
      <c r="BO419" s="144" t="e">
        <f>IF(AND($I$403=1,$C$403=1,$S$403=0),$N$403+$H$403/$Z$395*$M$27,NA())</f>
        <v>#N/A</v>
      </c>
      <c r="BP419" s="144" t="e">
        <f>IF(AND($I$403=1,$C$403=0),$N$403+$H$403/$Z$395*$M$27,NA())</f>
        <v>#N/A</v>
      </c>
    </row>
    <row r="420">
      <c r="AN420" s="146">
        <v>23</v>
      </c>
      <c r="AO420" s="144">
        <f>IF($I$397=1,$M$397+$H$397/$Z$395*$L$28,NA())</f>
        <v>0.261513152520918</v>
      </c>
      <c r="AP420" s="144" t="e">
        <f>IF($S$397=1,$N$397+$H$397/$Z$395*$M$28,NA())</f>
        <v>#N/A</v>
      </c>
      <c r="AQ420" s="144" t="e">
        <f>IF(AND($I$397=1,$C$397=1,$S$397=0),$N$397+$H$397/$Z$395*$M$28,NA())</f>
        <v>#N/A</v>
      </c>
      <c r="AR420" s="144">
        <f>IF(AND($I$397=1,$C$397=0),$N$397+$H$397/$Z$395*$M$28,NA())</f>
        <v>0.157676954899379</v>
      </c>
      <c r="AS420" s="144">
        <f>IF($I$398=1,$M$398+$H$398/$Z$395*$L$28,NA())</f>
        <v>0.41822189204057</v>
      </c>
      <c r="AT420" s="144">
        <f>IF($S$398=1,$N$398+$H$398/$Z$395*$M$28,NA())</f>
        <v>-0.290200047445553</v>
      </c>
      <c r="AU420" s="144" t="e">
        <f>IF(AND($I$398=1,$C$398=1,$S$398=0),$N$398+$H$398/$Z$395*$M$28,NA())</f>
        <v>#N/A</v>
      </c>
      <c r="AV420" s="144" t="e">
        <f>IF(AND($I$398=1,$C$398=0),$N$398+$H$398/$Z$395*$M$28,NA())</f>
        <v>#N/A</v>
      </c>
      <c r="AW420" s="144" t="e">
        <f>IF($I$399=1,$M$399+$H$399/$Z$395*$L$28,NA())</f>
        <v>#N/A</v>
      </c>
      <c r="AX420" s="144" t="e">
        <f>IF($S$399=1,$N$399+$H$399/$Z$395*$M$28,NA())</f>
        <v>#N/A</v>
      </c>
      <c r="AY420" s="144" t="e">
        <f>IF(AND($I$399=1,$C$399=1,$S$399=0),$N$399+$H$399/$Z$395*$M$28,NA())</f>
        <v>#N/A</v>
      </c>
      <c r="AZ420" s="144" t="e">
        <f>IF(AND($I$399=1,$C$399=0),$N$399+$H$399/$Z$395*$M$28,NA())</f>
        <v>#N/A</v>
      </c>
      <c r="BA420" s="144">
        <f>IF($I$400=1,$M$400+$H$400/$Z$395*$L$28,NA())</f>
        <v>0.582055487882235</v>
      </c>
      <c r="BB420" s="144" t="e">
        <f>IF($S$400=1,$N$400+$H$400/$Z$395*$M$28,NA())</f>
        <v>#N/A</v>
      </c>
      <c r="BC420" s="144">
        <f>IF(AND($I$400=1,$C$400=1,$S$400=0),$N$400+$H$400/$Z$395*$M$28,NA())</f>
        <v>-0.482726020191133</v>
      </c>
      <c r="BD420" s="144" t="e">
        <f>IF(AND($I$400=1,$C$400=0),$N$400+$H$400/$Z$395*$M$28,NA())</f>
        <v>#N/A</v>
      </c>
      <c r="BE420" s="144">
        <f>IF($I$401=1,$M$401+$H$401/$Z$395*$L$28,NA())</f>
        <v>0.848461381433177</v>
      </c>
      <c r="BF420" s="144" t="e">
        <f>IF($S$401=1,$N$401+$H$401/$Z$395*$M$28,NA())</f>
        <v>#N/A</v>
      </c>
      <c r="BG420" s="144" t="e">
        <f>IF(AND($I$401=1,$C$401=1,$S$401=0),$N$401+$H$401/$Z$395*$M$28,NA())</f>
        <v>#N/A</v>
      </c>
      <c r="BH420" s="144">
        <f>IF(AND($I$401=1,$C$401=0),$N$401+$H$401/$Z$395*$M$28,NA())</f>
        <v>-0.0163256929318307</v>
      </c>
      <c r="BI420" s="144" t="e">
        <f>IF($I$402=1,$M$402+$H$402/$Z$395*$L$28,NA())</f>
        <v>#N/A</v>
      </c>
      <c r="BJ420" s="144" t="e">
        <f>IF($S$402=1,$N$402+$H$402/$Z$395*$M$28,NA())</f>
        <v>#N/A</v>
      </c>
      <c r="BK420" s="144" t="e">
        <f>IF(AND($I$402=1,$C$402=1,$S$402=0),$N$402+$H$402/$Z$395*$M$28,NA())</f>
        <v>#N/A</v>
      </c>
      <c r="BL420" s="144" t="e">
        <f>IF(AND($I$402=1,$C$402=0),$N$402+$H$402/$Z$395*$M$28,NA())</f>
        <v>#N/A</v>
      </c>
      <c r="BM420" s="144" t="e">
        <f>IF($I$403=1,$M$403+$H$403/$Z$395*$L$28,NA())</f>
        <v>#N/A</v>
      </c>
      <c r="BN420" s="144" t="e">
        <f>IF($S$403=1,$N$403+$H$403/$Z$395*$M$28,NA())</f>
        <v>#N/A</v>
      </c>
      <c r="BO420" s="144" t="e">
        <f>IF(AND($I$403=1,$C$403=1,$S$403=0),$N$403+$H$403/$Z$395*$M$28,NA())</f>
        <v>#N/A</v>
      </c>
      <c r="BP420" s="144" t="e">
        <f>IF(AND($I$403=1,$C$403=0),$N$403+$H$403/$Z$395*$M$28,NA())</f>
        <v>#N/A</v>
      </c>
    </row>
    <row r="421">
      <c r="AN421" s="146">
        <v>24</v>
      </c>
      <c r="AO421" s="144">
        <f>IF($I$397=1,$M$397+$H$397/$Z$395*$L$29,NA())</f>
        <v>0.278152049323035</v>
      </c>
      <c r="AP421" s="144" t="e">
        <f>IF($S$397=1,$N$397+$H$397/$Z$395*$M$29,NA())</f>
        <v>#N/A</v>
      </c>
      <c r="AQ421" s="144" t="e">
        <f>IF(AND($I$397=1,$C$397=1,$S$397=0),$N$397+$H$397/$Z$395*$M$29,NA())</f>
        <v>#N/A</v>
      </c>
      <c r="AR421" s="144">
        <f>IF(AND($I$397=1,$C$397=0),$N$397+$H$397/$Z$395*$M$29,NA())</f>
        <v>0.284061923715263</v>
      </c>
      <c r="AS421" s="144">
        <f>IF($I$398=1,$M$398+$H$398/$Z$395*$L$29,NA())</f>
        <v>0.440388874609818</v>
      </c>
      <c r="AT421" s="144">
        <f>IF($S$398=1,$N$398+$H$398/$Z$395*$M$29,NA())</f>
        <v>-0.12182509842848</v>
      </c>
      <c r="AU421" s="144" t="e">
        <f>IF(AND($I$398=1,$C$398=1,$S$398=0),$N$398+$H$398/$Z$395*$M$29,NA())</f>
        <v>#N/A</v>
      </c>
      <c r="AV421" s="144" t="e">
        <f>IF(AND($I$398=1,$C$398=0),$N$398+$H$398/$Z$395*$M$29,NA())</f>
        <v>#N/A</v>
      </c>
      <c r="AW421" s="144" t="e">
        <f>IF($I$399=1,$M$399+$H$399/$Z$395*$L$29,NA())</f>
        <v>#N/A</v>
      </c>
      <c r="AX421" s="144" t="e">
        <f>IF($S$399=1,$N$399+$H$399/$Z$395*$M$29,NA())</f>
        <v>#N/A</v>
      </c>
      <c r="AY421" s="144" t="e">
        <f>IF(AND($I$399=1,$C$399=1,$S$399=0),$N$399+$H$399/$Z$395*$M$29,NA())</f>
        <v>#N/A</v>
      </c>
      <c r="AZ421" s="144" t="e">
        <f>IF(AND($I$399=1,$C$399=0),$N$399+$H$399/$Z$395*$M$29,NA())</f>
        <v>#N/A</v>
      </c>
      <c r="BA421" s="144">
        <f>IF($I$400=1,$M$400+$H$400/$Z$395*$L$29,NA())</f>
        <v>0.593056286803824</v>
      </c>
      <c r="BB421" s="144" t="e">
        <f>IF($S$400=1,$N$400+$H$400/$Z$395*$M$29,NA())</f>
        <v>#N/A</v>
      </c>
      <c r="BC421" s="144">
        <f>IF(AND($I$400=1,$C$400=1,$S$400=0),$N$400+$H$400/$Z$395*$M$29,NA())</f>
        <v>-0.39916665653921</v>
      </c>
      <c r="BD421" s="144" t="e">
        <f>IF(AND($I$400=1,$C$400=0),$N$400+$H$400/$Z$395*$M$29,NA())</f>
        <v>#N/A</v>
      </c>
      <c r="BE421" s="144">
        <f>IF($I$401=1,$M$401+$H$401/$Z$395*$L$29,NA())</f>
        <v>0.869565217391304</v>
      </c>
      <c r="BF421" s="144" t="e">
        <f>IF($S$401=1,$N$401+$H$401/$Z$395*$M$29,NA())</f>
        <v>#N/A</v>
      </c>
      <c r="BG421" s="144" t="e">
        <f>IF(AND($I$401=1,$C$401=1,$S$401=0),$N$401+$H$401/$Z$395*$M$29,NA())</f>
        <v>#N/A</v>
      </c>
      <c r="BH421" s="144">
        <f>IF(AND($I$401=1,$C$401=0),$N$401+$H$401/$Z$395*$M$29,NA())</f>
        <v>0.143973855841395</v>
      </c>
      <c r="BI421" s="144" t="e">
        <f>IF($I$402=1,$M$402+$H$402/$Z$395*$L$29,NA())</f>
        <v>#N/A</v>
      </c>
      <c r="BJ421" s="144" t="e">
        <f>IF($S$402=1,$N$402+$H$402/$Z$395*$M$29,NA())</f>
        <v>#N/A</v>
      </c>
      <c r="BK421" s="144" t="e">
        <f>IF(AND($I$402=1,$C$402=1,$S$402=0),$N$402+$H$402/$Z$395*$M$29,NA())</f>
        <v>#N/A</v>
      </c>
      <c r="BL421" s="144" t="e">
        <f>IF(AND($I$402=1,$C$402=0),$N$402+$H$402/$Z$395*$M$29,NA())</f>
        <v>#N/A</v>
      </c>
      <c r="BM421" s="144" t="e">
        <f>IF($I$403=1,$M$403+$H$403/$Z$395*$L$29,NA())</f>
        <v>#N/A</v>
      </c>
      <c r="BN421" s="144" t="e">
        <f>IF($S$403=1,$N$403+$H$403/$Z$395*$M$29,NA())</f>
        <v>#N/A</v>
      </c>
      <c r="BO421" s="144" t="e">
        <f>IF(AND($I$403=1,$C$403=1,$S$403=0),$N$403+$H$403/$Z$395*$M$29,NA())</f>
        <v>#N/A</v>
      </c>
      <c r="BP421" s="144" t="e">
        <f>IF(AND($I$403=1,$C$403=0),$N$403+$H$403/$Z$395*$M$29,NA())</f>
        <v>#N/A</v>
      </c>
    </row>
    <row r="422"/>
    <row r="423">
      <c r="A423" s="59" t="inlineStr">
        <is>
          <t xml:space="preserve">Iteration 5 · diagram on “Hyperspheres (Iterations)” — centre = the selected Sᵢ; every own-class object carries its enemy sphere (radius r(Sⱼ)) around its own position</t>
        </is>
      </c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  <c r="AF423" s="59"/>
      <c r="AG423" s="59"/>
      <c r="AH423" s="59"/>
      <c r="AI423" s="59"/>
      <c r="AJ423" s="59"/>
      <c r="AK423" s="59"/>
      <c r="AL423" s="59"/>
      <c r="AM423" s="59"/>
      <c r="AN423" s="59"/>
      <c r="AO423" s="59"/>
      <c r="AP423" s="59"/>
      <c r="AQ423" s="59"/>
      <c r="AR423" s="59"/>
      <c r="AS423" s="59"/>
      <c r="AT423" s="59"/>
      <c r="AU423" s="59"/>
      <c r="AV423" s="59"/>
      <c r="AW423" s="59"/>
      <c r="AX423" s="59"/>
      <c r="AY423" s="59"/>
      <c r="AZ423" s="59"/>
      <c r="BA423" s="59"/>
      <c r="BB423" s="59"/>
      <c r="BC423" s="59"/>
      <c r="BD423" s="59"/>
      <c r="BE423" s="59"/>
      <c r="BF423" s="59"/>
      <c r="BG423" s="59"/>
      <c r="BH423" s="59"/>
      <c r="BI423" s="59"/>
      <c r="BJ423" s="59"/>
      <c r="BK423" s="59"/>
      <c r="BL423" s="59"/>
      <c r="BM423" s="59"/>
      <c r="BN423" s="59"/>
      <c r="BO423" s="59"/>
      <c r="BP423" s="59"/>
    </row>
    <row r="424">
      <c r="A424" s="63" t="inlineStr">
        <is>
          <t xml:space="preserve">Chart title</t>
        </is>
      </c>
      <c r="B424" s="145" t="str">
        <f>IF($Q$424=0,"Iteration 5  ·  queue empty → Step 6 (stop)","Iteration 5  ·  Sᵢ = "&amp;'ERDR Iterations'!$K$114&amp;"  ·  L = "&amp;'ERDR Iterations'!$K$117&amp;"  ·  "&amp;'ERDR Iterations'!$K$119)</f>
        <v>Iteration 5  ·  Sᵢ = S₆  ·  L = {S₃}  ·  |L| = 1 → Sᵢ moves to D</v>
      </c>
      <c r="P424" s="63" t="inlineStr">
        <is>
          <t xml:space="preserve">Selected</t>
        </is>
      </c>
      <c r="Q424" s="146">
        <f>'ERDR Iterations'!$K$113</f>
        <v>6</v>
      </c>
      <c r="S424" s="63" t="inlineStr">
        <is>
          <t xml:space="preserve">Box centre x</t>
        </is>
      </c>
      <c r="T424" s="144">
        <f>IF($Q$424=0,0,(MIN(O426:O432)+MAX(P426:P432))/2)</f>
        <v>1.15540777591916</v>
      </c>
      <c r="V424" s="63" t="inlineStr">
        <is>
          <t xml:space="preserve">Box centre y</t>
        </is>
      </c>
      <c r="W424" s="144">
        <f>IF($Q$424=0,0,(MIN(Q426:Q432)+MAX(R426:R432))/2)</f>
        <v>-0.894511335299999</v>
      </c>
      <c r="Y424" s="63" t="inlineStr">
        <is>
          <t xml:space="preserve">Half side</t>
        </is>
      </c>
      <c r="Z424" s="144">
        <f>IF($Q$424=0,1,$B$8*MAX(MAX(P426:P432)-MIN(O426:O432),MAX(R426:R432)-MIN(Q426:Q432))/2)</f>
        <v>10.3154637016065</v>
      </c>
    </row>
    <row r="425" ht="44" customHeight="1">
      <c r="A425" s="147" t="inlineStr">
        <is>
          <t xml:space="preserve">Sⱼ</t>
        </is>
      </c>
      <c r="B425" s="147" t="inlineStr">
        <is>
          <t xml:space="preserve">Class</t>
        </is>
      </c>
      <c r="C425" s="147" t="inlineStr">
        <is>
          <t xml:space="preserve">In F before</t>
        </is>
      </c>
      <c r="D425" s="147" t="inlineStr">
        <is>
          <t xml:space="preserve">Own class of Sᵢ</t>
        </is>
      </c>
      <c r="E425" s="147" t="inlineStr">
        <is>
          <t xml:space="preserve">Centre (= Sᵢ)</t>
        </is>
      </c>
      <c r="F425" s="147" t="inlineStr">
        <is>
          <t xml:space="preserve">Rank around Sᵢ</t>
        </is>
      </c>
      <c r="G425" s="147" t="inlineStr">
        <is>
          <t xml:space="preserve">ρ(Sⱼ, Sᵢ)</t>
        </is>
      </c>
      <c r="H425" s="147" t="inlineStr">
        <is>
          <t xml:space="preserve">r(Sⱼ)</t>
        </is>
      </c>
      <c r="I425" s="147" t="inlineStr">
        <is>
          <t xml:space="preserve">Own-class sphere drawn</t>
        </is>
      </c>
      <c r="J425" s="147" t="inlineStr">
        <is>
          <t xml:space="preserve">Angle θ</t>
        </is>
      </c>
      <c r="K425" s="147" t="inlineStr">
        <is>
          <t xml:space="preserve">px = ρ·cos θ</t>
        </is>
      </c>
      <c r="L425" s="147" t="inlineStr">
        <is>
          <t xml:space="preserve">py = ρ·sin θ</t>
        </is>
      </c>
      <c r="M425" s="147" t="inlineStr">
        <is>
          <t xml:space="preserve">x (fitted)</t>
        </is>
      </c>
      <c r="N425" s="147" t="inlineStr">
        <is>
          <t xml:space="preserve">y (fitted)</t>
        </is>
      </c>
      <c r="O425" s="147" t="inlineStr">
        <is>
          <t xml:space="preserve">Box x min</t>
        </is>
      </c>
      <c r="P425" s="147" t="inlineStr">
        <is>
          <t xml:space="preserve">Box x max</t>
        </is>
      </c>
      <c r="Q425" s="147" t="inlineStr">
        <is>
          <t xml:space="preserve">Box y min</t>
        </is>
      </c>
      <c r="R425" s="147" t="inlineStr">
        <is>
          <t xml:space="preserve">Box y max</t>
        </is>
      </c>
      <c r="S425" s="147" t="inlineStr">
        <is>
          <t xml:space="preserve">Sⱼ ∈ L</t>
        </is>
      </c>
      <c r="T425" s="147" t="inlineStr">
        <is>
          <t xml:space="preserve">g before</t>
        </is>
      </c>
      <c r="U425" s="147" t="inlineStr">
        <is>
          <t xml:space="preserve">g after</t>
        </is>
      </c>
      <c r="V425" s="147" t="inlineStr">
        <is>
          <t xml:space="preserve">Counter decreased</t>
        </is>
      </c>
      <c r="W425" s="147" t="inlineStr">
        <is>
          <t xml:space="preserve">Moves to D</t>
        </is>
      </c>
      <c r="X425" s="147" t="inlineStr">
        <is>
          <t xml:space="preserve">K1 in F · x</t>
        </is>
      </c>
      <c r="Y425" s="147" t="inlineStr">
        <is>
          <t xml:space="preserve">y</t>
        </is>
      </c>
      <c r="Z425" s="147" t="inlineStr">
        <is>
          <t xml:space="preserve">K1 in D · x</t>
        </is>
      </c>
      <c r="AA425" s="147" t="inlineStr">
        <is>
          <t xml:space="preserve">y</t>
        </is>
      </c>
      <c r="AB425" s="147" t="inlineStr">
        <is>
          <t xml:space="preserve">K2 in F · x</t>
        </is>
      </c>
      <c r="AC425" s="147" t="inlineStr">
        <is>
          <t xml:space="preserve">y</t>
        </is>
      </c>
      <c r="AD425" s="147" t="inlineStr">
        <is>
          <t xml:space="preserve">K2 in D · x</t>
        </is>
      </c>
      <c r="AE425" s="147" t="inlineStr">
        <is>
          <t xml:space="preserve">y</t>
        </is>
      </c>
      <c r="AF425" s="147" t="inlineStr">
        <is>
          <t xml:space="preserve">Centre K1 · x</t>
        </is>
      </c>
      <c r="AG425" s="147" t="inlineStr">
        <is>
          <t xml:space="preserve">y</t>
        </is>
      </c>
      <c r="AH425" s="147" t="inlineStr">
        <is>
          <t xml:space="preserve">Centre K2 · x</t>
        </is>
      </c>
      <c r="AI425" s="147" t="inlineStr">
        <is>
          <t xml:space="preserve">y</t>
        </is>
      </c>
      <c r="AJ425" s="147" t="inlineStr">
        <is>
          <t xml:space="preserve">Label text</t>
        </is>
      </c>
      <c r="AN425" s="147" t="inlineStr">
        <is>
          <t xml:space="preserve">k</t>
        </is>
      </c>
      <c r="AO425" s="147" t="inlineStr">
        <is>
          <t xml:space="preserve">S₁ sphere · x</t>
        </is>
      </c>
      <c r="AP425" s="147" t="inlineStr">
        <is>
          <t xml:space="preserve">y · in L</t>
        </is>
      </c>
      <c r="AQ425" s="147" t="inlineStr">
        <is>
          <t xml:space="preserve">y · in F, not in L</t>
        </is>
      </c>
      <c r="AR425" s="147" t="inlineStr">
        <is>
          <t xml:space="preserve">y · in D</t>
        </is>
      </c>
      <c r="AS425" s="147" t="inlineStr">
        <is>
          <t xml:space="preserve">S₂ sphere · x</t>
        </is>
      </c>
      <c r="AT425" s="147" t="inlineStr">
        <is>
          <t xml:space="preserve">y · in L</t>
        </is>
      </c>
      <c r="AU425" s="147" t="inlineStr">
        <is>
          <t xml:space="preserve">y · in F, not in L</t>
        </is>
      </c>
      <c r="AV425" s="147" t="inlineStr">
        <is>
          <t xml:space="preserve">y · in D</t>
        </is>
      </c>
      <c r="AW425" s="147" t="inlineStr">
        <is>
          <t xml:space="preserve">S₃ sphere · x</t>
        </is>
      </c>
      <c r="AX425" s="147" t="inlineStr">
        <is>
          <t xml:space="preserve">y · in L</t>
        </is>
      </c>
      <c r="AY425" s="147" t="inlineStr">
        <is>
          <t xml:space="preserve">y · in F, not in L</t>
        </is>
      </c>
      <c r="AZ425" s="147" t="inlineStr">
        <is>
          <t xml:space="preserve">y · in D</t>
        </is>
      </c>
      <c r="BA425" s="147" t="inlineStr">
        <is>
          <t xml:space="preserve">S₄ sphere · x</t>
        </is>
      </c>
      <c r="BB425" s="147" t="inlineStr">
        <is>
          <t xml:space="preserve">y · in L</t>
        </is>
      </c>
      <c r="BC425" s="147" t="inlineStr">
        <is>
          <t xml:space="preserve">y · in F, not in L</t>
        </is>
      </c>
      <c r="BD425" s="147" t="inlineStr">
        <is>
          <t xml:space="preserve">y · in D</t>
        </is>
      </c>
      <c r="BE425" s="147" t="inlineStr">
        <is>
          <t xml:space="preserve">S₅ sphere · x</t>
        </is>
      </c>
      <c r="BF425" s="147" t="inlineStr">
        <is>
          <t xml:space="preserve">y · in L</t>
        </is>
      </c>
      <c r="BG425" s="147" t="inlineStr">
        <is>
          <t xml:space="preserve">y · in F, not in L</t>
        </is>
      </c>
      <c r="BH425" s="147" t="inlineStr">
        <is>
          <t xml:space="preserve">y · in D</t>
        </is>
      </c>
      <c r="BI425" s="147" t="inlineStr">
        <is>
          <t xml:space="preserve">S₆ sphere · x</t>
        </is>
      </c>
      <c r="BJ425" s="147" t="inlineStr">
        <is>
          <t xml:space="preserve">y · in L</t>
        </is>
      </c>
      <c r="BK425" s="147" t="inlineStr">
        <is>
          <t xml:space="preserve">y · in F, not in L</t>
        </is>
      </c>
      <c r="BL425" s="147" t="inlineStr">
        <is>
          <t xml:space="preserve">y · in D</t>
        </is>
      </c>
      <c r="BM425" s="147" t="inlineStr">
        <is>
          <t xml:space="preserve">S₇ sphere · x</t>
        </is>
      </c>
      <c r="BN425" s="147" t="inlineStr">
        <is>
          <t xml:space="preserve">y · in L</t>
        </is>
      </c>
      <c r="BO425" s="147" t="inlineStr">
        <is>
          <t xml:space="preserve">y · in F, not in L</t>
        </is>
      </c>
      <c r="BP425" s="147" t="inlineStr">
        <is>
          <t xml:space="preserve">y · in D</t>
        </is>
      </c>
    </row>
    <row r="426">
      <c r="A426" s="62" t="inlineStr">
        <is>
          <t xml:space="preserve">S₁</t>
        </is>
      </c>
      <c r="B426" s="68">
        <f>'ERDR Iterations'!B$111</f>
        <v>2</v>
      </c>
      <c r="C426" s="146">
        <f>'ERDR Iterations'!B$112</f>
        <v>0</v>
      </c>
      <c r="D426" s="146">
        <f>'ERDR Iterations'!B$118</f>
        <v>0</v>
      </c>
      <c r="E426" s="146">
        <f>IF($Q$424=1,1,0)</f>
        <v>0</v>
      </c>
      <c r="F426" s="146">
        <f>IF(OR($Q$424=0,E426=1),0,INDEX('Sorted Neighbors'!$B$5:$H$11,$Q$424,1))</f>
        <v>4</v>
      </c>
      <c r="G426" s="144">
        <f>IF($Q$424=0,0,INDEX('Zhuravlev Distances'!$B$5:$H$11,$Q$424,1))</f>
        <v>6.8015669516</v>
      </c>
      <c r="H426" s="144">
        <f>'ERDR Characteristics'!$D$5</f>
        <v>5.60708061</v>
      </c>
      <c r="I426" s="146">
        <f>D426</f>
        <v>0</v>
      </c>
      <c r="J426" s="144">
        <f>IF(F426=0,0,PI()/2-(F426-1)*$B$6)</f>
        <v>-1.5707963267949</v>
      </c>
      <c r="K426" s="144">
        <f>G426*COS(J426)</f>
        <v>4.16475859823168e-16</v>
      </c>
      <c r="L426" s="144">
        <f>G426*SIN(J426)</f>
        <v>-6.8015669516</v>
      </c>
      <c r="M426" s="144">
        <f>IF($Q$424=0,NA(),(K426-$T$424)/$Z$424)</f>
        <v>-0.11200735219874</v>
      </c>
      <c r="N426" s="144">
        <f>IF($Q$424=0,NA(),(L426-$W$424)/$Z$424)</f>
        <v>-0.572640822281218</v>
      </c>
      <c r="O426" s="144">
        <f>K426-I426*H426</f>
        <v>4.16475859823168e-16</v>
      </c>
      <c r="P426" s="144">
        <f>K426+I426*H426</f>
        <v>4.16475859823168e-16</v>
      </c>
      <c r="Q426" s="144">
        <f>L426-I426*H426</f>
        <v>-6.8015669516</v>
      </c>
      <c r="R426" s="144">
        <f>L426+I426*H426</f>
        <v>-6.8015669516</v>
      </c>
      <c r="S426" s="146">
        <f>'ERDR Iterations'!B$124</f>
        <v>0</v>
      </c>
      <c r="T426" s="146">
        <f>'ERDR Iterations'!B$114</f>
        <v>1</v>
      </c>
      <c r="U426" s="146">
        <f>'ERDR Iterations'!B$127</f>
        <v>1</v>
      </c>
      <c r="V426" s="146">
        <f>'ERDR Iterations'!B$126</f>
        <v>0</v>
      </c>
      <c r="W426" s="146">
        <f>'ERDR Iterations'!B$129</f>
        <v>0</v>
      </c>
      <c r="X426" s="144" t="e">
        <f>IF(AND($Q$424&gt;0,E426=0,B426=1,C426=1),M426,NA())</f>
        <v>#N/A</v>
      </c>
      <c r="Y426" s="144" t="e">
        <f>IF(AND($Q$424&gt;0,E426=0,B426=1,C426=1),N426,NA())</f>
        <v>#N/A</v>
      </c>
      <c r="Z426" s="144" t="e">
        <f>IF(AND($Q$424&gt;0,E426=0,B426=1,C426=0),M426,NA())</f>
        <v>#N/A</v>
      </c>
      <c r="AA426" s="144" t="e">
        <f>IF(AND($Q$424&gt;0,E426=0,B426=1,C426=0),N426,NA())</f>
        <v>#N/A</v>
      </c>
      <c r="AB426" s="144" t="e">
        <f>IF(AND($Q$424&gt;0,E426=0,B426=2,C426=1),M426,NA())</f>
        <v>#N/A</v>
      </c>
      <c r="AC426" s="144" t="e">
        <f>IF(AND($Q$424&gt;0,E426=0,B426=2,C426=1),N426,NA())</f>
        <v>#N/A</v>
      </c>
      <c r="AD426" s="144">
        <f>IF(AND($Q$424&gt;0,E426=0,B426=2,C426=0),M426,NA())</f>
        <v>-0.11200735219874</v>
      </c>
      <c r="AE426" s="144">
        <f>IF(AND($Q$424&gt;0,E426=0,B426=2,C426=0),N426,NA())</f>
        <v>-0.572640822281218</v>
      </c>
      <c r="AF426" s="144" t="e">
        <f>IF(AND(E426=1,B426=1),M426,NA())</f>
        <v>#N/A</v>
      </c>
      <c r="AG426" s="144" t="e">
        <f>IF(AND(E426=1,B426=1),N426,NA())</f>
        <v>#N/A</v>
      </c>
      <c r="AH426" s="144" t="e">
        <f>IF(AND(E426=1,B426=2),M426,NA())</f>
        <v>#N/A</v>
      </c>
      <c r="AI426" s="144" t="e">
        <f>IF(AND(E426=1,B426=2),N426,NA())</f>
        <v>#N/A</v>
      </c>
      <c r="AJ426" s="145" t="str">
        <f>A426&amp;IF(E426=1," = Sᵢ",IF(C426=0," (in D)",""))&amp;IF(V426=1,"  ·  g "&amp;T426&amp;"→"&amp;U426,"")&amp;IF(W426=1,"  → D","")</f>
        <v>S₁ (in D)</v>
      </c>
      <c r="AN426" s="146">
        <v>0</v>
      </c>
      <c r="AO426" s="144" t="e">
        <f>IF($I$426=1,$M$426+$H$426/$Z$424*$L$5,NA())</f>
        <v>#N/A</v>
      </c>
      <c r="AP426" s="144" t="e">
        <f>IF($S$426=1,$N$426+$H$426/$Z$424*$M$5,NA())</f>
        <v>#N/A</v>
      </c>
      <c r="AQ426" s="144" t="e">
        <f>IF(AND($I$426=1,$C$426=1,$S$426=0),$N$426+$H$426/$Z$424*$M$5,NA())</f>
        <v>#N/A</v>
      </c>
      <c r="AR426" s="144" t="e">
        <f>IF(AND($I$426=1,$C$426=0),$N$426+$H$426/$Z$424*$M$5,NA())</f>
        <v>#N/A</v>
      </c>
      <c r="AS426" s="144" t="e">
        <f>IF($I$427=1,$M$427+$H$427/$Z$424*$L$5,NA())</f>
        <v>#N/A</v>
      </c>
      <c r="AT426" s="144" t="e">
        <f>IF($S$427=1,$N$427+$H$427/$Z$424*$M$5,NA())</f>
        <v>#N/A</v>
      </c>
      <c r="AU426" s="144" t="e">
        <f>IF(AND($I$427=1,$C$427=1,$S$427=0),$N$427+$H$427/$Z$424*$M$5,NA())</f>
        <v>#N/A</v>
      </c>
      <c r="AV426" s="144" t="e">
        <f>IF(AND($I$427=1,$C$427=0),$N$427+$H$427/$Z$424*$M$5,NA())</f>
        <v>#N/A</v>
      </c>
      <c r="AW426" s="144">
        <f>IF($I$428=1,$M$428+$H$428/$Z$424*$L$5,NA())</f>
        <v>0.869565217391304</v>
      </c>
      <c r="AX426" s="144">
        <f>IF($S$428=1,$N$428+$H$428/$Z$424*$M$5,NA())</f>
        <v>-0.166170702203435</v>
      </c>
      <c r="AY426" s="144" t="e">
        <f>IF(AND($I$428=1,$C$428=1,$S$428=0),$N$428+$H$428/$Z$424*$M$5,NA())</f>
        <v>#N/A</v>
      </c>
      <c r="AZ426" s="144" t="e">
        <f>IF(AND($I$428=1,$C$428=0),$N$428+$H$428/$Z$424*$M$5,NA())</f>
        <v>#N/A</v>
      </c>
      <c r="BA426" s="144" t="e">
        <f>IF($I$429=1,$M$429+$H$429/$Z$424*$L$5,NA())</f>
        <v>#N/A</v>
      </c>
      <c r="BB426" s="144" t="e">
        <f>IF($S$429=1,$N$429+$H$429/$Z$424*$M$5,NA())</f>
        <v>#N/A</v>
      </c>
      <c r="BC426" s="144" t="e">
        <f>IF(AND($I$429=1,$C$429=1,$S$429=0),$N$429+$H$429/$Z$424*$M$5,NA())</f>
        <v>#N/A</v>
      </c>
      <c r="BD426" s="144" t="e">
        <f>IF(AND($I$429=1,$C$429=0),$N$429+$H$429/$Z$424*$M$5,NA())</f>
        <v>#N/A</v>
      </c>
      <c r="BE426" s="144" t="e">
        <f>IF($I$430=1,$M$430+$H$430/$Z$424*$L$5,NA())</f>
        <v>#N/A</v>
      </c>
      <c r="BF426" s="144" t="e">
        <f>IF($S$430=1,$N$430+$H$430/$Z$424*$M$5,NA())</f>
        <v>#N/A</v>
      </c>
      <c r="BG426" s="144" t="e">
        <f>IF(AND($I$430=1,$C$430=1,$S$430=0),$N$430+$H$430/$Z$424*$M$5,NA())</f>
        <v>#N/A</v>
      </c>
      <c r="BH426" s="144" t="e">
        <f>IF(AND($I$430=1,$C$430=0),$N$430+$H$430/$Z$424*$M$5,NA())</f>
        <v>#N/A</v>
      </c>
      <c r="BI426" s="144">
        <f>IF($I$431=1,$M$431+$H$431/$Z$424*$L$5,NA())</f>
        <v>0.24736754921482</v>
      </c>
      <c r="BJ426" s="144" t="e">
        <f>IF($S$431=1,$N$431+$H$431/$Z$424*$M$5,NA())</f>
        <v>#N/A</v>
      </c>
      <c r="BK426" s="144">
        <f>IF(AND($I$431=1,$C$431=1,$S$431=0),$N$431+$H$431/$Z$424*$M$5,NA())</f>
        <v>0.0867155719970874</v>
      </c>
      <c r="BL426" s="144" t="e">
        <f>IF(AND($I$431=1,$C$431=0),$N$431+$H$431/$Z$424*$M$5,NA())</f>
        <v>#N/A</v>
      </c>
      <c r="BM426" s="144">
        <f>IF($I$432=1,$M$432+$H$432/$Z$424*$L$5,NA())</f>
        <v>0.689539636370548</v>
      </c>
      <c r="BN426" s="144" t="e">
        <f>IF($S$432=1,$N$432+$H$432/$Z$424*$M$5,NA())</f>
        <v>#N/A</v>
      </c>
      <c r="BO426" s="144" t="e">
        <f>IF(AND($I$432=1,$C$432=1,$S$432=0),$N$432+$H$432/$Z$424*$M$5,NA())</f>
        <v>#N/A</v>
      </c>
      <c r="BP426" s="144">
        <f>IF(AND($I$432=1,$C$432=0),$N$432+$H$432/$Z$424*$M$5,NA())</f>
        <v>0.330593677695643</v>
      </c>
    </row>
    <row r="427">
      <c r="A427" s="62" t="inlineStr">
        <is>
          <t xml:space="preserve">S₂</t>
        </is>
      </c>
      <c r="B427" s="68">
        <f>'ERDR Iterations'!C$111</f>
        <v>2</v>
      </c>
      <c r="C427" s="146">
        <f>'ERDR Iterations'!C$112</f>
        <v>0</v>
      </c>
      <c r="D427" s="146">
        <f>'ERDR Iterations'!C$118</f>
        <v>0</v>
      </c>
      <c r="E427" s="146">
        <f>IF($Q$424=2,1,0)</f>
        <v>0</v>
      </c>
      <c r="F427" s="146">
        <f>IF(OR($Q$424=0,E427=1),0,INDEX('Sorted Neighbors'!$B$5:$H$11,$Q$424,2))</f>
        <v>5</v>
      </c>
      <c r="G427" s="144">
        <f>IF($Q$424=0,0,INDEX('Zhuravlev Distances'!$B$5:$H$11,$Q$424,2))</f>
        <v>8.742951174</v>
      </c>
      <c r="H427" s="144">
        <f>'ERDR Characteristics'!$D$6</f>
        <v>7.4699698919</v>
      </c>
      <c r="I427" s="146">
        <f>D427</f>
        <v>0</v>
      </c>
      <c r="J427" s="144">
        <f>IF(F427=0,0,PI()/2-(F427-1)*$B$6)</f>
        <v>-2.61799387799149</v>
      </c>
      <c r="K427" s="144">
        <f>G427*COS(J427)</f>
        <v>-7.57161782073098</v>
      </c>
      <c r="L427" s="144">
        <f>G427*SIN(J427)</f>
        <v>-4.371475587</v>
      </c>
      <c r="M427" s="144">
        <f>IF($Q$424=0,NA(),(K427-$T$424)/$Z$424)</f>
        <v>-0.846013892258767</v>
      </c>
      <c r="N427" s="144">
        <f>IF($Q$424=0,NA(),(L427-$W$424)/$Z$424)</f>
        <v>-0.337063301493515</v>
      </c>
      <c r="O427" s="144">
        <f>K427-I427*H427</f>
        <v>-7.57161782073098</v>
      </c>
      <c r="P427" s="144">
        <f>K427+I427*H427</f>
        <v>-7.57161782073098</v>
      </c>
      <c r="Q427" s="144">
        <f>L427-I427*H427</f>
        <v>-4.371475587</v>
      </c>
      <c r="R427" s="144">
        <f>L427+I427*H427</f>
        <v>-4.371475587</v>
      </c>
      <c r="S427" s="146">
        <f>'ERDR Iterations'!C$124</f>
        <v>0</v>
      </c>
      <c r="T427" s="146">
        <f>'ERDR Iterations'!C$114</f>
        <v>2</v>
      </c>
      <c r="U427" s="146">
        <f>'ERDR Iterations'!C$127</f>
        <v>2</v>
      </c>
      <c r="V427" s="146">
        <f>'ERDR Iterations'!C$126</f>
        <v>0</v>
      </c>
      <c r="W427" s="146">
        <f>'ERDR Iterations'!C$129</f>
        <v>0</v>
      </c>
      <c r="X427" s="144" t="e">
        <f>IF(AND($Q$424&gt;0,E427=0,B427=1,C427=1),M427,NA())</f>
        <v>#N/A</v>
      </c>
      <c r="Y427" s="144" t="e">
        <f>IF(AND($Q$424&gt;0,E427=0,B427=1,C427=1),N427,NA())</f>
        <v>#N/A</v>
      </c>
      <c r="Z427" s="144" t="e">
        <f>IF(AND($Q$424&gt;0,E427=0,B427=1,C427=0),M427,NA())</f>
        <v>#N/A</v>
      </c>
      <c r="AA427" s="144" t="e">
        <f>IF(AND($Q$424&gt;0,E427=0,B427=1,C427=0),N427,NA())</f>
        <v>#N/A</v>
      </c>
      <c r="AB427" s="144" t="e">
        <f>IF(AND($Q$424&gt;0,E427=0,B427=2,C427=1),M427,NA())</f>
        <v>#N/A</v>
      </c>
      <c r="AC427" s="144" t="e">
        <f>IF(AND($Q$424&gt;0,E427=0,B427=2,C427=1),N427,NA())</f>
        <v>#N/A</v>
      </c>
      <c r="AD427" s="144">
        <f>IF(AND($Q$424&gt;0,E427=0,B427=2,C427=0),M427,NA())</f>
        <v>-0.846013892258767</v>
      </c>
      <c r="AE427" s="144">
        <f>IF(AND($Q$424&gt;0,E427=0,B427=2,C427=0),N427,NA())</f>
        <v>-0.337063301493515</v>
      </c>
      <c r="AF427" s="144" t="e">
        <f>IF(AND(E427=1,B427=1),M427,NA())</f>
        <v>#N/A</v>
      </c>
      <c r="AG427" s="144" t="e">
        <f>IF(AND(E427=1,B427=1),N427,NA())</f>
        <v>#N/A</v>
      </c>
      <c r="AH427" s="144" t="e">
        <f>IF(AND(E427=1,B427=2),M427,NA())</f>
        <v>#N/A</v>
      </c>
      <c r="AI427" s="144" t="e">
        <f>IF(AND(E427=1,B427=2),N427,NA())</f>
        <v>#N/A</v>
      </c>
      <c r="AJ427" s="145" t="str">
        <f>A427&amp;IF(E427=1," = Sᵢ",IF(C427=0," (in D)",""))&amp;IF(V427=1,"  ·  g "&amp;T427&amp;"→"&amp;U427,"")&amp;IF(W427=1,"  → D","")</f>
        <v>S₂ (in D)</v>
      </c>
      <c r="AN427" s="146">
        <v>1</v>
      </c>
      <c r="AO427" s="144" t="e">
        <f>IF($I$426=1,$M$426+$H$426/$Z$424*$L$6,NA())</f>
        <v>#N/A</v>
      </c>
      <c r="AP427" s="144" t="e">
        <f>IF($S$426=1,$N$426+$H$426/$Z$424*$M$6,NA())</f>
        <v>#N/A</v>
      </c>
      <c r="AQ427" s="144" t="e">
        <f>IF(AND($I$426=1,$C$426=1,$S$426=0),$N$426+$H$426/$Z$424*$M$6,NA())</f>
        <v>#N/A</v>
      </c>
      <c r="AR427" s="144" t="e">
        <f>IF(AND($I$426=1,$C$426=0),$N$426+$H$426/$Z$424*$M$6,NA())</f>
        <v>#N/A</v>
      </c>
      <c r="AS427" s="144" t="e">
        <f>IF($I$427=1,$M$427+$H$427/$Z$424*$L$6,NA())</f>
        <v>#N/A</v>
      </c>
      <c r="AT427" s="144" t="e">
        <f>IF($S$427=1,$N$427+$H$427/$Z$424*$M$6,NA())</f>
        <v>#N/A</v>
      </c>
      <c r="AU427" s="144" t="e">
        <f>IF(AND($I$427=1,$C$427=1,$S$427=0),$N$427+$H$427/$Z$424*$M$6,NA())</f>
        <v>#N/A</v>
      </c>
      <c r="AV427" s="144" t="e">
        <f>IF(AND($I$427=1,$C$427=0),$N$427+$H$427/$Z$424*$M$6,NA())</f>
        <v>#N/A</v>
      </c>
      <c r="AW427" s="144">
        <f>IF($I$428=1,$M$428+$H$428/$Z$424*$L$6,NA())</f>
        <v>0.851043835876814</v>
      </c>
      <c r="AX427" s="144">
        <f>IF($S$428=1,$N$428+$H$428/$Z$424*$M$6,NA())</f>
        <v>-0.0254868423913891</v>
      </c>
      <c r="AY427" s="144" t="e">
        <f>IF(AND($I$428=1,$C$428=1,$S$428=0),$N$428+$H$428/$Z$424*$M$6,NA())</f>
        <v>#N/A</v>
      </c>
      <c r="AZ427" s="144" t="e">
        <f>IF(AND($I$428=1,$C$428=0),$N$428+$H$428/$Z$424*$M$6,NA())</f>
        <v>#N/A</v>
      </c>
      <c r="BA427" s="144" t="e">
        <f>IF($I$429=1,$M$429+$H$429/$Z$424*$L$6,NA())</f>
        <v>#N/A</v>
      </c>
      <c r="BB427" s="144" t="e">
        <f>IF($S$429=1,$N$429+$H$429/$Z$424*$M$6,NA())</f>
        <v>#N/A</v>
      </c>
      <c r="BC427" s="144" t="e">
        <f>IF(AND($I$429=1,$C$429=1,$S$429=0),$N$429+$H$429/$Z$424*$M$6,NA())</f>
        <v>#N/A</v>
      </c>
      <c r="BD427" s="144" t="e">
        <f>IF(AND($I$429=1,$C$429=0),$N$429+$H$429/$Z$424*$M$6,NA())</f>
        <v>#N/A</v>
      </c>
      <c r="BE427" s="144" t="e">
        <f>IF($I$430=1,$M$430+$H$430/$Z$424*$L$6,NA())</f>
        <v>#N/A</v>
      </c>
      <c r="BF427" s="144" t="e">
        <f>IF($S$430=1,$N$430+$H$430/$Z$424*$M$6,NA())</f>
        <v>#N/A</v>
      </c>
      <c r="BG427" s="144" t="e">
        <f>IF(AND($I$430=1,$C$430=1,$S$430=0),$N$430+$H$430/$Z$424*$M$6,NA())</f>
        <v>#N/A</v>
      </c>
      <c r="BH427" s="144" t="e">
        <f>IF(AND($I$430=1,$C$430=0),$N$430+$H$430/$Z$424*$M$6,NA())</f>
        <v>#N/A</v>
      </c>
      <c r="BI427" s="144">
        <f>IF($I$431=1,$M$431+$H$431/$Z$424*$L$6,NA())</f>
        <v>0.235122146396706</v>
      </c>
      <c r="BJ427" s="144" t="e">
        <f>IF($S$431=1,$N$431+$H$431/$Z$424*$M$6,NA())</f>
        <v>#N/A</v>
      </c>
      <c r="BK427" s="144">
        <f>IF(AND($I$431=1,$C$431=1,$S$431=0),$N$431+$H$431/$Z$424*$M$6,NA())</f>
        <v>0.179728640814758</v>
      </c>
      <c r="BL427" s="144" t="e">
        <f>IF(AND($I$431=1,$C$431=0),$N$431+$H$431/$Z$424*$M$6,NA())</f>
        <v>#N/A</v>
      </c>
      <c r="BM427" s="144">
        <f>IF($I$432=1,$M$432+$H$432/$Z$424*$L$6,NA())</f>
        <v>0.676620831885047</v>
      </c>
      <c r="BN427" s="144" t="e">
        <f>IF($S$432=1,$N$432+$H$432/$Z$424*$M$6,NA())</f>
        <v>#N/A</v>
      </c>
      <c r="BO427" s="144" t="e">
        <f>IF(AND($I$432=1,$C$432=1,$S$432=0),$N$432+$H$432/$Z$424*$M$6,NA())</f>
        <v>#N/A</v>
      </c>
      <c r="BP427" s="144">
        <f>IF(AND($I$432=1,$C$432=0),$N$432+$H$432/$Z$424*$M$6,NA())</f>
        <v>0.428721739997881</v>
      </c>
    </row>
    <row r="428">
      <c r="A428" s="62" t="inlineStr">
        <is>
          <t xml:space="preserve">S₃</t>
        </is>
      </c>
      <c r="B428" s="68">
        <f>'ERDR Iterations'!D$111</f>
        <v>1</v>
      </c>
      <c r="C428" s="146">
        <f>'ERDR Iterations'!D$112</f>
        <v>1</v>
      </c>
      <c r="D428" s="146">
        <f>'ERDR Iterations'!D$118</f>
        <v>1</v>
      </c>
      <c r="E428" s="146">
        <f>IF($Q$424=3,1,0)</f>
        <v>0</v>
      </c>
      <c r="F428" s="146">
        <f>IF(OR($Q$424=0,E428=1),0,INDEX('Sorted Neighbors'!$B$5:$H$11,$Q$424,3))</f>
        <v>3</v>
      </c>
      <c r="G428" s="144">
        <f>IF($Q$424=0,0,INDEX('Zhuravlev Distances'!$B$5:$H$11,$Q$424,3))</f>
        <v>5.2172783643</v>
      </c>
      <c r="H428" s="144">
        <f>'ERDR Characteristics'!$D$7</f>
        <v>5.60708061</v>
      </c>
      <c r="I428" s="146">
        <f>D428</f>
        <v>1</v>
      </c>
      <c r="J428" s="144">
        <f>IF(F428=0,0,PI()/2-(F428-1)*$B$6)</f>
        <v>-0.523598775598299</v>
      </c>
      <c r="K428" s="144">
        <f>G428*COS(J428)</f>
        <v>4.51829560209872</v>
      </c>
      <c r="L428" s="144">
        <f>G428*SIN(J428)</f>
        <v>-2.60863918215</v>
      </c>
      <c r="M428" s="144">
        <f>IF($Q$424=0,NA(),(K428-$T$424)/$Z$424)</f>
        <v>0.32600452325336</v>
      </c>
      <c r="N428" s="144">
        <f>IF($Q$424=0,NA(),(L428-$W$424)/$Z$424)</f>
        <v>-0.166170702203435</v>
      </c>
      <c r="O428" s="144">
        <f>K428-I428*H428</f>
        <v>-1.08878500790128</v>
      </c>
      <c r="P428" s="144">
        <f>K428+I428*H428</f>
        <v>10.1253762120987</v>
      </c>
      <c r="Q428" s="144">
        <f>L428-I428*H428</f>
        <v>-8.21571979215</v>
      </c>
      <c r="R428" s="144">
        <f>L428+I428*H428</f>
        <v>2.99844142785</v>
      </c>
      <c r="S428" s="146">
        <f>'ERDR Iterations'!D$124</f>
        <v>1</v>
      </c>
      <c r="T428" s="146">
        <f>'ERDR Iterations'!D$114</f>
        <v>2</v>
      </c>
      <c r="U428" s="146">
        <f>'ERDR Iterations'!D$127</f>
        <v>2</v>
      </c>
      <c r="V428" s="146">
        <f>'ERDR Iterations'!D$126</f>
        <v>0</v>
      </c>
      <c r="W428" s="146">
        <f>'ERDR Iterations'!D$129</f>
        <v>0</v>
      </c>
      <c r="X428" s="144">
        <f>IF(AND($Q$424&gt;0,E428=0,B428=1,C428=1),M428,NA())</f>
        <v>0.32600452325336</v>
      </c>
      <c r="Y428" s="144">
        <f>IF(AND($Q$424&gt;0,E428=0,B428=1,C428=1),N428,NA())</f>
        <v>-0.166170702203435</v>
      </c>
      <c r="Z428" s="144" t="e">
        <f>IF(AND($Q$424&gt;0,E428=0,B428=1,C428=0),M428,NA())</f>
        <v>#N/A</v>
      </c>
      <c r="AA428" s="144" t="e">
        <f>IF(AND($Q$424&gt;0,E428=0,B428=1,C428=0),N428,NA())</f>
        <v>#N/A</v>
      </c>
      <c r="AB428" s="144" t="e">
        <f>IF(AND($Q$424&gt;0,E428=0,B428=2,C428=1),M428,NA())</f>
        <v>#N/A</v>
      </c>
      <c r="AC428" s="144" t="e">
        <f>IF(AND($Q$424&gt;0,E428=0,B428=2,C428=1),N428,NA())</f>
        <v>#N/A</v>
      </c>
      <c r="AD428" s="144" t="e">
        <f>IF(AND($Q$424&gt;0,E428=0,B428=2,C428=0),M428,NA())</f>
        <v>#N/A</v>
      </c>
      <c r="AE428" s="144" t="e">
        <f>IF(AND($Q$424&gt;0,E428=0,B428=2,C428=0),N428,NA())</f>
        <v>#N/A</v>
      </c>
      <c r="AF428" s="144" t="e">
        <f>IF(AND(E428=1,B428=1),M428,NA())</f>
        <v>#N/A</v>
      </c>
      <c r="AG428" s="144" t="e">
        <f>IF(AND(E428=1,B428=1),N428,NA())</f>
        <v>#N/A</v>
      </c>
      <c r="AH428" s="144" t="e">
        <f>IF(AND(E428=1,B428=2),M428,NA())</f>
        <v>#N/A</v>
      </c>
      <c r="AI428" s="144" t="e">
        <f>IF(AND(E428=1,B428=2),N428,NA())</f>
        <v>#N/A</v>
      </c>
      <c r="AJ428" s="145" t="str">
        <f>A428&amp;IF(E428=1," = Sᵢ",IF(C428=0," (in D)",""))&amp;IF(V428=1,"  ·  g "&amp;T428&amp;"→"&amp;U428,"")&amp;IF(W428=1,"  → D","")</f>
        <v>S₃</v>
      </c>
      <c r="AN428" s="146">
        <v>2</v>
      </c>
      <c r="AO428" s="144" t="e">
        <f>IF($I$426=1,$M$426+$H$426/$Z$424*$L$7,NA())</f>
        <v>#N/A</v>
      </c>
      <c r="AP428" s="144" t="e">
        <f>IF($S$426=1,$N$426+$H$426/$Z$424*$M$7,NA())</f>
        <v>#N/A</v>
      </c>
      <c r="AQ428" s="144" t="e">
        <f>IF(AND($I$426=1,$C$426=1,$S$426=0),$N$426+$H$426/$Z$424*$M$7,NA())</f>
        <v>#N/A</v>
      </c>
      <c r="AR428" s="144" t="e">
        <f>IF(AND($I$426=1,$C$426=0),$N$426+$H$426/$Z$424*$M$7,NA())</f>
        <v>#N/A</v>
      </c>
      <c r="AS428" s="144" t="e">
        <f>IF($I$427=1,$M$427+$H$427/$Z$424*$L$7,NA())</f>
        <v>#N/A</v>
      </c>
      <c r="AT428" s="144" t="e">
        <f>IF($S$427=1,$N$427+$H$427/$Z$424*$M$7,NA())</f>
        <v>#N/A</v>
      </c>
      <c r="AU428" s="144" t="e">
        <f>IF(AND($I$427=1,$C$427=1,$S$427=0),$N$427+$H$427/$Z$424*$M$7,NA())</f>
        <v>#N/A</v>
      </c>
      <c r="AV428" s="144" t="e">
        <f>IF(AND($I$427=1,$C$427=0),$N$427+$H$427/$Z$424*$M$7,NA())</f>
        <v>#N/A</v>
      </c>
      <c r="AW428" s="144">
        <f>IF($I$428=1,$M$428+$H$428/$Z$424*$L$7,NA())</f>
        <v>0.796741892875523</v>
      </c>
      <c r="AX428" s="144">
        <f>IF($S$428=1,$N$428+$H$428/$Z$424*$M$7,NA())</f>
        <v>0.105609644865537</v>
      </c>
      <c r="AY428" s="144" t="e">
        <f>IF(AND($I$428=1,$C$428=1,$S$428=0),$N$428+$H$428/$Z$424*$M$7,NA())</f>
        <v>#N/A</v>
      </c>
      <c r="AZ428" s="144" t="e">
        <f>IF(AND($I$428=1,$C$428=0),$N$428+$H$428/$Z$424*$M$7,NA())</f>
        <v>#N/A</v>
      </c>
      <c r="BA428" s="144" t="e">
        <f>IF($I$429=1,$M$429+$H$429/$Z$424*$L$7,NA())</f>
        <v>#N/A</v>
      </c>
      <c r="BB428" s="144" t="e">
        <f>IF($S$429=1,$N$429+$H$429/$Z$424*$M$7,NA())</f>
        <v>#N/A</v>
      </c>
      <c r="BC428" s="144" t="e">
        <f>IF(AND($I$429=1,$C$429=1,$S$429=0),$N$429+$H$429/$Z$424*$M$7,NA())</f>
        <v>#N/A</v>
      </c>
      <c r="BD428" s="144" t="e">
        <f>IF(AND($I$429=1,$C$429=0),$N$429+$H$429/$Z$424*$M$7,NA())</f>
        <v>#N/A</v>
      </c>
      <c r="BE428" s="144" t="e">
        <f>IF($I$430=1,$M$430+$H$430/$Z$424*$L$7,NA())</f>
        <v>#N/A</v>
      </c>
      <c r="BF428" s="144" t="e">
        <f>IF($S$430=1,$N$430+$H$430/$Z$424*$M$7,NA())</f>
        <v>#N/A</v>
      </c>
      <c r="BG428" s="144" t="e">
        <f>IF(AND($I$430=1,$C$430=1,$S$430=0),$N$430+$H$430/$Z$424*$M$7,NA())</f>
        <v>#N/A</v>
      </c>
      <c r="BH428" s="144" t="e">
        <f>IF(AND($I$430=1,$C$430=0),$N$430+$H$430/$Z$424*$M$7,NA())</f>
        <v>#N/A</v>
      </c>
      <c r="BI428" s="144">
        <f>IF($I$431=1,$M$431+$H$431/$Z$424*$L$7,NA())</f>
        <v>0.199220441907931</v>
      </c>
      <c r="BJ428" s="144" t="e">
        <f>IF($S$431=1,$N$431+$H$431/$Z$424*$M$7,NA())</f>
        <v>#N/A</v>
      </c>
      <c r="BK428" s="144">
        <f>IF(AND($I$431=1,$C$431=1,$S$431=0),$N$431+$H$431/$Z$424*$M$7,NA())</f>
        <v>0.266403022703868</v>
      </c>
      <c r="BL428" s="144" t="e">
        <f>IF(AND($I$431=1,$C$431=0),$N$431+$H$431/$Z$424*$M$7,NA())</f>
        <v>#N/A</v>
      </c>
      <c r="BM428" s="144">
        <f>IF($I$432=1,$M$432+$H$432/$Z$424*$L$7,NA())</f>
        <v>0.638744813604896</v>
      </c>
      <c r="BN428" s="144" t="e">
        <f>IF($S$432=1,$N$432+$H$432/$Z$424*$M$7,NA())</f>
        <v>#N/A</v>
      </c>
      <c r="BO428" s="144" t="e">
        <f>IF(AND($I$432=1,$C$432=1,$S$432=0),$N$432+$H$432/$Z$424*$M$7,NA())</f>
        <v>#N/A</v>
      </c>
      <c r="BP428" s="144">
        <f>IF(AND($I$432=1,$C$432=0),$N$432+$H$432/$Z$424*$M$7,NA())</f>
        <v>0.520162537018512</v>
      </c>
    </row>
    <row r="429">
      <c r="A429" s="62" t="inlineStr">
        <is>
          <t xml:space="preserve">S₄</t>
        </is>
      </c>
      <c r="B429" s="68">
        <f>'ERDR Iterations'!E$111</f>
        <v>2</v>
      </c>
      <c r="C429" s="146">
        <f>'ERDR Iterations'!E$112</f>
        <v>1</v>
      </c>
      <c r="D429" s="146">
        <f>'ERDR Iterations'!E$118</f>
        <v>0</v>
      </c>
      <c r="E429" s="146">
        <f>IF($Q$424=4,1,0)</f>
        <v>0</v>
      </c>
      <c r="F429" s="146">
        <f>IF(OR($Q$424=0,E429=1),0,INDEX('Sorted Neighbors'!$B$5:$H$11,$Q$424,4))</f>
        <v>1</v>
      </c>
      <c r="G429" s="144">
        <f>IF($Q$424=0,0,INDEX('Zhuravlev Distances'!$B$5:$H$11,$Q$424,4))</f>
        <v>3.7071187508</v>
      </c>
      <c r="H429" s="144">
        <f>'ERDR Characteristics'!$D$8</f>
        <v>3.7071187508</v>
      </c>
      <c r="I429" s="146">
        <f>D429</f>
        <v>0</v>
      </c>
      <c r="J429" s="144">
        <f>IF(F429=0,0,PI()/2-(F429-1)*$B$6)</f>
        <v>1.5707963267949</v>
      </c>
      <c r="K429" s="144">
        <f>G429*COS(J429)</f>
        <v>2.26995555611318e-16</v>
      </c>
      <c r="L429" s="144">
        <f>G429*SIN(J429)</f>
        <v>3.7071187508</v>
      </c>
      <c r="M429" s="144">
        <f>IF($Q$424=0,NA(),(K429-$T$424)/$Z$424)</f>
        <v>-0.11200735219874</v>
      </c>
      <c r="N429" s="144">
        <f>IF($Q$424=0,NA(),(L429-$W$424)/$Z$424)</f>
        <v>0.446090473410648</v>
      </c>
      <c r="O429" s="144">
        <f>K429-I429*H429</f>
        <v>2.26995555611318e-16</v>
      </c>
      <c r="P429" s="144">
        <f>K429+I429*H429</f>
        <v>2.26995555611318e-16</v>
      </c>
      <c r="Q429" s="144">
        <f>L429-I429*H429</f>
        <v>3.7071187508</v>
      </c>
      <c r="R429" s="144">
        <f>L429+I429*H429</f>
        <v>3.7071187508</v>
      </c>
      <c r="S429" s="146">
        <f>'ERDR Iterations'!E$124</f>
        <v>0</v>
      </c>
      <c r="T429" s="146">
        <f>'ERDR Iterations'!E$114</f>
        <v>1</v>
      </c>
      <c r="U429" s="146">
        <f>'ERDR Iterations'!E$127</f>
        <v>1</v>
      </c>
      <c r="V429" s="146">
        <f>'ERDR Iterations'!E$126</f>
        <v>0</v>
      </c>
      <c r="W429" s="146">
        <f>'ERDR Iterations'!E$129</f>
        <v>0</v>
      </c>
      <c r="X429" s="144" t="e">
        <f>IF(AND($Q$424&gt;0,E429=0,B429=1,C429=1),M429,NA())</f>
        <v>#N/A</v>
      </c>
      <c r="Y429" s="144" t="e">
        <f>IF(AND($Q$424&gt;0,E429=0,B429=1,C429=1),N429,NA())</f>
        <v>#N/A</v>
      </c>
      <c r="Z429" s="144" t="e">
        <f>IF(AND($Q$424&gt;0,E429=0,B429=1,C429=0),M429,NA())</f>
        <v>#N/A</v>
      </c>
      <c r="AA429" s="144" t="e">
        <f>IF(AND($Q$424&gt;0,E429=0,B429=1,C429=0),N429,NA())</f>
        <v>#N/A</v>
      </c>
      <c r="AB429" s="144">
        <f>IF(AND($Q$424&gt;0,E429=0,B429=2,C429=1),M429,NA())</f>
        <v>-0.11200735219874</v>
      </c>
      <c r="AC429" s="144">
        <f>IF(AND($Q$424&gt;0,E429=0,B429=2,C429=1),N429,NA())</f>
        <v>0.446090473410648</v>
      </c>
      <c r="AD429" s="144" t="e">
        <f>IF(AND($Q$424&gt;0,E429=0,B429=2,C429=0),M429,NA())</f>
        <v>#N/A</v>
      </c>
      <c r="AE429" s="144" t="e">
        <f>IF(AND($Q$424&gt;0,E429=0,B429=2,C429=0),N429,NA())</f>
        <v>#N/A</v>
      </c>
      <c r="AF429" s="144" t="e">
        <f>IF(AND(E429=1,B429=1),M429,NA())</f>
        <v>#N/A</v>
      </c>
      <c r="AG429" s="144" t="e">
        <f>IF(AND(E429=1,B429=1),N429,NA())</f>
        <v>#N/A</v>
      </c>
      <c r="AH429" s="144" t="e">
        <f>IF(AND(E429=1,B429=2),M429,NA())</f>
        <v>#N/A</v>
      </c>
      <c r="AI429" s="144" t="e">
        <f>IF(AND(E429=1,B429=2),N429,NA())</f>
        <v>#N/A</v>
      </c>
      <c r="AJ429" s="145" t="str">
        <f>A429&amp;IF(E429=1," = Sᵢ",IF(C429=0," (in D)",""))&amp;IF(V429=1,"  ·  g "&amp;T429&amp;"→"&amp;U429,"")&amp;IF(W429=1,"  → D","")</f>
        <v>S₄</v>
      </c>
      <c r="AN429" s="146">
        <v>3</v>
      </c>
      <c r="AO429" s="144" t="e">
        <f>IF($I$426=1,$M$426+$H$426/$Z$424*$L$8,NA())</f>
        <v>#N/A</v>
      </c>
      <c r="AP429" s="144" t="e">
        <f>IF($S$426=1,$N$426+$H$426/$Z$424*$M$8,NA())</f>
        <v>#N/A</v>
      </c>
      <c r="AQ429" s="144" t="e">
        <f>IF(AND($I$426=1,$C$426=1,$S$426=0),$N$426+$H$426/$Z$424*$M$8,NA())</f>
        <v>#N/A</v>
      </c>
      <c r="AR429" s="144" t="e">
        <f>IF(AND($I$426=1,$C$426=0),$N$426+$H$426/$Z$424*$M$8,NA())</f>
        <v>#N/A</v>
      </c>
      <c r="AS429" s="144" t="e">
        <f>IF($I$427=1,$M$427+$H$427/$Z$424*$L$8,NA())</f>
        <v>#N/A</v>
      </c>
      <c r="AT429" s="144" t="e">
        <f>IF($S$427=1,$N$427+$H$427/$Z$424*$M$8,NA())</f>
        <v>#N/A</v>
      </c>
      <c r="AU429" s="144" t="e">
        <f>IF(AND($I$427=1,$C$427=1,$S$427=0),$N$427+$H$427/$Z$424*$M$8,NA())</f>
        <v>#N/A</v>
      </c>
      <c r="AV429" s="144" t="e">
        <f>IF(AND($I$427=1,$C$427=0),$N$427+$H$427/$Z$424*$M$8,NA())</f>
        <v>#N/A</v>
      </c>
      <c r="AW429" s="144">
        <f>IF($I$428=1,$M$428+$H$428/$Z$424*$L$8,NA())</f>
        <v>0.710359976064767</v>
      </c>
      <c r="AX429" s="144">
        <f>IF($S$428=1,$N$428+$H$428/$Z$424*$M$8,NA())</f>
        <v>0.218184750607972</v>
      </c>
      <c r="AY429" s="144" t="e">
        <f>IF(AND($I$428=1,$C$428=1,$S$428=0),$N$428+$H$428/$Z$424*$M$8,NA())</f>
        <v>#N/A</v>
      </c>
      <c r="AZ429" s="144" t="e">
        <f>IF(AND($I$428=1,$C$428=0),$N$428+$H$428/$Z$424*$M$8,NA())</f>
        <v>#N/A</v>
      </c>
      <c r="BA429" s="144" t="e">
        <f>IF($I$429=1,$M$429+$H$429/$Z$424*$L$8,NA())</f>
        <v>#N/A</v>
      </c>
      <c r="BB429" s="144" t="e">
        <f>IF($S$429=1,$N$429+$H$429/$Z$424*$M$8,NA())</f>
        <v>#N/A</v>
      </c>
      <c r="BC429" s="144" t="e">
        <f>IF(AND($I$429=1,$C$429=1,$S$429=0),$N$429+$H$429/$Z$424*$M$8,NA())</f>
        <v>#N/A</v>
      </c>
      <c r="BD429" s="144" t="e">
        <f>IF(AND($I$429=1,$C$429=0),$N$429+$H$429/$Z$424*$M$8,NA())</f>
        <v>#N/A</v>
      </c>
      <c r="BE429" s="144" t="e">
        <f>IF($I$430=1,$M$430+$H$430/$Z$424*$L$8,NA())</f>
        <v>#N/A</v>
      </c>
      <c r="BF429" s="144" t="e">
        <f>IF($S$430=1,$N$430+$H$430/$Z$424*$M$8,NA())</f>
        <v>#N/A</v>
      </c>
      <c r="BG429" s="144" t="e">
        <f>IF(AND($I$430=1,$C$430=1,$S$430=0),$N$430+$H$430/$Z$424*$M$8,NA())</f>
        <v>#N/A</v>
      </c>
      <c r="BH429" s="144" t="e">
        <f>IF(AND($I$430=1,$C$430=0),$N$430+$H$430/$Z$424*$M$8,NA())</f>
        <v>#N/A</v>
      </c>
      <c r="BI429" s="144">
        <f>IF($I$431=1,$M$431+$H$431/$Z$424*$L$8,NA())</f>
        <v>0.142109077579035</v>
      </c>
      <c r="BJ429" s="144" t="e">
        <f>IF($S$431=1,$N$431+$H$431/$Z$424*$M$8,NA())</f>
        <v>#N/A</v>
      </c>
      <c r="BK429" s="144">
        <f>IF(AND($I$431=1,$C$431=1,$S$431=0),$N$431+$H$431/$Z$424*$M$8,NA())</f>
        <v>0.340832001774863</v>
      </c>
      <c r="BL429" s="144" t="e">
        <f>IF(AND($I$431=1,$C$431=0),$N$431+$H$431/$Z$424*$M$8,NA())</f>
        <v>#N/A</v>
      </c>
      <c r="BM429" s="144">
        <f>IF($I$432=1,$M$432+$H$432/$Z$424*$L$8,NA())</f>
        <v>0.578492769582809</v>
      </c>
      <c r="BN429" s="144" t="e">
        <f>IF($S$432=1,$N$432+$H$432/$Z$424*$M$8,NA())</f>
        <v>#N/A</v>
      </c>
      <c r="BO429" s="144" t="e">
        <f>IF(AND($I$432=1,$C$432=1,$S$432=0),$N$432+$H$432/$Z$424*$M$8,NA())</f>
        <v>#N/A</v>
      </c>
      <c r="BP429" s="144">
        <f>IF(AND($I$432=1,$C$432=0),$N$432+$H$432/$Z$424*$M$8,NA())</f>
        <v>0.598684529553641</v>
      </c>
    </row>
    <row r="430">
      <c r="A430" s="62" t="inlineStr">
        <is>
          <t xml:space="preserve">S₅</t>
        </is>
      </c>
      <c r="B430" s="68">
        <f>'ERDR Iterations'!F$111</f>
        <v>2</v>
      </c>
      <c r="C430" s="146">
        <f>'ERDR Iterations'!F$112</f>
        <v>0</v>
      </c>
      <c r="D430" s="146">
        <f>'ERDR Iterations'!F$118</f>
        <v>0</v>
      </c>
      <c r="E430" s="146">
        <f>IF($Q$424=5,1,0)</f>
        <v>0</v>
      </c>
      <c r="F430" s="146">
        <f>IF(OR($Q$424=0,E430=1),0,INDEX('Sorted Neighbors'!$B$5:$H$11,$Q$424,5))</f>
        <v>6</v>
      </c>
      <c r="G430" s="144">
        <f>IF($Q$424=0,0,INDEX('Zhuravlev Distances'!$B$5:$H$11,$Q$424,5))</f>
        <v>9.0234774016</v>
      </c>
      <c r="H430" s="144">
        <f>'ERDR Characteristics'!$D$9</f>
        <v>7.1117040273</v>
      </c>
      <c r="I430" s="146">
        <f>D430</f>
        <v>0</v>
      </c>
      <c r="J430" s="144">
        <f>IF(F430=0,0,PI()/2-(F430-1)*$B$6)</f>
        <v>-3.66519142918809</v>
      </c>
      <c r="K430" s="144">
        <f>G430*COS(J430)</f>
        <v>-7.8145606602604</v>
      </c>
      <c r="L430" s="144">
        <f>G430*SIN(J430)</f>
        <v>4.51173870079999</v>
      </c>
      <c r="M430" s="144">
        <f>IF($Q$424=0,NA(),(K430-$T$424)/$Z$424)</f>
        <v>-0.869565217391304</v>
      </c>
      <c r="N430" s="144">
        <f>IF($Q$424=0,NA(),(L430-$W$424)/$Z$424)</f>
        <v>0.524091809392732</v>
      </c>
      <c r="O430" s="144">
        <f>K430-I430*H430</f>
        <v>-7.8145606602604</v>
      </c>
      <c r="P430" s="144">
        <f>K430+I430*H430</f>
        <v>-7.8145606602604</v>
      </c>
      <c r="Q430" s="144">
        <f>L430-I430*H430</f>
        <v>4.51173870079999</v>
      </c>
      <c r="R430" s="144">
        <f>L430+I430*H430</f>
        <v>4.51173870079999</v>
      </c>
      <c r="S430" s="146">
        <f>'ERDR Iterations'!F$124</f>
        <v>0</v>
      </c>
      <c r="T430" s="146">
        <f>'ERDR Iterations'!F$114</f>
        <v>1</v>
      </c>
      <c r="U430" s="146">
        <f>'ERDR Iterations'!F$127</f>
        <v>1</v>
      </c>
      <c r="V430" s="146">
        <f>'ERDR Iterations'!F$126</f>
        <v>0</v>
      </c>
      <c r="W430" s="146">
        <f>'ERDR Iterations'!F$129</f>
        <v>0</v>
      </c>
      <c r="X430" s="144" t="e">
        <f>IF(AND($Q$424&gt;0,E430=0,B430=1,C430=1),M430,NA())</f>
        <v>#N/A</v>
      </c>
      <c r="Y430" s="144" t="e">
        <f>IF(AND($Q$424&gt;0,E430=0,B430=1,C430=1),N430,NA())</f>
        <v>#N/A</v>
      </c>
      <c r="Z430" s="144" t="e">
        <f>IF(AND($Q$424&gt;0,E430=0,B430=1,C430=0),M430,NA())</f>
        <v>#N/A</v>
      </c>
      <c r="AA430" s="144" t="e">
        <f>IF(AND($Q$424&gt;0,E430=0,B430=1,C430=0),N430,NA())</f>
        <v>#N/A</v>
      </c>
      <c r="AB430" s="144" t="e">
        <f>IF(AND($Q$424&gt;0,E430=0,B430=2,C430=1),M430,NA())</f>
        <v>#N/A</v>
      </c>
      <c r="AC430" s="144" t="e">
        <f>IF(AND($Q$424&gt;0,E430=0,B430=2,C430=1),N430,NA())</f>
        <v>#N/A</v>
      </c>
      <c r="AD430" s="144">
        <f>IF(AND($Q$424&gt;0,E430=0,B430=2,C430=0),M430,NA())</f>
        <v>-0.869565217391304</v>
      </c>
      <c r="AE430" s="144">
        <f>IF(AND($Q$424&gt;0,E430=0,B430=2,C430=0),N430,NA())</f>
        <v>0.524091809392732</v>
      </c>
      <c r="AF430" s="144" t="e">
        <f>IF(AND(E430=1,B430=1),M430,NA())</f>
        <v>#N/A</v>
      </c>
      <c r="AG430" s="144" t="e">
        <f>IF(AND(E430=1,B430=1),N430,NA())</f>
        <v>#N/A</v>
      </c>
      <c r="AH430" s="144" t="e">
        <f>IF(AND(E430=1,B430=2),M430,NA())</f>
        <v>#N/A</v>
      </c>
      <c r="AI430" s="144" t="e">
        <f>IF(AND(E430=1,B430=2),N430,NA())</f>
        <v>#N/A</v>
      </c>
      <c r="AJ430" s="145" t="str">
        <f>A430&amp;IF(E430=1," = Sᵢ",IF(C430=0," (in D)",""))&amp;IF(V430=1,"  ·  g "&amp;T430&amp;"→"&amp;U430,"")&amp;IF(W430=1,"  → D","")</f>
        <v>S₅ (in D)</v>
      </c>
      <c r="AN430" s="146">
        <v>4</v>
      </c>
      <c r="AO430" s="144" t="e">
        <f>IF($I$426=1,$M$426+$H$426/$Z$424*$L$9,NA())</f>
        <v>#N/A</v>
      </c>
      <c r="AP430" s="144" t="e">
        <f>IF($S$426=1,$N$426+$H$426/$Z$424*$M$9,NA())</f>
        <v>#N/A</v>
      </c>
      <c r="AQ430" s="144" t="e">
        <f>IF(AND($I$426=1,$C$426=1,$S$426=0),$N$426+$H$426/$Z$424*$M$9,NA())</f>
        <v>#N/A</v>
      </c>
      <c r="AR430" s="144" t="e">
        <f>IF(AND($I$426=1,$C$426=0),$N$426+$H$426/$Z$424*$M$9,NA())</f>
        <v>#N/A</v>
      </c>
      <c r="AS430" s="144" t="e">
        <f>IF($I$427=1,$M$427+$H$427/$Z$424*$L$9,NA())</f>
        <v>#N/A</v>
      </c>
      <c r="AT430" s="144" t="e">
        <f>IF($S$427=1,$N$427+$H$427/$Z$424*$M$9,NA())</f>
        <v>#N/A</v>
      </c>
      <c r="AU430" s="144" t="e">
        <f>IF(AND($I$427=1,$C$427=1,$S$427=0),$N$427+$H$427/$Z$424*$M$9,NA())</f>
        <v>#N/A</v>
      </c>
      <c r="AV430" s="144" t="e">
        <f>IF(AND($I$427=1,$C$427=0),$N$427+$H$427/$Z$424*$M$9,NA())</f>
        <v>#N/A</v>
      </c>
      <c r="AW430" s="144">
        <f>IF($I$428=1,$M$428+$H$428/$Z$424*$L$9,NA())</f>
        <v>0.597784870322332</v>
      </c>
      <c r="AX430" s="144">
        <f>IF($S$428=1,$N$428+$H$428/$Z$424*$M$9,NA())</f>
        <v>0.304566667418728</v>
      </c>
      <c r="AY430" s="144" t="e">
        <f>IF(AND($I$428=1,$C$428=1,$S$428=0),$N$428+$H$428/$Z$424*$M$9,NA())</f>
        <v>#N/A</v>
      </c>
      <c r="AZ430" s="144" t="e">
        <f>IF(AND($I$428=1,$C$428=0),$N$428+$H$428/$Z$424*$M$9,NA())</f>
        <v>#N/A</v>
      </c>
      <c r="BA430" s="144" t="e">
        <f>IF($I$429=1,$M$429+$H$429/$Z$424*$L$9,NA())</f>
        <v>#N/A</v>
      </c>
      <c r="BB430" s="144" t="e">
        <f>IF($S$429=1,$N$429+$H$429/$Z$424*$M$9,NA())</f>
        <v>#N/A</v>
      </c>
      <c r="BC430" s="144" t="e">
        <f>IF(AND($I$429=1,$C$429=1,$S$429=0),$N$429+$H$429/$Z$424*$M$9,NA())</f>
        <v>#N/A</v>
      </c>
      <c r="BD430" s="144" t="e">
        <f>IF(AND($I$429=1,$C$429=0),$N$429+$H$429/$Z$424*$M$9,NA())</f>
        <v>#N/A</v>
      </c>
      <c r="BE430" s="144" t="e">
        <f>IF($I$430=1,$M$430+$H$430/$Z$424*$L$9,NA())</f>
        <v>#N/A</v>
      </c>
      <c r="BF430" s="144" t="e">
        <f>IF($S$430=1,$N$430+$H$430/$Z$424*$M$9,NA())</f>
        <v>#N/A</v>
      </c>
      <c r="BG430" s="144" t="e">
        <f>IF(AND($I$430=1,$C$430=1,$S$430=0),$N$430+$H$430/$Z$424*$M$9,NA())</f>
        <v>#N/A</v>
      </c>
      <c r="BH430" s="144" t="e">
        <f>IF(AND($I$430=1,$C$430=0),$N$430+$H$430/$Z$424*$M$9,NA())</f>
        <v>#N/A</v>
      </c>
      <c r="BI430" s="144">
        <f>IF($I$431=1,$M$431+$H$431/$Z$424*$L$9,NA())</f>
        <v>0.06768009850804</v>
      </c>
      <c r="BJ430" s="144" t="e">
        <f>IF($S$431=1,$N$431+$H$431/$Z$424*$M$9,NA())</f>
        <v>#N/A</v>
      </c>
      <c r="BK430" s="144">
        <f>IF(AND($I$431=1,$C$431=1,$S$431=0),$N$431+$H$431/$Z$424*$M$9,NA())</f>
        <v>0.397943366103759</v>
      </c>
      <c r="BL430" s="144" t="e">
        <f>IF(AND($I$431=1,$C$431=0),$N$431+$H$431/$Z$424*$M$9,NA())</f>
        <v>#N/A</v>
      </c>
      <c r="BM430" s="144">
        <f>IF($I$432=1,$M$432+$H$432/$Z$424*$L$9,NA())</f>
        <v>0.499970777047679</v>
      </c>
      <c r="BN430" s="144" t="e">
        <f>IF($S$432=1,$N$432+$H$432/$Z$424*$M$9,NA())</f>
        <v>#N/A</v>
      </c>
      <c r="BO430" s="144" t="e">
        <f>IF(AND($I$432=1,$C$432=1,$S$432=0),$N$432+$H$432/$Z$424*$M$9,NA())</f>
        <v>#N/A</v>
      </c>
      <c r="BP430" s="144">
        <f>IF(AND($I$432=1,$C$432=0),$N$432+$H$432/$Z$424*$M$9,NA())</f>
        <v>0.658936573575728</v>
      </c>
    </row>
    <row r="431">
      <c r="A431" s="62" t="inlineStr">
        <is>
          <t xml:space="preserve">S₆</t>
        </is>
      </c>
      <c r="B431" s="68">
        <f>'ERDR Iterations'!G$111</f>
        <v>1</v>
      </c>
      <c r="C431" s="146">
        <f>'ERDR Iterations'!G$112</f>
        <v>1</v>
      </c>
      <c r="D431" s="146">
        <f>'ERDR Iterations'!G$118</f>
        <v>1</v>
      </c>
      <c r="E431" s="146">
        <f>IF($Q$424=6,1,0)</f>
        <v>1</v>
      </c>
      <c r="F431" s="146">
        <f>IF(OR($Q$424=0,E431=1),0,INDEX('Sorted Neighbors'!$B$5:$H$11,$Q$424,6))</f>
        <v>0</v>
      </c>
      <c r="G431" s="144">
        <f>IF($Q$424=0,0,INDEX('Zhuravlev Distances'!$B$5:$H$11,$Q$424,6))</f>
        <v>0</v>
      </c>
      <c r="H431" s="144">
        <f>'ERDR Characteristics'!$D$10</f>
        <v>3.7071187508</v>
      </c>
      <c r="I431" s="146">
        <f>D431</f>
        <v>1</v>
      </c>
      <c r="J431" s="144">
        <f>IF(F431=0,0,PI()/2-(F431-1)*$B$6)</f>
        <v>0</v>
      </c>
      <c r="K431" s="144">
        <f>G431*COS(J431)</f>
        <v>0</v>
      </c>
      <c r="L431" s="144">
        <f>G431*SIN(J431)</f>
        <v>0</v>
      </c>
      <c r="M431" s="144">
        <f>IF($Q$424=0,NA(),(K431-$T$424)/$Z$424)</f>
        <v>-0.11200735219874</v>
      </c>
      <c r="N431" s="144">
        <f>IF($Q$424=0,NA(),(L431-$W$424)/$Z$424)</f>
        <v>0.0867155719970874</v>
      </c>
      <c r="O431" s="144">
        <f>K431-I431*H431</f>
        <v>-3.7071187508</v>
      </c>
      <c r="P431" s="144">
        <f>K431+I431*H431</f>
        <v>3.7071187508</v>
      </c>
      <c r="Q431" s="144">
        <f>L431-I431*H431</f>
        <v>-3.7071187508</v>
      </c>
      <c r="R431" s="144">
        <f>L431+I431*H431</f>
        <v>3.7071187508</v>
      </c>
      <c r="S431" s="146">
        <f>'ERDR Iterations'!G$124</f>
        <v>0</v>
      </c>
      <c r="T431" s="146">
        <f>'ERDR Iterations'!G$114</f>
        <v>1</v>
      </c>
      <c r="U431" s="146">
        <f>'ERDR Iterations'!G$127</f>
        <v>1</v>
      </c>
      <c r="V431" s="146">
        <f>'ERDR Iterations'!G$126</f>
        <v>0</v>
      </c>
      <c r="W431" s="146">
        <f>'ERDR Iterations'!G$129</f>
        <v>1</v>
      </c>
      <c r="X431" s="144" t="e">
        <f>IF(AND($Q$424&gt;0,E431=0,B431=1,C431=1),M431,NA())</f>
        <v>#N/A</v>
      </c>
      <c r="Y431" s="144" t="e">
        <f>IF(AND($Q$424&gt;0,E431=0,B431=1,C431=1),N431,NA())</f>
        <v>#N/A</v>
      </c>
      <c r="Z431" s="144" t="e">
        <f>IF(AND($Q$424&gt;0,E431=0,B431=1,C431=0),M431,NA())</f>
        <v>#N/A</v>
      </c>
      <c r="AA431" s="144" t="e">
        <f>IF(AND($Q$424&gt;0,E431=0,B431=1,C431=0),N431,NA())</f>
        <v>#N/A</v>
      </c>
      <c r="AB431" s="144" t="e">
        <f>IF(AND($Q$424&gt;0,E431=0,B431=2,C431=1),M431,NA())</f>
        <v>#N/A</v>
      </c>
      <c r="AC431" s="144" t="e">
        <f>IF(AND($Q$424&gt;0,E431=0,B431=2,C431=1),N431,NA())</f>
        <v>#N/A</v>
      </c>
      <c r="AD431" s="144" t="e">
        <f>IF(AND($Q$424&gt;0,E431=0,B431=2,C431=0),M431,NA())</f>
        <v>#N/A</v>
      </c>
      <c r="AE431" s="144" t="e">
        <f>IF(AND($Q$424&gt;0,E431=0,B431=2,C431=0),N431,NA())</f>
        <v>#N/A</v>
      </c>
      <c r="AF431" s="144">
        <f>IF(AND(E431=1,B431=1),M431,NA())</f>
        <v>-0.11200735219874</v>
      </c>
      <c r="AG431" s="144">
        <f>IF(AND(E431=1,B431=1),N431,NA())</f>
        <v>0.0867155719970874</v>
      </c>
      <c r="AH431" s="144" t="e">
        <f>IF(AND(E431=1,B431=2),M431,NA())</f>
        <v>#N/A</v>
      </c>
      <c r="AI431" s="144" t="e">
        <f>IF(AND(E431=1,B431=2),N431,NA())</f>
        <v>#N/A</v>
      </c>
      <c r="AJ431" s="145" t="str">
        <f>A431&amp;IF(E431=1," = Sᵢ",IF(C431=0," (in D)",""))&amp;IF(V431=1,"  ·  g "&amp;T431&amp;"→"&amp;U431,"")&amp;IF(W431=1,"  → D","")</f>
        <v>S₆ = Sᵢ  → D</v>
      </c>
      <c r="AN431" s="146">
        <v>5</v>
      </c>
      <c r="AO431" s="144" t="e">
        <f>IF($I$426=1,$M$426+$H$426/$Z$424*$L$10,NA())</f>
        <v>#N/A</v>
      </c>
      <c r="AP431" s="144" t="e">
        <f>IF($S$426=1,$N$426+$H$426/$Z$424*$M$10,NA())</f>
        <v>#N/A</v>
      </c>
      <c r="AQ431" s="144" t="e">
        <f>IF(AND($I$426=1,$C$426=1,$S$426=0),$N$426+$H$426/$Z$424*$M$10,NA())</f>
        <v>#N/A</v>
      </c>
      <c r="AR431" s="144" t="e">
        <f>IF(AND($I$426=1,$C$426=0),$N$426+$H$426/$Z$424*$M$10,NA())</f>
        <v>#N/A</v>
      </c>
      <c r="AS431" s="144" t="e">
        <f>IF($I$427=1,$M$427+$H$427/$Z$424*$L$10,NA())</f>
        <v>#N/A</v>
      </c>
      <c r="AT431" s="144" t="e">
        <f>IF($S$427=1,$N$427+$H$427/$Z$424*$M$10,NA())</f>
        <v>#N/A</v>
      </c>
      <c r="AU431" s="144" t="e">
        <f>IF(AND($I$427=1,$C$427=1,$S$427=0),$N$427+$H$427/$Z$424*$M$10,NA())</f>
        <v>#N/A</v>
      </c>
      <c r="AV431" s="144" t="e">
        <f>IF(AND($I$427=1,$C$427=0),$N$427+$H$427/$Z$424*$M$10,NA())</f>
        <v>#N/A</v>
      </c>
      <c r="AW431" s="144">
        <f>IF($I$428=1,$M$428+$H$428/$Z$424*$L$10,NA())</f>
        <v>0.466688383065406</v>
      </c>
      <c r="AX431" s="144">
        <f>IF($S$428=1,$N$428+$H$428/$Z$424*$M$10,NA())</f>
        <v>0.358868610420019</v>
      </c>
      <c r="AY431" s="144" t="e">
        <f>IF(AND($I$428=1,$C$428=1,$S$428=0),$N$428+$H$428/$Z$424*$M$10,NA())</f>
        <v>#N/A</v>
      </c>
      <c r="AZ431" s="144" t="e">
        <f>IF(AND($I$428=1,$C$428=0),$N$428+$H$428/$Z$424*$M$10,NA())</f>
        <v>#N/A</v>
      </c>
      <c r="BA431" s="144" t="e">
        <f>IF($I$429=1,$M$429+$H$429/$Z$424*$L$10,NA())</f>
        <v>#N/A</v>
      </c>
      <c r="BB431" s="144" t="e">
        <f>IF($S$429=1,$N$429+$H$429/$Z$424*$M$10,NA())</f>
        <v>#N/A</v>
      </c>
      <c r="BC431" s="144" t="e">
        <f>IF(AND($I$429=1,$C$429=1,$S$429=0),$N$429+$H$429/$Z$424*$M$10,NA())</f>
        <v>#N/A</v>
      </c>
      <c r="BD431" s="144" t="e">
        <f>IF(AND($I$429=1,$C$429=0),$N$429+$H$429/$Z$424*$M$10,NA())</f>
        <v>#N/A</v>
      </c>
      <c r="BE431" s="144" t="e">
        <f>IF($I$430=1,$M$430+$H$430/$Z$424*$L$10,NA())</f>
        <v>#N/A</v>
      </c>
      <c r="BF431" s="144" t="e">
        <f>IF($S$430=1,$N$430+$H$430/$Z$424*$M$10,NA())</f>
        <v>#N/A</v>
      </c>
      <c r="BG431" s="144" t="e">
        <f>IF(AND($I$430=1,$C$430=1,$S$430=0),$N$430+$H$430/$Z$424*$M$10,NA())</f>
        <v>#N/A</v>
      </c>
      <c r="BH431" s="144" t="e">
        <f>IF(AND($I$430=1,$C$430=0),$N$430+$H$430/$Z$424*$M$10,NA())</f>
        <v>#N/A</v>
      </c>
      <c r="BI431" s="144">
        <f>IF($I$431=1,$M$431+$H$431/$Z$424*$L$10,NA())</f>
        <v>-0.0189942833810701</v>
      </c>
      <c r="BJ431" s="144" t="e">
        <f>IF($S$431=1,$N$431+$H$431/$Z$424*$M$10,NA())</f>
        <v>#N/A</v>
      </c>
      <c r="BK431" s="144">
        <f>IF(AND($I$431=1,$C$431=1,$S$431=0),$N$431+$H$431/$Z$424*$M$10,NA())</f>
        <v>0.433845070592534</v>
      </c>
      <c r="BL431" s="144" t="e">
        <f>IF(AND($I$431=1,$C$431=0),$N$431+$H$431/$Z$424*$M$10,NA())</f>
        <v>#N/A</v>
      </c>
      <c r="BM431" s="144">
        <f>IF($I$432=1,$M$432+$H$432/$Z$424*$L$10,NA())</f>
        <v>0.408529980027048</v>
      </c>
      <c r="BN431" s="144" t="e">
        <f>IF($S$432=1,$N$432+$H$432/$Z$424*$M$10,NA())</f>
        <v>#N/A</v>
      </c>
      <c r="BO431" s="144" t="e">
        <f>IF(AND($I$432=1,$C$432=1,$S$432=0),$N$432+$H$432/$Z$424*$M$10,NA())</f>
        <v>#N/A</v>
      </c>
      <c r="BP431" s="144">
        <f>IF(AND($I$432=1,$C$432=0),$N$432+$H$432/$Z$424*$M$10,NA())</f>
        <v>0.696812591855879</v>
      </c>
    </row>
    <row r="432">
      <c r="A432" s="62" t="inlineStr">
        <is>
          <t xml:space="preserve">S₇</t>
        </is>
      </c>
      <c r="B432" s="68">
        <f>'ERDR Iterations'!H$111</f>
        <v>1</v>
      </c>
      <c r="C432" s="146">
        <f>'ERDR Iterations'!H$112</f>
        <v>0</v>
      </c>
      <c r="D432" s="146">
        <f>'ERDR Iterations'!H$118</f>
        <v>1</v>
      </c>
      <c r="E432" s="146">
        <f>IF($Q$424=7,1,0)</f>
        <v>0</v>
      </c>
      <c r="F432" s="146">
        <f>IF(OR($Q$424=0,E432=1),0,INDEX('Sorted Neighbors'!$B$5:$H$11,$Q$424,7))</f>
        <v>2</v>
      </c>
      <c r="G432" s="144">
        <f>IF($Q$424=0,0,INDEX('Zhuravlev Distances'!$B$5:$H$11,$Q$424,7))</f>
        <v>5.0314314939</v>
      </c>
      <c r="H432" s="144">
        <f>'ERDR Characteristics'!$D$11</f>
        <v>3.9109813746</v>
      </c>
      <c r="I432" s="146">
        <f>D432</f>
        <v>1</v>
      </c>
      <c r="J432" s="144">
        <f>IF(F432=0,0,PI()/2-(F432-1)*$B$6)</f>
        <v>0.523598775598299</v>
      </c>
      <c r="K432" s="144">
        <f>G432*COS(J432)</f>
        <v>4.35734749111849</v>
      </c>
      <c r="L432" s="144">
        <f>G432*SIN(J432)</f>
        <v>2.51571574695</v>
      </c>
      <c r="M432" s="144">
        <f>IF($Q$424=0,NA(),(K432-$T$424)/$Z$424)</f>
        <v>0.31040191772481</v>
      </c>
      <c r="N432" s="144">
        <f>IF($Q$424=0,NA(),(L432-$W$424)/$Z$424)</f>
        <v>0.330593677695643</v>
      </c>
      <c r="O432" s="144">
        <f>K432-I432*H432</f>
        <v>0.446366116518489</v>
      </c>
      <c r="P432" s="144">
        <f>K432+I432*H432</f>
        <v>8.26832886571849</v>
      </c>
      <c r="Q432" s="144">
        <f>L432-I432*H432</f>
        <v>-1.39526562765</v>
      </c>
      <c r="R432" s="144">
        <f>L432+I432*H432</f>
        <v>6.42669712155</v>
      </c>
      <c r="S432" s="146">
        <f>'ERDR Iterations'!H$124</f>
        <v>0</v>
      </c>
      <c r="T432" s="146">
        <f>'ERDR Iterations'!H$114</f>
        <v>1</v>
      </c>
      <c r="U432" s="146">
        <f>'ERDR Iterations'!H$127</f>
        <v>1</v>
      </c>
      <c r="V432" s="146">
        <f>'ERDR Iterations'!H$126</f>
        <v>0</v>
      </c>
      <c r="W432" s="146">
        <f>'ERDR Iterations'!H$129</f>
        <v>0</v>
      </c>
      <c r="X432" s="144" t="e">
        <f>IF(AND($Q$424&gt;0,E432=0,B432=1,C432=1),M432,NA())</f>
        <v>#N/A</v>
      </c>
      <c r="Y432" s="144" t="e">
        <f>IF(AND($Q$424&gt;0,E432=0,B432=1,C432=1),N432,NA())</f>
        <v>#N/A</v>
      </c>
      <c r="Z432" s="144">
        <f>IF(AND($Q$424&gt;0,E432=0,B432=1,C432=0),M432,NA())</f>
        <v>0.31040191772481</v>
      </c>
      <c r="AA432" s="144">
        <f>IF(AND($Q$424&gt;0,E432=0,B432=1,C432=0),N432,NA())</f>
        <v>0.330593677695643</v>
      </c>
      <c r="AB432" s="144" t="e">
        <f>IF(AND($Q$424&gt;0,E432=0,B432=2,C432=1),M432,NA())</f>
        <v>#N/A</v>
      </c>
      <c r="AC432" s="144" t="e">
        <f>IF(AND($Q$424&gt;0,E432=0,B432=2,C432=1),N432,NA())</f>
        <v>#N/A</v>
      </c>
      <c r="AD432" s="144" t="e">
        <f>IF(AND($Q$424&gt;0,E432=0,B432=2,C432=0),M432,NA())</f>
        <v>#N/A</v>
      </c>
      <c r="AE432" s="144" t="e">
        <f>IF(AND($Q$424&gt;0,E432=0,B432=2,C432=0),N432,NA())</f>
        <v>#N/A</v>
      </c>
      <c r="AF432" s="144" t="e">
        <f>IF(AND(E432=1,B432=1),M432,NA())</f>
        <v>#N/A</v>
      </c>
      <c r="AG432" s="144" t="e">
        <f>IF(AND(E432=1,B432=1),N432,NA())</f>
        <v>#N/A</v>
      </c>
      <c r="AH432" s="144" t="e">
        <f>IF(AND(E432=1,B432=2),M432,NA())</f>
        <v>#N/A</v>
      </c>
      <c r="AI432" s="144" t="e">
        <f>IF(AND(E432=1,B432=2),N432,NA())</f>
        <v>#N/A</v>
      </c>
      <c r="AJ432" s="145" t="str">
        <f>A432&amp;IF(E432=1," = Sᵢ",IF(C432=0," (in D)",""))&amp;IF(V432=1,"  ·  g "&amp;T432&amp;"→"&amp;U432,"")&amp;IF(W432=1,"  → D","")</f>
        <v>S₇ (in D)</v>
      </c>
      <c r="AN432" s="146">
        <v>6</v>
      </c>
      <c r="AO432" s="144" t="e">
        <f>IF($I$426=1,$M$426+$H$426/$Z$424*$L$11,NA())</f>
        <v>#N/A</v>
      </c>
      <c r="AP432" s="144" t="e">
        <f>IF($S$426=1,$N$426+$H$426/$Z$424*$M$11,NA())</f>
        <v>#N/A</v>
      </c>
      <c r="AQ432" s="144" t="e">
        <f>IF(AND($I$426=1,$C$426=1,$S$426=0),$N$426+$H$426/$Z$424*$M$11,NA())</f>
        <v>#N/A</v>
      </c>
      <c r="AR432" s="144" t="e">
        <f>IF(AND($I$426=1,$C$426=0),$N$426+$H$426/$Z$424*$M$11,NA())</f>
        <v>#N/A</v>
      </c>
      <c r="AS432" s="144" t="e">
        <f>IF($I$427=1,$M$427+$H$427/$Z$424*$L$11,NA())</f>
        <v>#N/A</v>
      </c>
      <c r="AT432" s="144" t="e">
        <f>IF($S$427=1,$N$427+$H$427/$Z$424*$M$11,NA())</f>
        <v>#N/A</v>
      </c>
      <c r="AU432" s="144" t="e">
        <f>IF(AND($I$427=1,$C$427=1,$S$427=0),$N$427+$H$427/$Z$424*$M$11,NA())</f>
        <v>#N/A</v>
      </c>
      <c r="AV432" s="144" t="e">
        <f>IF(AND($I$427=1,$C$427=0),$N$427+$H$427/$Z$424*$M$11,NA())</f>
        <v>#N/A</v>
      </c>
      <c r="AW432" s="144">
        <f>IF($I$428=1,$M$428+$H$428/$Z$424*$L$11,NA())</f>
        <v>0.32600452325336</v>
      </c>
      <c r="AX432" s="144">
        <f>IF($S$428=1,$N$428+$H$428/$Z$424*$M$11,NA())</f>
        <v>0.37738999193451</v>
      </c>
      <c r="AY432" s="144" t="e">
        <f>IF(AND($I$428=1,$C$428=1,$S$428=0),$N$428+$H$428/$Z$424*$M$11,NA())</f>
        <v>#N/A</v>
      </c>
      <c r="AZ432" s="144" t="e">
        <f>IF(AND($I$428=1,$C$428=0),$N$428+$H$428/$Z$424*$M$11,NA())</f>
        <v>#N/A</v>
      </c>
      <c r="BA432" s="144" t="e">
        <f>IF($I$429=1,$M$429+$H$429/$Z$424*$L$11,NA())</f>
        <v>#N/A</v>
      </c>
      <c r="BB432" s="144" t="e">
        <f>IF($S$429=1,$N$429+$H$429/$Z$424*$M$11,NA())</f>
        <v>#N/A</v>
      </c>
      <c r="BC432" s="144" t="e">
        <f>IF(AND($I$429=1,$C$429=1,$S$429=0),$N$429+$H$429/$Z$424*$M$11,NA())</f>
        <v>#N/A</v>
      </c>
      <c r="BD432" s="144" t="e">
        <f>IF(AND($I$429=1,$C$429=0),$N$429+$H$429/$Z$424*$M$11,NA())</f>
        <v>#N/A</v>
      </c>
      <c r="BE432" s="144" t="e">
        <f>IF($I$430=1,$M$430+$H$430/$Z$424*$L$11,NA())</f>
        <v>#N/A</v>
      </c>
      <c r="BF432" s="144" t="e">
        <f>IF($S$430=1,$N$430+$H$430/$Z$424*$M$11,NA())</f>
        <v>#N/A</v>
      </c>
      <c r="BG432" s="144" t="e">
        <f>IF(AND($I$430=1,$C$430=1,$S$430=0),$N$430+$H$430/$Z$424*$M$11,NA())</f>
        <v>#N/A</v>
      </c>
      <c r="BH432" s="144" t="e">
        <f>IF(AND($I$430=1,$C$430=0),$N$430+$H$430/$Z$424*$M$11,NA())</f>
        <v>#N/A</v>
      </c>
      <c r="BI432" s="144">
        <f>IF($I$431=1,$M$431+$H$431/$Z$424*$L$11,NA())</f>
        <v>-0.11200735219874</v>
      </c>
      <c r="BJ432" s="144" t="e">
        <f>IF($S$431=1,$N$431+$H$431/$Z$424*$M$11,NA())</f>
        <v>#N/A</v>
      </c>
      <c r="BK432" s="144">
        <f>IF(AND($I$431=1,$C$431=1,$S$431=0),$N$431+$H$431/$Z$424*$M$11,NA())</f>
        <v>0.446090473410648</v>
      </c>
      <c r="BL432" s="144" t="e">
        <f>IF(AND($I$431=1,$C$431=0),$N$431+$H$431/$Z$424*$M$11,NA())</f>
        <v>#N/A</v>
      </c>
      <c r="BM432" s="144">
        <f>IF($I$432=1,$M$432+$H$432/$Z$424*$L$11,NA())</f>
        <v>0.31040191772481</v>
      </c>
      <c r="BN432" s="144" t="e">
        <f>IF($S$432=1,$N$432+$H$432/$Z$424*$M$11,NA())</f>
        <v>#N/A</v>
      </c>
      <c r="BO432" s="144" t="e">
        <f>IF(AND($I$432=1,$C$432=1,$S$432=0),$N$432+$H$432/$Z$424*$M$11,NA())</f>
        <v>#N/A</v>
      </c>
      <c r="BP432" s="144">
        <f>IF(AND($I$432=1,$C$432=0),$N$432+$H$432/$Z$424*$M$11,NA())</f>
        <v>0.70973139634138</v>
      </c>
    </row>
    <row r="433">
      <c r="A433" s="63" t="inlineStr">
        <is>
          <t xml:space="preserve">Message</t>
        </is>
      </c>
      <c r="D433" s="145" t="str">
        <f>"Queue empty → Step 6:   D = "&amp;'Training &amp; Validation'!$B$19&amp;"   ·   F = "&amp;'Training &amp; Validation'!$B$20</f>
        <v>Queue empty → Step 6:   D = {S₁, S₂, S₅, S₆, S₇}   ·   F = {S₃, S₄}</v>
      </c>
      <c r="E433" s="144" t="e">
        <f>IF($Q$424=0,0,NA())</f>
        <v>#N/A</v>
      </c>
      <c r="F433" s="144" t="e">
        <f>IF($Q$424=0,0,NA())</f>
        <v>#N/A</v>
      </c>
      <c r="AN433" s="146">
        <v>7</v>
      </c>
      <c r="AO433" s="144" t="e">
        <f>IF($I$426=1,$M$426+$H$426/$Z$424*$L$12,NA())</f>
        <v>#N/A</v>
      </c>
      <c r="AP433" s="144" t="e">
        <f>IF($S$426=1,$N$426+$H$426/$Z$424*$M$12,NA())</f>
        <v>#N/A</v>
      </c>
      <c r="AQ433" s="144" t="e">
        <f>IF(AND($I$426=1,$C$426=1,$S$426=0),$N$426+$H$426/$Z$424*$M$12,NA())</f>
        <v>#N/A</v>
      </c>
      <c r="AR433" s="144" t="e">
        <f>IF(AND($I$426=1,$C$426=0),$N$426+$H$426/$Z$424*$M$12,NA())</f>
        <v>#N/A</v>
      </c>
      <c r="AS433" s="144" t="e">
        <f>IF($I$427=1,$M$427+$H$427/$Z$424*$L$12,NA())</f>
        <v>#N/A</v>
      </c>
      <c r="AT433" s="144" t="e">
        <f>IF($S$427=1,$N$427+$H$427/$Z$424*$M$12,NA())</f>
        <v>#N/A</v>
      </c>
      <c r="AU433" s="144" t="e">
        <f>IF(AND($I$427=1,$C$427=1,$S$427=0),$N$427+$H$427/$Z$424*$M$12,NA())</f>
        <v>#N/A</v>
      </c>
      <c r="AV433" s="144" t="e">
        <f>IF(AND($I$427=1,$C$427=0),$N$427+$H$427/$Z$424*$M$12,NA())</f>
        <v>#N/A</v>
      </c>
      <c r="AW433" s="144">
        <f>IF($I$428=1,$M$428+$H$428/$Z$424*$L$12,NA())</f>
        <v>0.185320663441313</v>
      </c>
      <c r="AX433" s="144">
        <f>IF($S$428=1,$N$428+$H$428/$Z$424*$M$12,NA())</f>
        <v>0.358868610420019</v>
      </c>
      <c r="AY433" s="144" t="e">
        <f>IF(AND($I$428=1,$C$428=1,$S$428=0),$N$428+$H$428/$Z$424*$M$12,NA())</f>
        <v>#N/A</v>
      </c>
      <c r="AZ433" s="144" t="e">
        <f>IF(AND($I$428=1,$C$428=0),$N$428+$H$428/$Z$424*$M$12,NA())</f>
        <v>#N/A</v>
      </c>
      <c r="BA433" s="144" t="e">
        <f>IF($I$429=1,$M$429+$H$429/$Z$424*$L$12,NA())</f>
        <v>#N/A</v>
      </c>
      <c r="BB433" s="144" t="e">
        <f>IF($S$429=1,$N$429+$H$429/$Z$424*$M$12,NA())</f>
        <v>#N/A</v>
      </c>
      <c r="BC433" s="144" t="e">
        <f>IF(AND($I$429=1,$C$429=1,$S$429=0),$N$429+$H$429/$Z$424*$M$12,NA())</f>
        <v>#N/A</v>
      </c>
      <c r="BD433" s="144" t="e">
        <f>IF(AND($I$429=1,$C$429=0),$N$429+$H$429/$Z$424*$M$12,NA())</f>
        <v>#N/A</v>
      </c>
      <c r="BE433" s="144" t="e">
        <f>IF($I$430=1,$M$430+$H$430/$Z$424*$L$12,NA())</f>
        <v>#N/A</v>
      </c>
      <c r="BF433" s="144" t="e">
        <f>IF($S$430=1,$N$430+$H$430/$Z$424*$M$12,NA())</f>
        <v>#N/A</v>
      </c>
      <c r="BG433" s="144" t="e">
        <f>IF(AND($I$430=1,$C$430=1,$S$430=0),$N$430+$H$430/$Z$424*$M$12,NA())</f>
        <v>#N/A</v>
      </c>
      <c r="BH433" s="144" t="e">
        <f>IF(AND($I$430=1,$C$430=0),$N$430+$H$430/$Z$424*$M$12,NA())</f>
        <v>#N/A</v>
      </c>
      <c r="BI433" s="144">
        <f>IF($I$431=1,$M$431+$H$431/$Z$424*$L$12,NA())</f>
        <v>-0.205020421016411</v>
      </c>
      <c r="BJ433" s="144" t="e">
        <f>IF($S$431=1,$N$431+$H$431/$Z$424*$M$12,NA())</f>
        <v>#N/A</v>
      </c>
      <c r="BK433" s="144">
        <f>IF(AND($I$431=1,$C$431=1,$S$431=0),$N$431+$H$431/$Z$424*$M$12,NA())</f>
        <v>0.433845070592534</v>
      </c>
      <c r="BL433" s="144" t="e">
        <f>IF(AND($I$431=1,$C$431=0),$N$431+$H$431/$Z$424*$M$12,NA())</f>
        <v>#N/A</v>
      </c>
      <c r="BM433" s="144">
        <f>IF($I$432=1,$M$432+$H$432/$Z$424*$L$12,NA())</f>
        <v>0.212273855422573</v>
      </c>
      <c r="BN433" s="144" t="e">
        <f>IF($S$432=1,$N$432+$H$432/$Z$424*$M$12,NA())</f>
        <v>#N/A</v>
      </c>
      <c r="BO433" s="144" t="e">
        <f>IF(AND($I$432=1,$C$432=1,$S$432=0),$N$432+$H$432/$Z$424*$M$12,NA())</f>
        <v>#N/A</v>
      </c>
      <c r="BP433" s="144">
        <f>IF(AND($I$432=1,$C$432=0),$N$432+$H$432/$Z$424*$M$12,NA())</f>
        <v>0.696812591855879</v>
      </c>
    </row>
    <row r="434">
      <c r="A434" s="147" t="inlineStr">
        <is>
          <t xml:space="preserve">Label slot</t>
        </is>
      </c>
      <c r="B434" s="147" t="inlineStr">
        <is>
          <t xml:space="preserve">Rank t</t>
        </is>
      </c>
      <c r="C434" s="147" t="inlineStr">
        <is>
          <t xml:space="preserve">Object</t>
        </is>
      </c>
      <c r="D434" s="147" t="inlineStr">
        <is>
          <t xml:space="preserve">Label</t>
        </is>
      </c>
      <c r="E434" s="147" t="inlineStr">
        <is>
          <t xml:space="preserve">x</t>
        </is>
      </c>
      <c r="F434" s="147" t="inlineStr">
        <is>
          <t xml:space="preserve">y</t>
        </is>
      </c>
      <c r="AN434" s="146">
        <v>8</v>
      </c>
      <c r="AO434" s="144" t="e">
        <f>IF($I$426=1,$M$426+$H$426/$Z$424*$L$13,NA())</f>
        <v>#N/A</v>
      </c>
      <c r="AP434" s="144" t="e">
        <f>IF($S$426=1,$N$426+$H$426/$Z$424*$M$13,NA())</f>
        <v>#N/A</v>
      </c>
      <c r="AQ434" s="144" t="e">
        <f>IF(AND($I$426=1,$C$426=1,$S$426=0),$N$426+$H$426/$Z$424*$M$13,NA())</f>
        <v>#N/A</v>
      </c>
      <c r="AR434" s="144" t="e">
        <f>IF(AND($I$426=1,$C$426=0),$N$426+$H$426/$Z$424*$M$13,NA())</f>
        <v>#N/A</v>
      </c>
      <c r="AS434" s="144" t="e">
        <f>IF($I$427=1,$M$427+$H$427/$Z$424*$L$13,NA())</f>
        <v>#N/A</v>
      </c>
      <c r="AT434" s="144" t="e">
        <f>IF($S$427=1,$N$427+$H$427/$Z$424*$M$13,NA())</f>
        <v>#N/A</v>
      </c>
      <c r="AU434" s="144" t="e">
        <f>IF(AND($I$427=1,$C$427=1,$S$427=0),$N$427+$H$427/$Z$424*$M$13,NA())</f>
        <v>#N/A</v>
      </c>
      <c r="AV434" s="144" t="e">
        <f>IF(AND($I$427=1,$C$427=0),$N$427+$H$427/$Z$424*$M$13,NA())</f>
        <v>#N/A</v>
      </c>
      <c r="AW434" s="144">
        <f>IF($I$428=1,$M$428+$H$428/$Z$424*$L$13,NA())</f>
        <v>0.0542241761843874</v>
      </c>
      <c r="AX434" s="144">
        <f>IF($S$428=1,$N$428+$H$428/$Z$424*$M$13,NA())</f>
        <v>0.304566667418728</v>
      </c>
      <c r="AY434" s="144" t="e">
        <f>IF(AND($I$428=1,$C$428=1,$S$428=0),$N$428+$H$428/$Z$424*$M$13,NA())</f>
        <v>#N/A</v>
      </c>
      <c r="AZ434" s="144" t="e">
        <f>IF(AND($I$428=1,$C$428=0),$N$428+$H$428/$Z$424*$M$13,NA())</f>
        <v>#N/A</v>
      </c>
      <c r="BA434" s="144" t="e">
        <f>IF($I$429=1,$M$429+$H$429/$Z$424*$L$13,NA())</f>
        <v>#N/A</v>
      </c>
      <c r="BB434" s="144" t="e">
        <f>IF($S$429=1,$N$429+$H$429/$Z$424*$M$13,NA())</f>
        <v>#N/A</v>
      </c>
      <c r="BC434" s="144" t="e">
        <f>IF(AND($I$429=1,$C$429=1,$S$429=0),$N$429+$H$429/$Z$424*$M$13,NA())</f>
        <v>#N/A</v>
      </c>
      <c r="BD434" s="144" t="e">
        <f>IF(AND($I$429=1,$C$429=0),$N$429+$H$429/$Z$424*$M$13,NA())</f>
        <v>#N/A</v>
      </c>
      <c r="BE434" s="144" t="e">
        <f>IF($I$430=1,$M$430+$H$430/$Z$424*$L$13,NA())</f>
        <v>#N/A</v>
      </c>
      <c r="BF434" s="144" t="e">
        <f>IF($S$430=1,$N$430+$H$430/$Z$424*$M$13,NA())</f>
        <v>#N/A</v>
      </c>
      <c r="BG434" s="144" t="e">
        <f>IF(AND($I$430=1,$C$430=1,$S$430=0),$N$430+$H$430/$Z$424*$M$13,NA())</f>
        <v>#N/A</v>
      </c>
      <c r="BH434" s="144" t="e">
        <f>IF(AND($I$430=1,$C$430=0),$N$430+$H$430/$Z$424*$M$13,NA())</f>
        <v>#N/A</v>
      </c>
      <c r="BI434" s="144">
        <f>IF($I$431=1,$M$431+$H$431/$Z$424*$L$13,NA())</f>
        <v>-0.291694802905521</v>
      </c>
      <c r="BJ434" s="144" t="e">
        <f>IF($S$431=1,$N$431+$H$431/$Z$424*$M$13,NA())</f>
        <v>#N/A</v>
      </c>
      <c r="BK434" s="144">
        <f>IF(AND($I$431=1,$C$431=1,$S$431=0),$N$431+$H$431/$Z$424*$M$13,NA())</f>
        <v>0.397943366103759</v>
      </c>
      <c r="BL434" s="144" t="e">
        <f>IF(AND($I$431=1,$C$431=0),$N$431+$H$431/$Z$424*$M$13,NA())</f>
        <v>#N/A</v>
      </c>
      <c r="BM434" s="144">
        <f>IF($I$432=1,$M$432+$H$432/$Z$424*$L$13,NA())</f>
        <v>0.120833058401942</v>
      </c>
      <c r="BN434" s="144" t="e">
        <f>IF($S$432=1,$N$432+$H$432/$Z$424*$M$13,NA())</f>
        <v>#N/A</v>
      </c>
      <c r="BO434" s="144" t="e">
        <f>IF(AND($I$432=1,$C$432=1,$S$432=0),$N$432+$H$432/$Z$424*$M$13,NA())</f>
        <v>#N/A</v>
      </c>
      <c r="BP434" s="144">
        <f>IF(AND($I$432=1,$C$432=0),$N$432+$H$432/$Z$424*$M$13,NA())</f>
        <v>0.658936573575728</v>
      </c>
    </row>
    <row r="435">
      <c r="A435" s="63" t="inlineStr">
        <is>
          <t xml:space="preserve">slot 1 (t)</t>
        </is>
      </c>
      <c r="B435" s="146">
        <v>1</v>
      </c>
      <c r="C435" s="146">
        <f>IFERROR(MATCH(B435,$F$426:$F$432,0),NA())</f>
        <v>4</v>
      </c>
      <c r="D435" s="145" t="str">
        <f>IFERROR(INDEX($AJ$426:$AJ$432,C435),"")</f>
        <v>S₄</v>
      </c>
      <c r="E435" s="144">
        <f>IFERROR(INDEX($M$426:$M$432,C435),NA())</f>
        <v>-0.11200735219874</v>
      </c>
      <c r="F435" s="144">
        <f>IFERROR(INDEX($N$426:$N$432,C435),NA())</f>
        <v>0.446090473410648</v>
      </c>
      <c r="AN435" s="146">
        <v>9</v>
      </c>
      <c r="AO435" s="144" t="e">
        <f>IF($I$426=1,$M$426+$H$426/$Z$424*$L$14,NA())</f>
        <v>#N/A</v>
      </c>
      <c r="AP435" s="144" t="e">
        <f>IF($S$426=1,$N$426+$H$426/$Z$424*$M$14,NA())</f>
        <v>#N/A</v>
      </c>
      <c r="AQ435" s="144" t="e">
        <f>IF(AND($I$426=1,$C$426=1,$S$426=0),$N$426+$H$426/$Z$424*$M$14,NA())</f>
        <v>#N/A</v>
      </c>
      <c r="AR435" s="144" t="e">
        <f>IF(AND($I$426=1,$C$426=0),$N$426+$H$426/$Z$424*$M$14,NA())</f>
        <v>#N/A</v>
      </c>
      <c r="AS435" s="144" t="e">
        <f>IF($I$427=1,$M$427+$H$427/$Z$424*$L$14,NA())</f>
        <v>#N/A</v>
      </c>
      <c r="AT435" s="144" t="e">
        <f>IF($S$427=1,$N$427+$H$427/$Z$424*$M$14,NA())</f>
        <v>#N/A</v>
      </c>
      <c r="AU435" s="144" t="e">
        <f>IF(AND($I$427=1,$C$427=1,$S$427=0),$N$427+$H$427/$Z$424*$M$14,NA())</f>
        <v>#N/A</v>
      </c>
      <c r="AV435" s="144" t="e">
        <f>IF(AND($I$427=1,$C$427=0),$N$427+$H$427/$Z$424*$M$14,NA())</f>
        <v>#N/A</v>
      </c>
      <c r="AW435" s="144">
        <f>IF($I$428=1,$M$428+$H$428/$Z$424*$L$14,NA())</f>
        <v>-0.0583509295580479</v>
      </c>
      <c r="AX435" s="144">
        <f>IF($S$428=1,$N$428+$H$428/$Z$424*$M$14,NA())</f>
        <v>0.218184750607972</v>
      </c>
      <c r="AY435" s="144" t="e">
        <f>IF(AND($I$428=1,$C$428=1,$S$428=0),$N$428+$H$428/$Z$424*$M$14,NA())</f>
        <v>#N/A</v>
      </c>
      <c r="AZ435" s="144" t="e">
        <f>IF(AND($I$428=1,$C$428=0),$N$428+$H$428/$Z$424*$M$14,NA())</f>
        <v>#N/A</v>
      </c>
      <c r="BA435" s="144" t="e">
        <f>IF($I$429=1,$M$429+$H$429/$Z$424*$L$14,NA())</f>
        <v>#N/A</v>
      </c>
      <c r="BB435" s="144" t="e">
        <f>IF($S$429=1,$N$429+$H$429/$Z$424*$M$14,NA())</f>
        <v>#N/A</v>
      </c>
      <c r="BC435" s="144" t="e">
        <f>IF(AND($I$429=1,$C$429=1,$S$429=0),$N$429+$H$429/$Z$424*$M$14,NA())</f>
        <v>#N/A</v>
      </c>
      <c r="BD435" s="144" t="e">
        <f>IF(AND($I$429=1,$C$429=0),$N$429+$H$429/$Z$424*$M$14,NA())</f>
        <v>#N/A</v>
      </c>
      <c r="BE435" s="144" t="e">
        <f>IF($I$430=1,$M$430+$H$430/$Z$424*$L$14,NA())</f>
        <v>#N/A</v>
      </c>
      <c r="BF435" s="144" t="e">
        <f>IF($S$430=1,$N$430+$H$430/$Z$424*$M$14,NA())</f>
        <v>#N/A</v>
      </c>
      <c r="BG435" s="144" t="e">
        <f>IF(AND($I$430=1,$C$430=1,$S$430=0),$N$430+$H$430/$Z$424*$M$14,NA())</f>
        <v>#N/A</v>
      </c>
      <c r="BH435" s="144" t="e">
        <f>IF(AND($I$430=1,$C$430=0),$N$430+$H$430/$Z$424*$M$14,NA())</f>
        <v>#N/A</v>
      </c>
      <c r="BI435" s="144">
        <f>IF($I$431=1,$M$431+$H$431/$Z$424*$L$14,NA())</f>
        <v>-0.366123781976516</v>
      </c>
      <c r="BJ435" s="144" t="e">
        <f>IF($S$431=1,$N$431+$H$431/$Z$424*$M$14,NA())</f>
        <v>#N/A</v>
      </c>
      <c r="BK435" s="144">
        <f>IF(AND($I$431=1,$C$431=1,$S$431=0),$N$431+$H$431/$Z$424*$M$14,NA())</f>
        <v>0.340832001774863</v>
      </c>
      <c r="BL435" s="144" t="e">
        <f>IF(AND($I$431=1,$C$431=0),$N$431+$H$431/$Z$424*$M$14,NA())</f>
        <v>#N/A</v>
      </c>
      <c r="BM435" s="144">
        <f>IF($I$432=1,$M$432+$H$432/$Z$424*$L$14,NA())</f>
        <v>0.0423110658668122</v>
      </c>
      <c r="BN435" s="144" t="e">
        <f>IF($S$432=1,$N$432+$H$432/$Z$424*$M$14,NA())</f>
        <v>#N/A</v>
      </c>
      <c r="BO435" s="144" t="e">
        <f>IF(AND($I$432=1,$C$432=1,$S$432=0),$N$432+$H$432/$Z$424*$M$14,NA())</f>
        <v>#N/A</v>
      </c>
      <c r="BP435" s="144">
        <f>IF(AND($I$432=1,$C$432=0),$N$432+$H$432/$Z$424*$M$14,NA())</f>
        <v>0.598684529553641</v>
      </c>
    </row>
    <row r="436">
      <c r="A436" s="63" t="inlineStr">
        <is>
          <t xml:space="preserve">slot 2 (r)</t>
        </is>
      </c>
      <c r="B436" s="146">
        <v>2</v>
      </c>
      <c r="C436" s="146">
        <f>IFERROR(MATCH(B436,$F$426:$F$432,0),NA())</f>
        <v>7</v>
      </c>
      <c r="D436" s="145" t="str">
        <f>IFERROR(INDEX($AJ$426:$AJ$432,C436),"")</f>
        <v>S₇ (in D)</v>
      </c>
      <c r="E436" s="144">
        <f>IFERROR(INDEX($M$426:$M$432,C436),NA())</f>
        <v>0.31040191772481</v>
      </c>
      <c r="F436" s="144">
        <f>IFERROR(INDEX($N$426:$N$432,C436),NA())</f>
        <v>0.330593677695643</v>
      </c>
      <c r="AN436" s="146">
        <v>10</v>
      </c>
      <c r="AO436" s="144" t="e">
        <f>IF($I$426=1,$M$426+$H$426/$Z$424*$L$15,NA())</f>
        <v>#N/A</v>
      </c>
      <c r="AP436" s="144" t="e">
        <f>IF($S$426=1,$N$426+$H$426/$Z$424*$M$15,NA())</f>
        <v>#N/A</v>
      </c>
      <c r="AQ436" s="144" t="e">
        <f>IF(AND($I$426=1,$C$426=1,$S$426=0),$N$426+$H$426/$Z$424*$M$15,NA())</f>
        <v>#N/A</v>
      </c>
      <c r="AR436" s="144" t="e">
        <f>IF(AND($I$426=1,$C$426=0),$N$426+$H$426/$Z$424*$M$15,NA())</f>
        <v>#N/A</v>
      </c>
      <c r="AS436" s="144" t="e">
        <f>IF($I$427=1,$M$427+$H$427/$Z$424*$L$15,NA())</f>
        <v>#N/A</v>
      </c>
      <c r="AT436" s="144" t="e">
        <f>IF($S$427=1,$N$427+$H$427/$Z$424*$M$15,NA())</f>
        <v>#N/A</v>
      </c>
      <c r="AU436" s="144" t="e">
        <f>IF(AND($I$427=1,$C$427=1,$S$427=0),$N$427+$H$427/$Z$424*$M$15,NA())</f>
        <v>#N/A</v>
      </c>
      <c r="AV436" s="144" t="e">
        <f>IF(AND($I$427=1,$C$427=0),$N$427+$H$427/$Z$424*$M$15,NA())</f>
        <v>#N/A</v>
      </c>
      <c r="AW436" s="144">
        <f>IF($I$428=1,$M$428+$H$428/$Z$424*$L$15,NA())</f>
        <v>-0.144732846368804</v>
      </c>
      <c r="AX436" s="144">
        <f>IF($S$428=1,$N$428+$H$428/$Z$424*$M$15,NA())</f>
        <v>0.105609644865537</v>
      </c>
      <c r="AY436" s="144" t="e">
        <f>IF(AND($I$428=1,$C$428=1,$S$428=0),$N$428+$H$428/$Z$424*$M$15,NA())</f>
        <v>#N/A</v>
      </c>
      <c r="AZ436" s="144" t="e">
        <f>IF(AND($I$428=1,$C$428=0),$N$428+$H$428/$Z$424*$M$15,NA())</f>
        <v>#N/A</v>
      </c>
      <c r="BA436" s="144" t="e">
        <f>IF($I$429=1,$M$429+$H$429/$Z$424*$L$15,NA())</f>
        <v>#N/A</v>
      </c>
      <c r="BB436" s="144" t="e">
        <f>IF($S$429=1,$N$429+$H$429/$Z$424*$M$15,NA())</f>
        <v>#N/A</v>
      </c>
      <c r="BC436" s="144" t="e">
        <f>IF(AND($I$429=1,$C$429=1,$S$429=0),$N$429+$H$429/$Z$424*$M$15,NA())</f>
        <v>#N/A</v>
      </c>
      <c r="BD436" s="144" t="e">
        <f>IF(AND($I$429=1,$C$429=0),$N$429+$H$429/$Z$424*$M$15,NA())</f>
        <v>#N/A</v>
      </c>
      <c r="BE436" s="144" t="e">
        <f>IF($I$430=1,$M$430+$H$430/$Z$424*$L$15,NA())</f>
        <v>#N/A</v>
      </c>
      <c r="BF436" s="144" t="e">
        <f>IF($S$430=1,$N$430+$H$430/$Z$424*$M$15,NA())</f>
        <v>#N/A</v>
      </c>
      <c r="BG436" s="144" t="e">
        <f>IF(AND($I$430=1,$C$430=1,$S$430=0),$N$430+$H$430/$Z$424*$M$15,NA())</f>
        <v>#N/A</v>
      </c>
      <c r="BH436" s="144" t="e">
        <f>IF(AND($I$430=1,$C$430=0),$N$430+$H$430/$Z$424*$M$15,NA())</f>
        <v>#N/A</v>
      </c>
      <c r="BI436" s="144">
        <f>IF($I$431=1,$M$431+$H$431/$Z$424*$L$15,NA())</f>
        <v>-0.423235146305412</v>
      </c>
      <c r="BJ436" s="144" t="e">
        <f>IF($S$431=1,$N$431+$H$431/$Z$424*$M$15,NA())</f>
        <v>#N/A</v>
      </c>
      <c r="BK436" s="144">
        <f>IF(AND($I$431=1,$C$431=1,$S$431=0),$N$431+$H$431/$Z$424*$M$15,NA())</f>
        <v>0.266403022703868</v>
      </c>
      <c r="BL436" s="144" t="e">
        <f>IF(AND($I$431=1,$C$431=0),$N$431+$H$431/$Z$424*$M$15,NA())</f>
        <v>#N/A</v>
      </c>
      <c r="BM436" s="144">
        <f>IF($I$432=1,$M$432+$H$432/$Z$424*$L$15,NA())</f>
        <v>-0.0179409781552752</v>
      </c>
      <c r="BN436" s="144" t="e">
        <f>IF($S$432=1,$N$432+$H$432/$Z$424*$M$15,NA())</f>
        <v>#N/A</v>
      </c>
      <c r="BO436" s="144" t="e">
        <f>IF(AND($I$432=1,$C$432=1,$S$432=0),$N$432+$H$432/$Z$424*$M$15,NA())</f>
        <v>#N/A</v>
      </c>
      <c r="BP436" s="144">
        <f>IF(AND($I$432=1,$C$432=0),$N$432+$H$432/$Z$424*$M$15,NA())</f>
        <v>0.520162537018512</v>
      </c>
    </row>
    <row r="437">
      <c r="A437" s="63" t="inlineStr">
        <is>
          <t xml:space="preserve">slot 3 (r)</t>
        </is>
      </c>
      <c r="B437" s="146">
        <v>3</v>
      </c>
      <c r="C437" s="146">
        <f>IFERROR(MATCH(B437,$F$426:$F$432,0),NA())</f>
        <v>3</v>
      </c>
      <c r="D437" s="145" t="str">
        <f>IFERROR(INDEX($AJ$426:$AJ$432,C437),"")</f>
        <v>S₃</v>
      </c>
      <c r="E437" s="144">
        <f>IFERROR(INDEX($M$426:$M$432,C437),NA())</f>
        <v>0.32600452325336</v>
      </c>
      <c r="F437" s="144">
        <f>IFERROR(INDEX($N$426:$N$432,C437),NA())</f>
        <v>-0.166170702203435</v>
      </c>
      <c r="AN437" s="146">
        <v>11</v>
      </c>
      <c r="AO437" s="144" t="e">
        <f>IF($I$426=1,$M$426+$H$426/$Z$424*$L$16,NA())</f>
        <v>#N/A</v>
      </c>
      <c r="AP437" s="144" t="e">
        <f>IF($S$426=1,$N$426+$H$426/$Z$424*$M$16,NA())</f>
        <v>#N/A</v>
      </c>
      <c r="AQ437" s="144" t="e">
        <f>IF(AND($I$426=1,$C$426=1,$S$426=0),$N$426+$H$426/$Z$424*$M$16,NA())</f>
        <v>#N/A</v>
      </c>
      <c r="AR437" s="144" t="e">
        <f>IF(AND($I$426=1,$C$426=0),$N$426+$H$426/$Z$424*$M$16,NA())</f>
        <v>#N/A</v>
      </c>
      <c r="AS437" s="144" t="e">
        <f>IF($I$427=1,$M$427+$H$427/$Z$424*$L$16,NA())</f>
        <v>#N/A</v>
      </c>
      <c r="AT437" s="144" t="e">
        <f>IF($S$427=1,$N$427+$H$427/$Z$424*$M$16,NA())</f>
        <v>#N/A</v>
      </c>
      <c r="AU437" s="144" t="e">
        <f>IF(AND($I$427=1,$C$427=1,$S$427=0),$N$427+$H$427/$Z$424*$M$16,NA())</f>
        <v>#N/A</v>
      </c>
      <c r="AV437" s="144" t="e">
        <f>IF(AND($I$427=1,$C$427=0),$N$427+$H$427/$Z$424*$M$16,NA())</f>
        <v>#N/A</v>
      </c>
      <c r="AW437" s="144">
        <f>IF($I$428=1,$M$428+$H$428/$Z$424*$L$16,NA())</f>
        <v>-0.199034789370094</v>
      </c>
      <c r="AX437" s="144">
        <f>IF($S$428=1,$N$428+$H$428/$Z$424*$M$16,NA())</f>
        <v>-0.025486842391389</v>
      </c>
      <c r="AY437" s="144" t="e">
        <f>IF(AND($I$428=1,$C$428=1,$S$428=0),$N$428+$H$428/$Z$424*$M$16,NA())</f>
        <v>#N/A</v>
      </c>
      <c r="AZ437" s="144" t="e">
        <f>IF(AND($I$428=1,$C$428=0),$N$428+$H$428/$Z$424*$M$16,NA())</f>
        <v>#N/A</v>
      </c>
      <c r="BA437" s="144" t="e">
        <f>IF($I$429=1,$M$429+$H$429/$Z$424*$L$16,NA())</f>
        <v>#N/A</v>
      </c>
      <c r="BB437" s="144" t="e">
        <f>IF($S$429=1,$N$429+$H$429/$Z$424*$M$16,NA())</f>
        <v>#N/A</v>
      </c>
      <c r="BC437" s="144" t="e">
        <f>IF(AND($I$429=1,$C$429=1,$S$429=0),$N$429+$H$429/$Z$424*$M$16,NA())</f>
        <v>#N/A</v>
      </c>
      <c r="BD437" s="144" t="e">
        <f>IF(AND($I$429=1,$C$429=0),$N$429+$H$429/$Z$424*$M$16,NA())</f>
        <v>#N/A</v>
      </c>
      <c r="BE437" s="144" t="e">
        <f>IF($I$430=1,$M$430+$H$430/$Z$424*$L$16,NA())</f>
        <v>#N/A</v>
      </c>
      <c r="BF437" s="144" t="e">
        <f>IF($S$430=1,$N$430+$H$430/$Z$424*$M$16,NA())</f>
        <v>#N/A</v>
      </c>
      <c r="BG437" s="144" t="e">
        <f>IF(AND($I$430=1,$C$430=1,$S$430=0),$N$430+$H$430/$Z$424*$M$16,NA())</f>
        <v>#N/A</v>
      </c>
      <c r="BH437" s="144" t="e">
        <f>IF(AND($I$430=1,$C$430=0),$N$430+$H$430/$Z$424*$M$16,NA())</f>
        <v>#N/A</v>
      </c>
      <c r="BI437" s="144">
        <f>IF($I$431=1,$M$431+$H$431/$Z$424*$L$16,NA())</f>
        <v>-0.459136850794187</v>
      </c>
      <c r="BJ437" s="144" t="e">
        <f>IF($S$431=1,$N$431+$H$431/$Z$424*$M$16,NA())</f>
        <v>#N/A</v>
      </c>
      <c r="BK437" s="144">
        <f>IF(AND($I$431=1,$C$431=1,$S$431=0),$N$431+$H$431/$Z$424*$M$16,NA())</f>
        <v>0.179728640814758</v>
      </c>
      <c r="BL437" s="144" t="e">
        <f>IF(AND($I$431=1,$C$431=0),$N$431+$H$431/$Z$424*$M$16,NA())</f>
        <v>#N/A</v>
      </c>
      <c r="BM437" s="144">
        <f>IF($I$432=1,$M$432+$H$432/$Z$424*$L$16,NA())</f>
        <v>-0.0558169964354257</v>
      </c>
      <c r="BN437" s="144" t="e">
        <f>IF($S$432=1,$N$432+$H$432/$Z$424*$M$16,NA())</f>
        <v>#N/A</v>
      </c>
      <c r="BO437" s="144" t="e">
        <f>IF(AND($I$432=1,$C$432=1,$S$432=0),$N$432+$H$432/$Z$424*$M$16,NA())</f>
        <v>#N/A</v>
      </c>
      <c r="BP437" s="144">
        <f>IF(AND($I$432=1,$C$432=0),$N$432+$H$432/$Z$424*$M$16,NA())</f>
        <v>0.428721739997881</v>
      </c>
    </row>
    <row r="438">
      <c r="A438" s="63" t="inlineStr">
        <is>
          <t xml:space="preserve">slot 4 (b)</t>
        </is>
      </c>
      <c r="B438" s="146">
        <v>4</v>
      </c>
      <c r="C438" s="146">
        <f>IFERROR(MATCH(B438,$F$426:$F$432,0),NA())</f>
        <v>1</v>
      </c>
      <c r="D438" s="145" t="str">
        <f>IFERROR(INDEX($AJ$426:$AJ$432,C438),"")</f>
        <v>S₁ (in D)</v>
      </c>
      <c r="E438" s="144">
        <f>IFERROR(INDEX($M$426:$M$432,C438),NA())</f>
        <v>-0.11200735219874</v>
      </c>
      <c r="F438" s="144">
        <f>IFERROR(INDEX($N$426:$N$432,C438),NA())</f>
        <v>-0.572640822281218</v>
      </c>
      <c r="AN438" s="146">
        <v>12</v>
      </c>
      <c r="AO438" s="144" t="e">
        <f>IF($I$426=1,$M$426+$H$426/$Z$424*$L$17,NA())</f>
        <v>#N/A</v>
      </c>
      <c r="AP438" s="144" t="e">
        <f>IF($S$426=1,$N$426+$H$426/$Z$424*$M$17,NA())</f>
        <v>#N/A</v>
      </c>
      <c r="AQ438" s="144" t="e">
        <f>IF(AND($I$426=1,$C$426=1,$S$426=0),$N$426+$H$426/$Z$424*$M$17,NA())</f>
        <v>#N/A</v>
      </c>
      <c r="AR438" s="144" t="e">
        <f>IF(AND($I$426=1,$C$426=0),$N$426+$H$426/$Z$424*$M$17,NA())</f>
        <v>#N/A</v>
      </c>
      <c r="AS438" s="144" t="e">
        <f>IF($I$427=1,$M$427+$H$427/$Z$424*$L$17,NA())</f>
        <v>#N/A</v>
      </c>
      <c r="AT438" s="144" t="e">
        <f>IF($S$427=1,$N$427+$H$427/$Z$424*$M$17,NA())</f>
        <v>#N/A</v>
      </c>
      <c r="AU438" s="144" t="e">
        <f>IF(AND($I$427=1,$C$427=1,$S$427=0),$N$427+$H$427/$Z$424*$M$17,NA())</f>
        <v>#N/A</v>
      </c>
      <c r="AV438" s="144" t="e">
        <f>IF(AND($I$427=1,$C$427=0),$N$427+$H$427/$Z$424*$M$17,NA())</f>
        <v>#N/A</v>
      </c>
      <c r="AW438" s="144">
        <f>IF($I$428=1,$M$428+$H$428/$Z$424*$L$17,NA())</f>
        <v>-0.217556170884585</v>
      </c>
      <c r="AX438" s="144">
        <f>IF($S$428=1,$N$428+$H$428/$Z$424*$M$17,NA())</f>
        <v>-0.166170702203435</v>
      </c>
      <c r="AY438" s="144" t="e">
        <f>IF(AND($I$428=1,$C$428=1,$S$428=0),$N$428+$H$428/$Z$424*$M$17,NA())</f>
        <v>#N/A</v>
      </c>
      <c r="AZ438" s="144" t="e">
        <f>IF(AND($I$428=1,$C$428=0),$N$428+$H$428/$Z$424*$M$17,NA())</f>
        <v>#N/A</v>
      </c>
      <c r="BA438" s="144" t="e">
        <f>IF($I$429=1,$M$429+$H$429/$Z$424*$L$17,NA())</f>
        <v>#N/A</v>
      </c>
      <c r="BB438" s="144" t="e">
        <f>IF($S$429=1,$N$429+$H$429/$Z$424*$M$17,NA())</f>
        <v>#N/A</v>
      </c>
      <c r="BC438" s="144" t="e">
        <f>IF(AND($I$429=1,$C$429=1,$S$429=0),$N$429+$H$429/$Z$424*$M$17,NA())</f>
        <v>#N/A</v>
      </c>
      <c r="BD438" s="144" t="e">
        <f>IF(AND($I$429=1,$C$429=0),$N$429+$H$429/$Z$424*$M$17,NA())</f>
        <v>#N/A</v>
      </c>
      <c r="BE438" s="144" t="e">
        <f>IF($I$430=1,$M$430+$H$430/$Z$424*$L$17,NA())</f>
        <v>#N/A</v>
      </c>
      <c r="BF438" s="144" t="e">
        <f>IF($S$430=1,$N$430+$H$430/$Z$424*$M$17,NA())</f>
        <v>#N/A</v>
      </c>
      <c r="BG438" s="144" t="e">
        <f>IF(AND($I$430=1,$C$430=1,$S$430=0),$N$430+$H$430/$Z$424*$M$17,NA())</f>
        <v>#N/A</v>
      </c>
      <c r="BH438" s="144" t="e">
        <f>IF(AND($I$430=1,$C$430=0),$N$430+$H$430/$Z$424*$M$17,NA())</f>
        <v>#N/A</v>
      </c>
      <c r="BI438" s="144">
        <f>IF($I$431=1,$M$431+$H$431/$Z$424*$L$17,NA())</f>
        <v>-0.471382253612301</v>
      </c>
      <c r="BJ438" s="144" t="e">
        <f>IF($S$431=1,$N$431+$H$431/$Z$424*$M$17,NA())</f>
        <v>#N/A</v>
      </c>
      <c r="BK438" s="144">
        <f>IF(AND($I$431=1,$C$431=1,$S$431=0),$N$431+$H$431/$Z$424*$M$17,NA())</f>
        <v>0.0867155719970874</v>
      </c>
      <c r="BL438" s="144" t="e">
        <f>IF(AND($I$431=1,$C$431=0),$N$431+$H$431/$Z$424*$M$17,NA())</f>
        <v>#N/A</v>
      </c>
      <c r="BM438" s="144">
        <f>IF($I$432=1,$M$432+$H$432/$Z$424*$L$17,NA())</f>
        <v>-0.068735800920927</v>
      </c>
      <c r="BN438" s="144" t="e">
        <f>IF($S$432=1,$N$432+$H$432/$Z$424*$M$17,NA())</f>
        <v>#N/A</v>
      </c>
      <c r="BO438" s="144" t="e">
        <f>IF(AND($I$432=1,$C$432=1,$S$432=0),$N$432+$H$432/$Z$424*$M$17,NA())</f>
        <v>#N/A</v>
      </c>
      <c r="BP438" s="144">
        <f>IF(AND($I$432=1,$C$432=0),$N$432+$H$432/$Z$424*$M$17,NA())</f>
        <v>0.330593677695643</v>
      </c>
    </row>
    <row r="439">
      <c r="A439" s="63" t="inlineStr">
        <is>
          <t xml:space="preserve">slot 5 (l)</t>
        </is>
      </c>
      <c r="B439" s="146">
        <v>5</v>
      </c>
      <c r="C439" s="146">
        <f>IFERROR(MATCH(B439,$F$426:$F$432,0),NA())</f>
        <v>2</v>
      </c>
      <c r="D439" s="145" t="str">
        <f>IFERROR(INDEX($AJ$426:$AJ$432,C439),"")</f>
        <v>S₂ (in D)</v>
      </c>
      <c r="E439" s="144">
        <f>IFERROR(INDEX($M$426:$M$432,C439),NA())</f>
        <v>-0.846013892258767</v>
      </c>
      <c r="F439" s="144">
        <f>IFERROR(INDEX($N$426:$N$432,C439),NA())</f>
        <v>-0.337063301493515</v>
      </c>
      <c r="AN439" s="146">
        <v>13</v>
      </c>
      <c r="AO439" s="144" t="e">
        <f>IF($I$426=1,$M$426+$H$426/$Z$424*$L$18,NA())</f>
        <v>#N/A</v>
      </c>
      <c r="AP439" s="144" t="e">
        <f>IF($S$426=1,$N$426+$H$426/$Z$424*$M$18,NA())</f>
        <v>#N/A</v>
      </c>
      <c r="AQ439" s="144" t="e">
        <f>IF(AND($I$426=1,$C$426=1,$S$426=0),$N$426+$H$426/$Z$424*$M$18,NA())</f>
        <v>#N/A</v>
      </c>
      <c r="AR439" s="144" t="e">
        <f>IF(AND($I$426=1,$C$426=0),$N$426+$H$426/$Z$424*$M$18,NA())</f>
        <v>#N/A</v>
      </c>
      <c r="AS439" s="144" t="e">
        <f>IF($I$427=1,$M$427+$H$427/$Z$424*$L$18,NA())</f>
        <v>#N/A</v>
      </c>
      <c r="AT439" s="144" t="e">
        <f>IF($S$427=1,$N$427+$H$427/$Z$424*$M$18,NA())</f>
        <v>#N/A</v>
      </c>
      <c r="AU439" s="144" t="e">
        <f>IF(AND($I$427=1,$C$427=1,$S$427=0),$N$427+$H$427/$Z$424*$M$18,NA())</f>
        <v>#N/A</v>
      </c>
      <c r="AV439" s="144" t="e">
        <f>IF(AND($I$427=1,$C$427=0),$N$427+$H$427/$Z$424*$M$18,NA())</f>
        <v>#N/A</v>
      </c>
      <c r="AW439" s="144">
        <f>IF($I$428=1,$M$428+$H$428/$Z$424*$L$18,NA())</f>
        <v>-0.199034789370094</v>
      </c>
      <c r="AX439" s="144">
        <f>IF($S$428=1,$N$428+$H$428/$Z$424*$M$18,NA())</f>
        <v>-0.306854562015482</v>
      </c>
      <c r="AY439" s="144" t="e">
        <f>IF(AND($I$428=1,$C$428=1,$S$428=0),$N$428+$H$428/$Z$424*$M$18,NA())</f>
        <v>#N/A</v>
      </c>
      <c r="AZ439" s="144" t="e">
        <f>IF(AND($I$428=1,$C$428=0),$N$428+$H$428/$Z$424*$M$18,NA())</f>
        <v>#N/A</v>
      </c>
      <c r="BA439" s="144" t="e">
        <f>IF($I$429=1,$M$429+$H$429/$Z$424*$L$18,NA())</f>
        <v>#N/A</v>
      </c>
      <c r="BB439" s="144" t="e">
        <f>IF($S$429=1,$N$429+$H$429/$Z$424*$M$18,NA())</f>
        <v>#N/A</v>
      </c>
      <c r="BC439" s="144" t="e">
        <f>IF(AND($I$429=1,$C$429=1,$S$429=0),$N$429+$H$429/$Z$424*$M$18,NA())</f>
        <v>#N/A</v>
      </c>
      <c r="BD439" s="144" t="e">
        <f>IF(AND($I$429=1,$C$429=0),$N$429+$H$429/$Z$424*$M$18,NA())</f>
        <v>#N/A</v>
      </c>
      <c r="BE439" s="144" t="e">
        <f>IF($I$430=1,$M$430+$H$430/$Z$424*$L$18,NA())</f>
        <v>#N/A</v>
      </c>
      <c r="BF439" s="144" t="e">
        <f>IF($S$430=1,$N$430+$H$430/$Z$424*$M$18,NA())</f>
        <v>#N/A</v>
      </c>
      <c r="BG439" s="144" t="e">
        <f>IF(AND($I$430=1,$C$430=1,$S$430=0),$N$430+$H$430/$Z$424*$M$18,NA())</f>
        <v>#N/A</v>
      </c>
      <c r="BH439" s="144" t="e">
        <f>IF(AND($I$430=1,$C$430=0),$N$430+$H$430/$Z$424*$M$18,NA())</f>
        <v>#N/A</v>
      </c>
      <c r="BI439" s="144">
        <f>IF($I$431=1,$M$431+$H$431/$Z$424*$L$18,NA())</f>
        <v>-0.459136850794187</v>
      </c>
      <c r="BJ439" s="144" t="e">
        <f>IF($S$431=1,$N$431+$H$431/$Z$424*$M$18,NA())</f>
        <v>#N/A</v>
      </c>
      <c r="BK439" s="144">
        <f>IF(AND($I$431=1,$C$431=1,$S$431=0),$N$431+$H$431/$Z$424*$M$18,NA())</f>
        <v>-0.00629749682058302</v>
      </c>
      <c r="BL439" s="144" t="e">
        <f>IF(AND($I$431=1,$C$431=0),$N$431+$H$431/$Z$424*$M$18,NA())</f>
        <v>#N/A</v>
      </c>
      <c r="BM439" s="144">
        <f>IF($I$432=1,$M$432+$H$432/$Z$424*$L$18,NA())</f>
        <v>-0.0558169964354258</v>
      </c>
      <c r="BN439" s="144" t="e">
        <f>IF($S$432=1,$N$432+$H$432/$Z$424*$M$18,NA())</f>
        <v>#N/A</v>
      </c>
      <c r="BO439" s="144" t="e">
        <f>IF(AND($I$432=1,$C$432=1,$S$432=0),$N$432+$H$432/$Z$424*$M$18,NA())</f>
        <v>#N/A</v>
      </c>
      <c r="BP439" s="144">
        <f>IF(AND($I$432=1,$C$432=0),$N$432+$H$432/$Z$424*$M$18,NA())</f>
        <v>0.232465615393405</v>
      </c>
    </row>
    <row r="440">
      <c r="A440" s="63" t="inlineStr">
        <is>
          <t xml:space="preserve">slot 6 (l)</t>
        </is>
      </c>
      <c r="B440" s="146">
        <v>6</v>
      </c>
      <c r="C440" s="146">
        <f>IFERROR(MATCH(B440,$F$426:$F$432,0),NA())</f>
        <v>5</v>
      </c>
      <c r="D440" s="145" t="str">
        <f>IFERROR(INDEX($AJ$426:$AJ$432,C440),"")</f>
        <v>S₅ (in D)</v>
      </c>
      <c r="E440" s="144">
        <f>IFERROR(INDEX($M$426:$M$432,C440),NA())</f>
        <v>-0.869565217391304</v>
      </c>
      <c r="F440" s="144">
        <f>IFERROR(INDEX($N$426:$N$432,C440),NA())</f>
        <v>0.524091809392732</v>
      </c>
      <c r="AN440" s="146">
        <v>14</v>
      </c>
      <c r="AO440" s="144" t="e">
        <f>IF($I$426=1,$M$426+$H$426/$Z$424*$L$19,NA())</f>
        <v>#N/A</v>
      </c>
      <c r="AP440" s="144" t="e">
        <f>IF($S$426=1,$N$426+$H$426/$Z$424*$M$19,NA())</f>
        <v>#N/A</v>
      </c>
      <c r="AQ440" s="144" t="e">
        <f>IF(AND($I$426=1,$C$426=1,$S$426=0),$N$426+$H$426/$Z$424*$M$19,NA())</f>
        <v>#N/A</v>
      </c>
      <c r="AR440" s="144" t="e">
        <f>IF(AND($I$426=1,$C$426=0),$N$426+$H$426/$Z$424*$M$19,NA())</f>
        <v>#N/A</v>
      </c>
      <c r="AS440" s="144" t="e">
        <f>IF($I$427=1,$M$427+$H$427/$Z$424*$L$19,NA())</f>
        <v>#N/A</v>
      </c>
      <c r="AT440" s="144" t="e">
        <f>IF($S$427=1,$N$427+$H$427/$Z$424*$M$19,NA())</f>
        <v>#N/A</v>
      </c>
      <c r="AU440" s="144" t="e">
        <f>IF(AND($I$427=1,$C$427=1,$S$427=0),$N$427+$H$427/$Z$424*$M$19,NA())</f>
        <v>#N/A</v>
      </c>
      <c r="AV440" s="144" t="e">
        <f>IF(AND($I$427=1,$C$427=0),$N$427+$H$427/$Z$424*$M$19,NA())</f>
        <v>#N/A</v>
      </c>
      <c r="AW440" s="144">
        <f>IF($I$428=1,$M$428+$H$428/$Z$424*$L$19,NA())</f>
        <v>-0.144732846368804</v>
      </c>
      <c r="AX440" s="144">
        <f>IF($S$428=1,$N$428+$H$428/$Z$424*$M$19,NA())</f>
        <v>-0.437951049272408</v>
      </c>
      <c r="AY440" s="144" t="e">
        <f>IF(AND($I$428=1,$C$428=1,$S$428=0),$N$428+$H$428/$Z$424*$M$19,NA())</f>
        <v>#N/A</v>
      </c>
      <c r="AZ440" s="144" t="e">
        <f>IF(AND($I$428=1,$C$428=0),$N$428+$H$428/$Z$424*$M$19,NA())</f>
        <v>#N/A</v>
      </c>
      <c r="BA440" s="144" t="e">
        <f>IF($I$429=1,$M$429+$H$429/$Z$424*$L$19,NA())</f>
        <v>#N/A</v>
      </c>
      <c r="BB440" s="144" t="e">
        <f>IF($S$429=1,$N$429+$H$429/$Z$424*$M$19,NA())</f>
        <v>#N/A</v>
      </c>
      <c r="BC440" s="144" t="e">
        <f>IF(AND($I$429=1,$C$429=1,$S$429=0),$N$429+$H$429/$Z$424*$M$19,NA())</f>
        <v>#N/A</v>
      </c>
      <c r="BD440" s="144" t="e">
        <f>IF(AND($I$429=1,$C$429=0),$N$429+$H$429/$Z$424*$M$19,NA())</f>
        <v>#N/A</v>
      </c>
      <c r="BE440" s="144" t="e">
        <f>IF($I$430=1,$M$430+$H$430/$Z$424*$L$19,NA())</f>
        <v>#N/A</v>
      </c>
      <c r="BF440" s="144" t="e">
        <f>IF($S$430=1,$N$430+$H$430/$Z$424*$M$19,NA())</f>
        <v>#N/A</v>
      </c>
      <c r="BG440" s="144" t="e">
        <f>IF(AND($I$430=1,$C$430=1,$S$430=0),$N$430+$H$430/$Z$424*$M$19,NA())</f>
        <v>#N/A</v>
      </c>
      <c r="BH440" s="144" t="e">
        <f>IF(AND($I$430=1,$C$430=0),$N$430+$H$430/$Z$424*$M$19,NA())</f>
        <v>#N/A</v>
      </c>
      <c r="BI440" s="144">
        <f>IF($I$431=1,$M$431+$H$431/$Z$424*$L$19,NA())</f>
        <v>-0.423235146305412</v>
      </c>
      <c r="BJ440" s="144" t="e">
        <f>IF($S$431=1,$N$431+$H$431/$Z$424*$M$19,NA())</f>
        <v>#N/A</v>
      </c>
      <c r="BK440" s="144">
        <f>IF(AND($I$431=1,$C$431=1,$S$431=0),$N$431+$H$431/$Z$424*$M$19,NA())</f>
        <v>-0.092971878709693</v>
      </c>
      <c r="BL440" s="144" t="e">
        <f>IF(AND($I$431=1,$C$431=0),$N$431+$H$431/$Z$424*$M$19,NA())</f>
        <v>#N/A</v>
      </c>
      <c r="BM440" s="144">
        <f>IF($I$432=1,$M$432+$H$432/$Z$424*$L$19,NA())</f>
        <v>-0.0179409781552752</v>
      </c>
      <c r="BN440" s="144" t="e">
        <f>IF($S$432=1,$N$432+$H$432/$Z$424*$M$19,NA())</f>
        <v>#N/A</v>
      </c>
      <c r="BO440" s="144" t="e">
        <f>IF(AND($I$432=1,$C$432=1,$S$432=0),$N$432+$H$432/$Z$424*$M$19,NA())</f>
        <v>#N/A</v>
      </c>
      <c r="BP440" s="144">
        <f>IF(AND($I$432=1,$C$432=0),$N$432+$H$432/$Z$424*$M$19,NA())</f>
        <v>0.141024818372774</v>
      </c>
    </row>
    <row r="441">
      <c r="A441" s="63" t="inlineStr">
        <is>
          <t xml:space="preserve">centre (b)</t>
        </is>
      </c>
      <c r="C441" s="146">
        <f>IF($Q$424=0,NA(),$Q$424)</f>
        <v>6</v>
      </c>
      <c r="D441" s="145" t="str">
        <f>IF($Q$424=0,"",INDEX($AJ$426:$AJ$432,$Q$424))</f>
        <v>S₆ = Sᵢ  → D</v>
      </c>
      <c r="E441" s="144">
        <f>IF($Q$424=0,NA(),INDEX($M$426:$M$432,$Q$424))</f>
        <v>-0.11200735219874</v>
      </c>
      <c r="F441" s="144">
        <f>IF($Q$424=0,NA(),INDEX($N$426:$N$432,$Q$424))</f>
        <v>0.0867155719970874</v>
      </c>
      <c r="AN441" s="146">
        <v>15</v>
      </c>
      <c r="AO441" s="144" t="e">
        <f>IF($I$426=1,$M$426+$H$426/$Z$424*$L$20,NA())</f>
        <v>#N/A</v>
      </c>
      <c r="AP441" s="144" t="e">
        <f>IF($S$426=1,$N$426+$H$426/$Z$424*$M$20,NA())</f>
        <v>#N/A</v>
      </c>
      <c r="AQ441" s="144" t="e">
        <f>IF(AND($I$426=1,$C$426=1,$S$426=0),$N$426+$H$426/$Z$424*$M$20,NA())</f>
        <v>#N/A</v>
      </c>
      <c r="AR441" s="144" t="e">
        <f>IF(AND($I$426=1,$C$426=0),$N$426+$H$426/$Z$424*$M$20,NA())</f>
        <v>#N/A</v>
      </c>
      <c r="AS441" s="144" t="e">
        <f>IF($I$427=1,$M$427+$H$427/$Z$424*$L$20,NA())</f>
        <v>#N/A</v>
      </c>
      <c r="AT441" s="144" t="e">
        <f>IF($S$427=1,$N$427+$H$427/$Z$424*$M$20,NA())</f>
        <v>#N/A</v>
      </c>
      <c r="AU441" s="144" t="e">
        <f>IF(AND($I$427=1,$C$427=1,$S$427=0),$N$427+$H$427/$Z$424*$M$20,NA())</f>
        <v>#N/A</v>
      </c>
      <c r="AV441" s="144" t="e">
        <f>IF(AND($I$427=1,$C$427=0),$N$427+$H$427/$Z$424*$M$20,NA())</f>
        <v>#N/A</v>
      </c>
      <c r="AW441" s="144">
        <f>IF($I$428=1,$M$428+$H$428/$Z$424*$L$20,NA())</f>
        <v>-0.0583509295580482</v>
      </c>
      <c r="AX441" s="144">
        <f>IF($S$428=1,$N$428+$H$428/$Z$424*$M$20,NA())</f>
        <v>-0.550526155014843</v>
      </c>
      <c r="AY441" s="144" t="e">
        <f>IF(AND($I$428=1,$C$428=1,$S$428=0),$N$428+$H$428/$Z$424*$M$20,NA())</f>
        <v>#N/A</v>
      </c>
      <c r="AZ441" s="144" t="e">
        <f>IF(AND($I$428=1,$C$428=0),$N$428+$H$428/$Z$424*$M$20,NA())</f>
        <v>#N/A</v>
      </c>
      <c r="BA441" s="144" t="e">
        <f>IF($I$429=1,$M$429+$H$429/$Z$424*$L$20,NA())</f>
        <v>#N/A</v>
      </c>
      <c r="BB441" s="144" t="e">
        <f>IF($S$429=1,$N$429+$H$429/$Z$424*$M$20,NA())</f>
        <v>#N/A</v>
      </c>
      <c r="BC441" s="144" t="e">
        <f>IF(AND($I$429=1,$C$429=1,$S$429=0),$N$429+$H$429/$Z$424*$M$20,NA())</f>
        <v>#N/A</v>
      </c>
      <c r="BD441" s="144" t="e">
        <f>IF(AND($I$429=1,$C$429=0),$N$429+$H$429/$Z$424*$M$20,NA())</f>
        <v>#N/A</v>
      </c>
      <c r="BE441" s="144" t="e">
        <f>IF($I$430=1,$M$430+$H$430/$Z$424*$L$20,NA())</f>
        <v>#N/A</v>
      </c>
      <c r="BF441" s="144" t="e">
        <f>IF($S$430=1,$N$430+$H$430/$Z$424*$M$20,NA())</f>
        <v>#N/A</v>
      </c>
      <c r="BG441" s="144" t="e">
        <f>IF(AND($I$430=1,$C$430=1,$S$430=0),$N$430+$H$430/$Z$424*$M$20,NA())</f>
        <v>#N/A</v>
      </c>
      <c r="BH441" s="144" t="e">
        <f>IF(AND($I$430=1,$C$430=0),$N$430+$H$430/$Z$424*$M$20,NA())</f>
        <v>#N/A</v>
      </c>
      <c r="BI441" s="144">
        <f>IF($I$431=1,$M$431+$H$431/$Z$424*$L$20,NA())</f>
        <v>-0.366123781976517</v>
      </c>
      <c r="BJ441" s="144" t="e">
        <f>IF($S$431=1,$N$431+$H$431/$Z$424*$M$20,NA())</f>
        <v>#N/A</v>
      </c>
      <c r="BK441" s="144">
        <f>IF(AND($I$431=1,$C$431=1,$S$431=0),$N$431+$H$431/$Z$424*$M$20,NA())</f>
        <v>-0.167400857780688</v>
      </c>
      <c r="BL441" s="144" t="e">
        <f>IF(AND($I$431=1,$C$431=0),$N$431+$H$431/$Z$424*$M$20,NA())</f>
        <v>#N/A</v>
      </c>
      <c r="BM441" s="144">
        <f>IF($I$432=1,$M$432+$H$432/$Z$424*$L$20,NA())</f>
        <v>0.0423110658668121</v>
      </c>
      <c r="BN441" s="144" t="e">
        <f>IF($S$432=1,$N$432+$H$432/$Z$424*$M$20,NA())</f>
        <v>#N/A</v>
      </c>
      <c r="BO441" s="144" t="e">
        <f>IF(AND($I$432=1,$C$432=1,$S$432=0),$N$432+$H$432/$Z$424*$M$20,NA())</f>
        <v>#N/A</v>
      </c>
      <c r="BP441" s="144">
        <f>IF(AND($I$432=1,$C$432=0),$N$432+$H$432/$Z$424*$M$20,NA())</f>
        <v>0.0625028258376447</v>
      </c>
    </row>
    <row r="442">
      <c r="A442" s="63" t="inlineStr">
        <is>
          <t xml:space="preserve">caption, top left (r)</t>
        </is>
      </c>
      <c r="D442" s="145" t="str">
        <f>IF($Q$424=0,"","Sᵢ = "&amp;'ERDR Iterations'!$K$114&amp;"   ·   L = "&amp;'ERDR Iterations'!$K$117)</f>
        <v>Sᵢ = S₆   ·   L = {S₃}</v>
      </c>
      <c r="E442" s="144">
        <f>IF($Q$424=0,NA(),-0.97)</f>
        <v>-0.97</v>
      </c>
      <c r="F442" s="144">
        <f>IF($Q$424=0,NA(),0.955)</f>
        <v>0.955</v>
      </c>
      <c r="AN442" s="146">
        <v>16</v>
      </c>
      <c r="AO442" s="144" t="e">
        <f>IF($I$426=1,$M$426+$H$426/$Z$424*$L$21,NA())</f>
        <v>#N/A</v>
      </c>
      <c r="AP442" s="144" t="e">
        <f>IF($S$426=1,$N$426+$H$426/$Z$424*$M$21,NA())</f>
        <v>#N/A</v>
      </c>
      <c r="AQ442" s="144" t="e">
        <f>IF(AND($I$426=1,$C$426=1,$S$426=0),$N$426+$H$426/$Z$424*$M$21,NA())</f>
        <v>#N/A</v>
      </c>
      <c r="AR442" s="144" t="e">
        <f>IF(AND($I$426=1,$C$426=0),$N$426+$H$426/$Z$424*$M$21,NA())</f>
        <v>#N/A</v>
      </c>
      <c r="AS442" s="144" t="e">
        <f>IF($I$427=1,$M$427+$H$427/$Z$424*$L$21,NA())</f>
        <v>#N/A</v>
      </c>
      <c r="AT442" s="144" t="e">
        <f>IF($S$427=1,$N$427+$H$427/$Z$424*$M$21,NA())</f>
        <v>#N/A</v>
      </c>
      <c r="AU442" s="144" t="e">
        <f>IF(AND($I$427=1,$C$427=1,$S$427=0),$N$427+$H$427/$Z$424*$M$21,NA())</f>
        <v>#N/A</v>
      </c>
      <c r="AV442" s="144" t="e">
        <f>IF(AND($I$427=1,$C$427=0),$N$427+$H$427/$Z$424*$M$21,NA())</f>
        <v>#N/A</v>
      </c>
      <c r="AW442" s="144">
        <f>IF($I$428=1,$M$428+$H$428/$Z$424*$L$21,NA())</f>
        <v>0.054224176184387</v>
      </c>
      <c r="AX442" s="144">
        <f>IF($S$428=1,$N$428+$H$428/$Z$424*$M$21,NA())</f>
        <v>-0.636908071825599</v>
      </c>
      <c r="AY442" s="144" t="e">
        <f>IF(AND($I$428=1,$C$428=1,$S$428=0),$N$428+$H$428/$Z$424*$M$21,NA())</f>
        <v>#N/A</v>
      </c>
      <c r="AZ442" s="144" t="e">
        <f>IF(AND($I$428=1,$C$428=0),$N$428+$H$428/$Z$424*$M$21,NA())</f>
        <v>#N/A</v>
      </c>
      <c r="BA442" s="144" t="e">
        <f>IF($I$429=1,$M$429+$H$429/$Z$424*$L$21,NA())</f>
        <v>#N/A</v>
      </c>
      <c r="BB442" s="144" t="e">
        <f>IF($S$429=1,$N$429+$H$429/$Z$424*$M$21,NA())</f>
        <v>#N/A</v>
      </c>
      <c r="BC442" s="144" t="e">
        <f>IF(AND($I$429=1,$C$429=1,$S$429=0),$N$429+$H$429/$Z$424*$M$21,NA())</f>
        <v>#N/A</v>
      </c>
      <c r="BD442" s="144" t="e">
        <f>IF(AND($I$429=1,$C$429=0),$N$429+$H$429/$Z$424*$M$21,NA())</f>
        <v>#N/A</v>
      </c>
      <c r="BE442" s="144" t="e">
        <f>IF($I$430=1,$M$430+$H$430/$Z$424*$L$21,NA())</f>
        <v>#N/A</v>
      </c>
      <c r="BF442" s="144" t="e">
        <f>IF($S$430=1,$N$430+$H$430/$Z$424*$M$21,NA())</f>
        <v>#N/A</v>
      </c>
      <c r="BG442" s="144" t="e">
        <f>IF(AND($I$430=1,$C$430=1,$S$430=0),$N$430+$H$430/$Z$424*$M$21,NA())</f>
        <v>#N/A</v>
      </c>
      <c r="BH442" s="144" t="e">
        <f>IF(AND($I$430=1,$C$430=0),$N$430+$H$430/$Z$424*$M$21,NA())</f>
        <v>#N/A</v>
      </c>
      <c r="BI442" s="144">
        <f>IF($I$431=1,$M$431+$H$431/$Z$424*$L$21,NA())</f>
        <v>-0.291694802905521</v>
      </c>
      <c r="BJ442" s="144" t="e">
        <f>IF($S$431=1,$N$431+$H$431/$Z$424*$M$21,NA())</f>
        <v>#N/A</v>
      </c>
      <c r="BK442" s="144">
        <f>IF(AND($I$431=1,$C$431=1,$S$431=0),$N$431+$H$431/$Z$424*$M$21,NA())</f>
        <v>-0.224512222109584</v>
      </c>
      <c r="BL442" s="144" t="e">
        <f>IF(AND($I$431=1,$C$431=0),$N$431+$H$431/$Z$424*$M$21,NA())</f>
        <v>#N/A</v>
      </c>
      <c r="BM442" s="144">
        <f>IF($I$432=1,$M$432+$H$432/$Z$424*$L$21,NA())</f>
        <v>0.120833058401942</v>
      </c>
      <c r="BN442" s="144" t="e">
        <f>IF($S$432=1,$N$432+$H$432/$Z$424*$M$21,NA())</f>
        <v>#N/A</v>
      </c>
      <c r="BO442" s="144" t="e">
        <f>IF(AND($I$432=1,$C$432=1,$S$432=0),$N$432+$H$432/$Z$424*$M$21,NA())</f>
        <v>#N/A</v>
      </c>
      <c r="BP442" s="144">
        <f>IF(AND($I$432=1,$C$432=0),$N$432+$H$432/$Z$424*$M$21,NA())</f>
        <v>0.00225078181555727</v>
      </c>
    </row>
    <row r="443">
      <c r="A443" s="63" t="inlineStr">
        <is>
          <t xml:space="preserve">caption, bottom left (r)</t>
        </is>
      </c>
      <c r="D443" s="145" t="str">
        <f>IF($Q$424=0,"",'ERDR Iterations'!$K$119)</f>
        <v>|L| = 1 → Sᵢ moves to D</v>
      </c>
      <c r="E443" s="144">
        <f>IF($Q$424=0,NA(),-0.97)</f>
        <v>-0.97</v>
      </c>
      <c r="F443" s="144">
        <f>IF($Q$424=0,NA(),-0.955)</f>
        <v>-0.955</v>
      </c>
      <c r="AN443" s="146">
        <v>17</v>
      </c>
      <c r="AO443" s="144" t="e">
        <f>IF($I$426=1,$M$426+$H$426/$Z$424*$L$22,NA())</f>
        <v>#N/A</v>
      </c>
      <c r="AP443" s="144" t="e">
        <f>IF($S$426=1,$N$426+$H$426/$Z$424*$M$22,NA())</f>
        <v>#N/A</v>
      </c>
      <c r="AQ443" s="144" t="e">
        <f>IF(AND($I$426=1,$C$426=1,$S$426=0),$N$426+$H$426/$Z$424*$M$22,NA())</f>
        <v>#N/A</v>
      </c>
      <c r="AR443" s="144" t="e">
        <f>IF(AND($I$426=1,$C$426=0),$N$426+$H$426/$Z$424*$M$22,NA())</f>
        <v>#N/A</v>
      </c>
      <c r="AS443" s="144" t="e">
        <f>IF($I$427=1,$M$427+$H$427/$Z$424*$L$22,NA())</f>
        <v>#N/A</v>
      </c>
      <c r="AT443" s="144" t="e">
        <f>IF($S$427=1,$N$427+$H$427/$Z$424*$M$22,NA())</f>
        <v>#N/A</v>
      </c>
      <c r="AU443" s="144" t="e">
        <f>IF(AND($I$427=1,$C$427=1,$S$427=0),$N$427+$H$427/$Z$424*$M$22,NA())</f>
        <v>#N/A</v>
      </c>
      <c r="AV443" s="144" t="e">
        <f>IF(AND($I$427=1,$C$427=0),$N$427+$H$427/$Z$424*$M$22,NA())</f>
        <v>#N/A</v>
      </c>
      <c r="AW443" s="144">
        <f>IF($I$428=1,$M$428+$H$428/$Z$424*$L$22,NA())</f>
        <v>0.185320663441313</v>
      </c>
      <c r="AX443" s="144">
        <f>IF($S$428=1,$N$428+$H$428/$Z$424*$M$22,NA())</f>
        <v>-0.691210014826889</v>
      </c>
      <c r="AY443" s="144" t="e">
        <f>IF(AND($I$428=1,$C$428=1,$S$428=0),$N$428+$H$428/$Z$424*$M$22,NA())</f>
        <v>#N/A</v>
      </c>
      <c r="AZ443" s="144" t="e">
        <f>IF(AND($I$428=1,$C$428=0),$N$428+$H$428/$Z$424*$M$22,NA())</f>
        <v>#N/A</v>
      </c>
      <c r="BA443" s="144" t="e">
        <f>IF($I$429=1,$M$429+$H$429/$Z$424*$L$22,NA())</f>
        <v>#N/A</v>
      </c>
      <c r="BB443" s="144" t="e">
        <f>IF($S$429=1,$N$429+$H$429/$Z$424*$M$22,NA())</f>
        <v>#N/A</v>
      </c>
      <c r="BC443" s="144" t="e">
        <f>IF(AND($I$429=1,$C$429=1,$S$429=0),$N$429+$H$429/$Z$424*$M$22,NA())</f>
        <v>#N/A</v>
      </c>
      <c r="BD443" s="144" t="e">
        <f>IF(AND($I$429=1,$C$429=0),$N$429+$H$429/$Z$424*$M$22,NA())</f>
        <v>#N/A</v>
      </c>
      <c r="BE443" s="144" t="e">
        <f>IF($I$430=1,$M$430+$H$430/$Z$424*$L$22,NA())</f>
        <v>#N/A</v>
      </c>
      <c r="BF443" s="144" t="e">
        <f>IF($S$430=1,$N$430+$H$430/$Z$424*$M$22,NA())</f>
        <v>#N/A</v>
      </c>
      <c r="BG443" s="144" t="e">
        <f>IF(AND($I$430=1,$C$430=1,$S$430=0),$N$430+$H$430/$Z$424*$M$22,NA())</f>
        <v>#N/A</v>
      </c>
      <c r="BH443" s="144" t="e">
        <f>IF(AND($I$430=1,$C$430=0),$N$430+$H$430/$Z$424*$M$22,NA())</f>
        <v>#N/A</v>
      </c>
      <c r="BI443" s="144">
        <f>IF($I$431=1,$M$431+$H$431/$Z$424*$L$22,NA())</f>
        <v>-0.205020421016411</v>
      </c>
      <c r="BJ443" s="144" t="e">
        <f>IF($S$431=1,$N$431+$H$431/$Z$424*$M$22,NA())</f>
        <v>#N/A</v>
      </c>
      <c r="BK443" s="144">
        <f>IF(AND($I$431=1,$C$431=1,$S$431=0),$N$431+$H$431/$Z$424*$M$22,NA())</f>
        <v>-0.260413926598359</v>
      </c>
      <c r="BL443" s="144" t="e">
        <f>IF(AND($I$431=1,$C$431=0),$N$431+$H$431/$Z$424*$M$22,NA())</f>
        <v>#N/A</v>
      </c>
      <c r="BM443" s="144">
        <f>IF($I$432=1,$M$432+$H$432/$Z$424*$L$22,NA())</f>
        <v>0.212273855422573</v>
      </c>
      <c r="BN443" s="144" t="e">
        <f>IF($S$432=1,$N$432+$H$432/$Z$424*$M$22,NA())</f>
        <v>#N/A</v>
      </c>
      <c r="BO443" s="144" t="e">
        <f>IF(AND($I$432=1,$C$432=1,$S$432=0),$N$432+$H$432/$Z$424*$M$22,NA())</f>
        <v>#N/A</v>
      </c>
      <c r="BP443" s="144">
        <f>IF(AND($I$432=1,$C$432=0),$N$432+$H$432/$Z$424*$M$22,NA())</f>
        <v>-0.0356252364645934</v>
      </c>
    </row>
    <row r="444">
      <c r="AN444" s="146">
        <v>18</v>
      </c>
      <c r="AO444" s="144" t="e">
        <f>IF($I$426=1,$M$426+$H$426/$Z$424*$L$23,NA())</f>
        <v>#N/A</v>
      </c>
      <c r="AP444" s="144" t="e">
        <f>IF($S$426=1,$N$426+$H$426/$Z$424*$M$23,NA())</f>
        <v>#N/A</v>
      </c>
      <c r="AQ444" s="144" t="e">
        <f>IF(AND($I$426=1,$C$426=1,$S$426=0),$N$426+$H$426/$Z$424*$M$23,NA())</f>
        <v>#N/A</v>
      </c>
      <c r="AR444" s="144" t="e">
        <f>IF(AND($I$426=1,$C$426=0),$N$426+$H$426/$Z$424*$M$23,NA())</f>
        <v>#N/A</v>
      </c>
      <c r="AS444" s="144" t="e">
        <f>IF($I$427=1,$M$427+$H$427/$Z$424*$L$23,NA())</f>
        <v>#N/A</v>
      </c>
      <c r="AT444" s="144" t="e">
        <f>IF($S$427=1,$N$427+$H$427/$Z$424*$M$23,NA())</f>
        <v>#N/A</v>
      </c>
      <c r="AU444" s="144" t="e">
        <f>IF(AND($I$427=1,$C$427=1,$S$427=0),$N$427+$H$427/$Z$424*$M$23,NA())</f>
        <v>#N/A</v>
      </c>
      <c r="AV444" s="144" t="e">
        <f>IF(AND($I$427=1,$C$427=0),$N$427+$H$427/$Z$424*$M$23,NA())</f>
        <v>#N/A</v>
      </c>
      <c r="AW444" s="144">
        <f>IF($I$428=1,$M$428+$H$428/$Z$424*$L$23,NA())</f>
        <v>0.32600452325336</v>
      </c>
      <c r="AX444" s="144">
        <f>IF($S$428=1,$N$428+$H$428/$Z$424*$M$23,NA())</f>
        <v>-0.70973139634138</v>
      </c>
      <c r="AY444" s="144" t="e">
        <f>IF(AND($I$428=1,$C$428=1,$S$428=0),$N$428+$H$428/$Z$424*$M$23,NA())</f>
        <v>#N/A</v>
      </c>
      <c r="AZ444" s="144" t="e">
        <f>IF(AND($I$428=1,$C$428=0),$N$428+$H$428/$Z$424*$M$23,NA())</f>
        <v>#N/A</v>
      </c>
      <c r="BA444" s="144" t="e">
        <f>IF($I$429=1,$M$429+$H$429/$Z$424*$L$23,NA())</f>
        <v>#N/A</v>
      </c>
      <c r="BB444" s="144" t="e">
        <f>IF($S$429=1,$N$429+$H$429/$Z$424*$M$23,NA())</f>
        <v>#N/A</v>
      </c>
      <c r="BC444" s="144" t="e">
        <f>IF(AND($I$429=1,$C$429=1,$S$429=0),$N$429+$H$429/$Z$424*$M$23,NA())</f>
        <v>#N/A</v>
      </c>
      <c r="BD444" s="144" t="e">
        <f>IF(AND($I$429=1,$C$429=0),$N$429+$H$429/$Z$424*$M$23,NA())</f>
        <v>#N/A</v>
      </c>
      <c r="BE444" s="144" t="e">
        <f>IF($I$430=1,$M$430+$H$430/$Z$424*$L$23,NA())</f>
        <v>#N/A</v>
      </c>
      <c r="BF444" s="144" t="e">
        <f>IF($S$430=1,$N$430+$H$430/$Z$424*$M$23,NA())</f>
        <v>#N/A</v>
      </c>
      <c r="BG444" s="144" t="e">
        <f>IF(AND($I$430=1,$C$430=1,$S$430=0),$N$430+$H$430/$Z$424*$M$23,NA())</f>
        <v>#N/A</v>
      </c>
      <c r="BH444" s="144" t="e">
        <f>IF(AND($I$430=1,$C$430=0),$N$430+$H$430/$Z$424*$M$23,NA())</f>
        <v>#N/A</v>
      </c>
      <c r="BI444" s="144">
        <f>IF($I$431=1,$M$431+$H$431/$Z$424*$L$23,NA())</f>
        <v>-0.112007352198741</v>
      </c>
      <c r="BJ444" s="144" t="e">
        <f>IF($S$431=1,$N$431+$H$431/$Z$424*$M$23,NA())</f>
        <v>#N/A</v>
      </c>
      <c r="BK444" s="144">
        <f>IF(AND($I$431=1,$C$431=1,$S$431=0),$N$431+$H$431/$Z$424*$M$23,NA())</f>
        <v>-0.272659329416474</v>
      </c>
      <c r="BL444" s="144" t="e">
        <f>IF(AND($I$431=1,$C$431=0),$N$431+$H$431/$Z$424*$M$23,NA())</f>
        <v>#N/A</v>
      </c>
      <c r="BM444" s="144">
        <f>IF($I$432=1,$M$432+$H$432/$Z$424*$L$23,NA())</f>
        <v>0.31040191772481</v>
      </c>
      <c r="BN444" s="144" t="e">
        <f>IF($S$432=1,$N$432+$H$432/$Z$424*$M$23,NA())</f>
        <v>#N/A</v>
      </c>
      <c r="BO444" s="144" t="e">
        <f>IF(AND($I$432=1,$C$432=1,$S$432=0),$N$432+$H$432/$Z$424*$M$23,NA())</f>
        <v>#N/A</v>
      </c>
      <c r="BP444" s="144">
        <f>IF(AND($I$432=1,$C$432=0),$N$432+$H$432/$Z$424*$M$23,NA())</f>
        <v>-0.0485440409500946</v>
      </c>
    </row>
    <row r="445">
      <c r="AN445" s="146">
        <v>19</v>
      </c>
      <c r="AO445" s="144" t="e">
        <f>IF($I$426=1,$M$426+$H$426/$Z$424*$L$24,NA())</f>
        <v>#N/A</v>
      </c>
      <c r="AP445" s="144" t="e">
        <f>IF($S$426=1,$N$426+$H$426/$Z$424*$M$24,NA())</f>
        <v>#N/A</v>
      </c>
      <c r="AQ445" s="144" t="e">
        <f>IF(AND($I$426=1,$C$426=1,$S$426=0),$N$426+$H$426/$Z$424*$M$24,NA())</f>
        <v>#N/A</v>
      </c>
      <c r="AR445" s="144" t="e">
        <f>IF(AND($I$426=1,$C$426=0),$N$426+$H$426/$Z$424*$M$24,NA())</f>
        <v>#N/A</v>
      </c>
      <c r="AS445" s="144" t="e">
        <f>IF($I$427=1,$M$427+$H$427/$Z$424*$L$24,NA())</f>
        <v>#N/A</v>
      </c>
      <c r="AT445" s="144" t="e">
        <f>IF($S$427=1,$N$427+$H$427/$Z$424*$M$24,NA())</f>
        <v>#N/A</v>
      </c>
      <c r="AU445" s="144" t="e">
        <f>IF(AND($I$427=1,$C$427=1,$S$427=0),$N$427+$H$427/$Z$424*$M$24,NA())</f>
        <v>#N/A</v>
      </c>
      <c r="AV445" s="144" t="e">
        <f>IF(AND($I$427=1,$C$427=0),$N$427+$H$427/$Z$424*$M$24,NA())</f>
        <v>#N/A</v>
      </c>
      <c r="AW445" s="144">
        <f>IF($I$428=1,$M$428+$H$428/$Z$424*$L$24,NA())</f>
        <v>0.466688383065406</v>
      </c>
      <c r="AX445" s="144">
        <f>IF($S$428=1,$N$428+$H$428/$Z$424*$M$24,NA())</f>
        <v>-0.691210014826889</v>
      </c>
      <c r="AY445" s="144" t="e">
        <f>IF(AND($I$428=1,$C$428=1,$S$428=0),$N$428+$H$428/$Z$424*$M$24,NA())</f>
        <v>#N/A</v>
      </c>
      <c r="AZ445" s="144" t="e">
        <f>IF(AND($I$428=1,$C$428=0),$N$428+$H$428/$Z$424*$M$24,NA())</f>
        <v>#N/A</v>
      </c>
      <c r="BA445" s="144" t="e">
        <f>IF($I$429=1,$M$429+$H$429/$Z$424*$L$24,NA())</f>
        <v>#N/A</v>
      </c>
      <c r="BB445" s="144" t="e">
        <f>IF($S$429=1,$N$429+$H$429/$Z$424*$M$24,NA())</f>
        <v>#N/A</v>
      </c>
      <c r="BC445" s="144" t="e">
        <f>IF(AND($I$429=1,$C$429=1,$S$429=0),$N$429+$H$429/$Z$424*$M$24,NA())</f>
        <v>#N/A</v>
      </c>
      <c r="BD445" s="144" t="e">
        <f>IF(AND($I$429=1,$C$429=0),$N$429+$H$429/$Z$424*$M$24,NA())</f>
        <v>#N/A</v>
      </c>
      <c r="BE445" s="144" t="e">
        <f>IF($I$430=1,$M$430+$H$430/$Z$424*$L$24,NA())</f>
        <v>#N/A</v>
      </c>
      <c r="BF445" s="144" t="e">
        <f>IF($S$430=1,$N$430+$H$430/$Z$424*$M$24,NA())</f>
        <v>#N/A</v>
      </c>
      <c r="BG445" s="144" t="e">
        <f>IF(AND($I$430=1,$C$430=1,$S$430=0),$N$430+$H$430/$Z$424*$M$24,NA())</f>
        <v>#N/A</v>
      </c>
      <c r="BH445" s="144" t="e">
        <f>IF(AND($I$430=1,$C$430=0),$N$430+$H$430/$Z$424*$M$24,NA())</f>
        <v>#N/A</v>
      </c>
      <c r="BI445" s="144">
        <f>IF($I$431=1,$M$431+$H$431/$Z$424*$L$24,NA())</f>
        <v>-0.0189942833810703</v>
      </c>
      <c r="BJ445" s="144" t="e">
        <f>IF($S$431=1,$N$431+$H$431/$Z$424*$M$24,NA())</f>
        <v>#N/A</v>
      </c>
      <c r="BK445" s="144">
        <f>IF(AND($I$431=1,$C$431=1,$S$431=0),$N$431+$H$431/$Z$424*$M$24,NA())</f>
        <v>-0.260413926598359</v>
      </c>
      <c r="BL445" s="144" t="e">
        <f>IF(AND($I$431=1,$C$431=0),$N$431+$H$431/$Z$424*$M$24,NA())</f>
        <v>#N/A</v>
      </c>
      <c r="BM445" s="144">
        <f>IF($I$432=1,$M$432+$H$432/$Z$424*$L$24,NA())</f>
        <v>0.408529980027048</v>
      </c>
      <c r="BN445" s="144" t="e">
        <f>IF($S$432=1,$N$432+$H$432/$Z$424*$M$24,NA())</f>
        <v>#N/A</v>
      </c>
      <c r="BO445" s="144" t="e">
        <f>IF(AND($I$432=1,$C$432=1,$S$432=0),$N$432+$H$432/$Z$424*$M$24,NA())</f>
        <v>#N/A</v>
      </c>
      <c r="BP445" s="144">
        <f>IF(AND($I$432=1,$C$432=0),$N$432+$H$432/$Z$424*$M$24,NA())</f>
        <v>-0.0356252364645935</v>
      </c>
    </row>
    <row r="446">
      <c r="AN446" s="146">
        <v>20</v>
      </c>
      <c r="AO446" s="144" t="e">
        <f>IF($I$426=1,$M$426+$H$426/$Z$424*$L$25,NA())</f>
        <v>#N/A</v>
      </c>
      <c r="AP446" s="144" t="e">
        <f>IF($S$426=1,$N$426+$H$426/$Z$424*$M$25,NA())</f>
        <v>#N/A</v>
      </c>
      <c r="AQ446" s="144" t="e">
        <f>IF(AND($I$426=1,$C$426=1,$S$426=0),$N$426+$H$426/$Z$424*$M$25,NA())</f>
        <v>#N/A</v>
      </c>
      <c r="AR446" s="144" t="e">
        <f>IF(AND($I$426=1,$C$426=0),$N$426+$H$426/$Z$424*$M$25,NA())</f>
        <v>#N/A</v>
      </c>
      <c r="AS446" s="144" t="e">
        <f>IF($I$427=1,$M$427+$H$427/$Z$424*$L$25,NA())</f>
        <v>#N/A</v>
      </c>
      <c r="AT446" s="144" t="e">
        <f>IF($S$427=1,$N$427+$H$427/$Z$424*$M$25,NA())</f>
        <v>#N/A</v>
      </c>
      <c r="AU446" s="144" t="e">
        <f>IF(AND($I$427=1,$C$427=1,$S$427=0),$N$427+$H$427/$Z$424*$M$25,NA())</f>
        <v>#N/A</v>
      </c>
      <c r="AV446" s="144" t="e">
        <f>IF(AND($I$427=1,$C$427=0),$N$427+$H$427/$Z$424*$M$25,NA())</f>
        <v>#N/A</v>
      </c>
      <c r="AW446" s="144">
        <f>IF($I$428=1,$M$428+$H$428/$Z$424*$L$25,NA())</f>
        <v>0.597784870322332</v>
      </c>
      <c r="AX446" s="144">
        <f>IF($S$428=1,$N$428+$H$428/$Z$424*$M$25,NA())</f>
        <v>-0.636908071825599</v>
      </c>
      <c r="AY446" s="144" t="e">
        <f>IF(AND($I$428=1,$C$428=1,$S$428=0),$N$428+$H$428/$Z$424*$M$25,NA())</f>
        <v>#N/A</v>
      </c>
      <c r="AZ446" s="144" t="e">
        <f>IF(AND($I$428=1,$C$428=0),$N$428+$H$428/$Z$424*$M$25,NA())</f>
        <v>#N/A</v>
      </c>
      <c r="BA446" s="144" t="e">
        <f>IF($I$429=1,$M$429+$H$429/$Z$424*$L$25,NA())</f>
        <v>#N/A</v>
      </c>
      <c r="BB446" s="144" t="e">
        <f>IF($S$429=1,$N$429+$H$429/$Z$424*$M$25,NA())</f>
        <v>#N/A</v>
      </c>
      <c r="BC446" s="144" t="e">
        <f>IF(AND($I$429=1,$C$429=1,$S$429=0),$N$429+$H$429/$Z$424*$M$25,NA())</f>
        <v>#N/A</v>
      </c>
      <c r="BD446" s="144" t="e">
        <f>IF(AND($I$429=1,$C$429=0),$N$429+$H$429/$Z$424*$M$25,NA())</f>
        <v>#N/A</v>
      </c>
      <c r="BE446" s="144" t="e">
        <f>IF($I$430=1,$M$430+$H$430/$Z$424*$L$25,NA())</f>
        <v>#N/A</v>
      </c>
      <c r="BF446" s="144" t="e">
        <f>IF($S$430=1,$N$430+$H$430/$Z$424*$M$25,NA())</f>
        <v>#N/A</v>
      </c>
      <c r="BG446" s="144" t="e">
        <f>IF(AND($I$430=1,$C$430=1,$S$430=0),$N$430+$H$430/$Z$424*$M$25,NA())</f>
        <v>#N/A</v>
      </c>
      <c r="BH446" s="144" t="e">
        <f>IF(AND($I$430=1,$C$430=0),$N$430+$H$430/$Z$424*$M$25,NA())</f>
        <v>#N/A</v>
      </c>
      <c r="BI446" s="144">
        <f>IF($I$431=1,$M$431+$H$431/$Z$424*$L$25,NA())</f>
        <v>0.06768009850804</v>
      </c>
      <c r="BJ446" s="144" t="e">
        <f>IF($S$431=1,$N$431+$H$431/$Z$424*$M$25,NA())</f>
        <v>#N/A</v>
      </c>
      <c r="BK446" s="144">
        <f>IF(AND($I$431=1,$C$431=1,$S$431=0),$N$431+$H$431/$Z$424*$M$25,NA())</f>
        <v>-0.224512222109585</v>
      </c>
      <c r="BL446" s="144" t="e">
        <f>IF(AND($I$431=1,$C$431=0),$N$431+$H$431/$Z$424*$M$25,NA())</f>
        <v>#N/A</v>
      </c>
      <c r="BM446" s="144">
        <f>IF($I$432=1,$M$432+$H$432/$Z$424*$L$25,NA())</f>
        <v>0.499970777047679</v>
      </c>
      <c r="BN446" s="144" t="e">
        <f>IF($S$432=1,$N$432+$H$432/$Z$424*$M$25,NA())</f>
        <v>#N/A</v>
      </c>
      <c r="BO446" s="144" t="e">
        <f>IF(AND($I$432=1,$C$432=1,$S$432=0),$N$432+$H$432/$Z$424*$M$25,NA())</f>
        <v>#N/A</v>
      </c>
      <c r="BP446" s="144">
        <f>IF(AND($I$432=1,$C$432=0),$N$432+$H$432/$Z$424*$M$25,NA())</f>
        <v>0.00225078181555716</v>
      </c>
    </row>
    <row r="447">
      <c r="AN447" s="146">
        <v>21</v>
      </c>
      <c r="AO447" s="144" t="e">
        <f>IF($I$426=1,$M$426+$H$426/$Z$424*$L$26,NA())</f>
        <v>#N/A</v>
      </c>
      <c r="AP447" s="144" t="e">
        <f>IF($S$426=1,$N$426+$H$426/$Z$424*$M$26,NA())</f>
        <v>#N/A</v>
      </c>
      <c r="AQ447" s="144" t="e">
        <f>IF(AND($I$426=1,$C$426=1,$S$426=0),$N$426+$H$426/$Z$424*$M$26,NA())</f>
        <v>#N/A</v>
      </c>
      <c r="AR447" s="144" t="e">
        <f>IF(AND($I$426=1,$C$426=0),$N$426+$H$426/$Z$424*$M$26,NA())</f>
        <v>#N/A</v>
      </c>
      <c r="AS447" s="144" t="e">
        <f>IF($I$427=1,$M$427+$H$427/$Z$424*$L$26,NA())</f>
        <v>#N/A</v>
      </c>
      <c r="AT447" s="144" t="e">
        <f>IF($S$427=1,$N$427+$H$427/$Z$424*$M$26,NA())</f>
        <v>#N/A</v>
      </c>
      <c r="AU447" s="144" t="e">
        <f>IF(AND($I$427=1,$C$427=1,$S$427=0),$N$427+$H$427/$Z$424*$M$26,NA())</f>
        <v>#N/A</v>
      </c>
      <c r="AV447" s="144" t="e">
        <f>IF(AND($I$427=1,$C$427=0),$N$427+$H$427/$Z$424*$M$26,NA())</f>
        <v>#N/A</v>
      </c>
      <c r="AW447" s="144">
        <f>IF($I$428=1,$M$428+$H$428/$Z$424*$L$26,NA())</f>
        <v>0.710359976064767</v>
      </c>
      <c r="AX447" s="144">
        <f>IF($S$428=1,$N$428+$H$428/$Z$424*$M$26,NA())</f>
        <v>-0.550526155014843</v>
      </c>
      <c r="AY447" s="144" t="e">
        <f>IF(AND($I$428=1,$C$428=1,$S$428=0),$N$428+$H$428/$Z$424*$M$26,NA())</f>
        <v>#N/A</v>
      </c>
      <c r="AZ447" s="144" t="e">
        <f>IF(AND($I$428=1,$C$428=0),$N$428+$H$428/$Z$424*$M$26,NA())</f>
        <v>#N/A</v>
      </c>
      <c r="BA447" s="144" t="e">
        <f>IF($I$429=1,$M$429+$H$429/$Z$424*$L$26,NA())</f>
        <v>#N/A</v>
      </c>
      <c r="BB447" s="144" t="e">
        <f>IF($S$429=1,$N$429+$H$429/$Z$424*$M$26,NA())</f>
        <v>#N/A</v>
      </c>
      <c r="BC447" s="144" t="e">
        <f>IF(AND($I$429=1,$C$429=1,$S$429=0),$N$429+$H$429/$Z$424*$M$26,NA())</f>
        <v>#N/A</v>
      </c>
      <c r="BD447" s="144" t="e">
        <f>IF(AND($I$429=1,$C$429=0),$N$429+$H$429/$Z$424*$M$26,NA())</f>
        <v>#N/A</v>
      </c>
      <c r="BE447" s="144" t="e">
        <f>IF($I$430=1,$M$430+$H$430/$Z$424*$L$26,NA())</f>
        <v>#N/A</v>
      </c>
      <c r="BF447" s="144" t="e">
        <f>IF($S$430=1,$N$430+$H$430/$Z$424*$M$26,NA())</f>
        <v>#N/A</v>
      </c>
      <c r="BG447" s="144" t="e">
        <f>IF(AND($I$430=1,$C$430=1,$S$430=0),$N$430+$H$430/$Z$424*$M$26,NA())</f>
        <v>#N/A</v>
      </c>
      <c r="BH447" s="144" t="e">
        <f>IF(AND($I$430=1,$C$430=0),$N$430+$H$430/$Z$424*$M$26,NA())</f>
        <v>#N/A</v>
      </c>
      <c r="BI447" s="144">
        <f>IF($I$431=1,$M$431+$H$431/$Z$424*$L$26,NA())</f>
        <v>0.142109077579035</v>
      </c>
      <c r="BJ447" s="144" t="e">
        <f>IF($S$431=1,$N$431+$H$431/$Z$424*$M$26,NA())</f>
        <v>#N/A</v>
      </c>
      <c r="BK447" s="144">
        <f>IF(AND($I$431=1,$C$431=1,$S$431=0),$N$431+$H$431/$Z$424*$M$26,NA())</f>
        <v>-0.167400857780689</v>
      </c>
      <c r="BL447" s="144" t="e">
        <f>IF(AND($I$431=1,$C$431=0),$N$431+$H$431/$Z$424*$M$26,NA())</f>
        <v>#N/A</v>
      </c>
      <c r="BM447" s="144">
        <f>IF($I$432=1,$M$432+$H$432/$Z$424*$L$26,NA())</f>
        <v>0.578492769582809</v>
      </c>
      <c r="BN447" s="144" t="e">
        <f>IF($S$432=1,$N$432+$H$432/$Z$424*$M$26,NA())</f>
        <v>#N/A</v>
      </c>
      <c r="BO447" s="144" t="e">
        <f>IF(AND($I$432=1,$C$432=1,$S$432=0),$N$432+$H$432/$Z$424*$M$26,NA())</f>
        <v>#N/A</v>
      </c>
      <c r="BP447" s="144">
        <f>IF(AND($I$432=1,$C$432=0),$N$432+$H$432/$Z$424*$M$26,NA())</f>
        <v>0.0625028258376444</v>
      </c>
    </row>
    <row r="448">
      <c r="AN448" s="146">
        <v>22</v>
      </c>
      <c r="AO448" s="144" t="e">
        <f>IF($I$426=1,$M$426+$H$426/$Z$424*$L$27,NA())</f>
        <v>#N/A</v>
      </c>
      <c r="AP448" s="144" t="e">
        <f>IF($S$426=1,$N$426+$H$426/$Z$424*$M$27,NA())</f>
        <v>#N/A</v>
      </c>
      <c r="AQ448" s="144" t="e">
        <f>IF(AND($I$426=1,$C$426=1,$S$426=0),$N$426+$H$426/$Z$424*$M$27,NA())</f>
        <v>#N/A</v>
      </c>
      <c r="AR448" s="144" t="e">
        <f>IF(AND($I$426=1,$C$426=0),$N$426+$H$426/$Z$424*$M$27,NA())</f>
        <v>#N/A</v>
      </c>
      <c r="AS448" s="144" t="e">
        <f>IF($I$427=1,$M$427+$H$427/$Z$424*$L$27,NA())</f>
        <v>#N/A</v>
      </c>
      <c r="AT448" s="144" t="e">
        <f>IF($S$427=1,$N$427+$H$427/$Z$424*$M$27,NA())</f>
        <v>#N/A</v>
      </c>
      <c r="AU448" s="144" t="e">
        <f>IF(AND($I$427=1,$C$427=1,$S$427=0),$N$427+$H$427/$Z$424*$M$27,NA())</f>
        <v>#N/A</v>
      </c>
      <c r="AV448" s="144" t="e">
        <f>IF(AND($I$427=1,$C$427=0),$N$427+$H$427/$Z$424*$M$27,NA())</f>
        <v>#N/A</v>
      </c>
      <c r="AW448" s="144">
        <f>IF($I$428=1,$M$428+$H$428/$Z$424*$L$27,NA())</f>
        <v>0.796741892875523</v>
      </c>
      <c r="AX448" s="144">
        <f>IF($S$428=1,$N$428+$H$428/$Z$424*$M$27,NA())</f>
        <v>-0.437951049272408</v>
      </c>
      <c r="AY448" s="144" t="e">
        <f>IF(AND($I$428=1,$C$428=1,$S$428=0),$N$428+$H$428/$Z$424*$M$27,NA())</f>
        <v>#N/A</v>
      </c>
      <c r="AZ448" s="144" t="e">
        <f>IF(AND($I$428=1,$C$428=0),$N$428+$H$428/$Z$424*$M$27,NA())</f>
        <v>#N/A</v>
      </c>
      <c r="BA448" s="144" t="e">
        <f>IF($I$429=1,$M$429+$H$429/$Z$424*$L$27,NA())</f>
        <v>#N/A</v>
      </c>
      <c r="BB448" s="144" t="e">
        <f>IF($S$429=1,$N$429+$H$429/$Z$424*$M$27,NA())</f>
        <v>#N/A</v>
      </c>
      <c r="BC448" s="144" t="e">
        <f>IF(AND($I$429=1,$C$429=1,$S$429=0),$N$429+$H$429/$Z$424*$M$27,NA())</f>
        <v>#N/A</v>
      </c>
      <c r="BD448" s="144" t="e">
        <f>IF(AND($I$429=1,$C$429=0),$N$429+$H$429/$Z$424*$M$27,NA())</f>
        <v>#N/A</v>
      </c>
      <c r="BE448" s="144" t="e">
        <f>IF($I$430=1,$M$430+$H$430/$Z$424*$L$27,NA())</f>
        <v>#N/A</v>
      </c>
      <c r="BF448" s="144" t="e">
        <f>IF($S$430=1,$N$430+$H$430/$Z$424*$M$27,NA())</f>
        <v>#N/A</v>
      </c>
      <c r="BG448" s="144" t="e">
        <f>IF(AND($I$430=1,$C$430=1,$S$430=0),$N$430+$H$430/$Z$424*$M$27,NA())</f>
        <v>#N/A</v>
      </c>
      <c r="BH448" s="144" t="e">
        <f>IF(AND($I$430=1,$C$430=0),$N$430+$H$430/$Z$424*$M$27,NA())</f>
        <v>#N/A</v>
      </c>
      <c r="BI448" s="144">
        <f>IF($I$431=1,$M$431+$H$431/$Z$424*$L$27,NA())</f>
        <v>0.199220441907931</v>
      </c>
      <c r="BJ448" s="144" t="e">
        <f>IF($S$431=1,$N$431+$H$431/$Z$424*$M$27,NA())</f>
        <v>#N/A</v>
      </c>
      <c r="BK448" s="144">
        <f>IF(AND($I$431=1,$C$431=1,$S$431=0),$N$431+$H$431/$Z$424*$M$27,NA())</f>
        <v>-0.0929718787096932</v>
      </c>
      <c r="BL448" s="144" t="e">
        <f>IF(AND($I$431=1,$C$431=0),$N$431+$H$431/$Z$424*$M$27,NA())</f>
        <v>#N/A</v>
      </c>
      <c r="BM448" s="144">
        <f>IF($I$432=1,$M$432+$H$432/$Z$424*$L$27,NA())</f>
        <v>0.638744813604896</v>
      </c>
      <c r="BN448" s="144" t="e">
        <f>IF($S$432=1,$N$432+$H$432/$Z$424*$M$27,NA())</f>
        <v>#N/A</v>
      </c>
      <c r="BO448" s="144" t="e">
        <f>IF(AND($I$432=1,$C$432=1,$S$432=0),$N$432+$H$432/$Z$424*$M$27,NA())</f>
        <v>#N/A</v>
      </c>
      <c r="BP448" s="144">
        <f>IF(AND($I$432=1,$C$432=0),$N$432+$H$432/$Z$424*$M$27,NA())</f>
        <v>0.141024818372774</v>
      </c>
    </row>
    <row r="449">
      <c r="AN449" s="146">
        <v>23</v>
      </c>
      <c r="AO449" s="144" t="e">
        <f>IF($I$426=1,$M$426+$H$426/$Z$424*$L$28,NA())</f>
        <v>#N/A</v>
      </c>
      <c r="AP449" s="144" t="e">
        <f>IF($S$426=1,$N$426+$H$426/$Z$424*$M$28,NA())</f>
        <v>#N/A</v>
      </c>
      <c r="AQ449" s="144" t="e">
        <f>IF(AND($I$426=1,$C$426=1,$S$426=0),$N$426+$H$426/$Z$424*$M$28,NA())</f>
        <v>#N/A</v>
      </c>
      <c r="AR449" s="144" t="e">
        <f>IF(AND($I$426=1,$C$426=0),$N$426+$H$426/$Z$424*$M$28,NA())</f>
        <v>#N/A</v>
      </c>
      <c r="AS449" s="144" t="e">
        <f>IF($I$427=1,$M$427+$H$427/$Z$424*$L$28,NA())</f>
        <v>#N/A</v>
      </c>
      <c r="AT449" s="144" t="e">
        <f>IF($S$427=1,$N$427+$H$427/$Z$424*$M$28,NA())</f>
        <v>#N/A</v>
      </c>
      <c r="AU449" s="144" t="e">
        <f>IF(AND($I$427=1,$C$427=1,$S$427=0),$N$427+$H$427/$Z$424*$M$28,NA())</f>
        <v>#N/A</v>
      </c>
      <c r="AV449" s="144" t="e">
        <f>IF(AND($I$427=1,$C$427=0),$N$427+$H$427/$Z$424*$M$28,NA())</f>
        <v>#N/A</v>
      </c>
      <c r="AW449" s="144">
        <f>IF($I$428=1,$M$428+$H$428/$Z$424*$L$28,NA())</f>
        <v>0.851043835876814</v>
      </c>
      <c r="AX449" s="144">
        <f>IF($S$428=1,$N$428+$H$428/$Z$424*$M$28,NA())</f>
        <v>-0.306854562015482</v>
      </c>
      <c r="AY449" s="144" t="e">
        <f>IF(AND($I$428=1,$C$428=1,$S$428=0),$N$428+$H$428/$Z$424*$M$28,NA())</f>
        <v>#N/A</v>
      </c>
      <c r="AZ449" s="144" t="e">
        <f>IF(AND($I$428=1,$C$428=0),$N$428+$H$428/$Z$424*$M$28,NA())</f>
        <v>#N/A</v>
      </c>
      <c r="BA449" s="144" t="e">
        <f>IF($I$429=1,$M$429+$H$429/$Z$424*$L$28,NA())</f>
        <v>#N/A</v>
      </c>
      <c r="BB449" s="144" t="e">
        <f>IF($S$429=1,$N$429+$H$429/$Z$424*$M$28,NA())</f>
        <v>#N/A</v>
      </c>
      <c r="BC449" s="144" t="e">
        <f>IF(AND($I$429=1,$C$429=1,$S$429=0),$N$429+$H$429/$Z$424*$M$28,NA())</f>
        <v>#N/A</v>
      </c>
      <c r="BD449" s="144" t="e">
        <f>IF(AND($I$429=1,$C$429=0),$N$429+$H$429/$Z$424*$M$28,NA())</f>
        <v>#N/A</v>
      </c>
      <c r="BE449" s="144" t="e">
        <f>IF($I$430=1,$M$430+$H$430/$Z$424*$L$28,NA())</f>
        <v>#N/A</v>
      </c>
      <c r="BF449" s="144" t="e">
        <f>IF($S$430=1,$N$430+$H$430/$Z$424*$M$28,NA())</f>
        <v>#N/A</v>
      </c>
      <c r="BG449" s="144" t="e">
        <f>IF(AND($I$430=1,$C$430=1,$S$430=0),$N$430+$H$430/$Z$424*$M$28,NA())</f>
        <v>#N/A</v>
      </c>
      <c r="BH449" s="144" t="e">
        <f>IF(AND($I$430=1,$C$430=0),$N$430+$H$430/$Z$424*$M$28,NA())</f>
        <v>#N/A</v>
      </c>
      <c r="BI449" s="144">
        <f>IF($I$431=1,$M$431+$H$431/$Z$424*$L$28,NA())</f>
        <v>0.235122146396706</v>
      </c>
      <c r="BJ449" s="144" t="e">
        <f>IF($S$431=1,$N$431+$H$431/$Z$424*$M$28,NA())</f>
        <v>#N/A</v>
      </c>
      <c r="BK449" s="144">
        <f>IF(AND($I$431=1,$C$431=1,$S$431=0),$N$431+$H$431/$Z$424*$M$28,NA())</f>
        <v>-0.0062974968205833</v>
      </c>
      <c r="BL449" s="144" t="e">
        <f>IF(AND($I$431=1,$C$431=0),$N$431+$H$431/$Z$424*$M$28,NA())</f>
        <v>#N/A</v>
      </c>
      <c r="BM449" s="144">
        <f>IF($I$432=1,$M$432+$H$432/$Z$424*$L$28,NA())</f>
        <v>0.676620831885047</v>
      </c>
      <c r="BN449" s="144" t="e">
        <f>IF($S$432=1,$N$432+$H$432/$Z$424*$M$28,NA())</f>
        <v>#N/A</v>
      </c>
      <c r="BO449" s="144" t="e">
        <f>IF(AND($I$432=1,$C$432=1,$S$432=0),$N$432+$H$432/$Z$424*$M$28,NA())</f>
        <v>#N/A</v>
      </c>
      <c r="BP449" s="144">
        <f>IF(AND($I$432=1,$C$432=0),$N$432+$H$432/$Z$424*$M$28,NA())</f>
        <v>0.232465615393405</v>
      </c>
    </row>
    <row r="450">
      <c r="AN450" s="146">
        <v>24</v>
      </c>
      <c r="AO450" s="144" t="e">
        <f>IF($I$426=1,$M$426+$H$426/$Z$424*$L$29,NA())</f>
        <v>#N/A</v>
      </c>
      <c r="AP450" s="144" t="e">
        <f>IF($S$426=1,$N$426+$H$426/$Z$424*$M$29,NA())</f>
        <v>#N/A</v>
      </c>
      <c r="AQ450" s="144" t="e">
        <f>IF(AND($I$426=1,$C$426=1,$S$426=0),$N$426+$H$426/$Z$424*$M$29,NA())</f>
        <v>#N/A</v>
      </c>
      <c r="AR450" s="144" t="e">
        <f>IF(AND($I$426=1,$C$426=0),$N$426+$H$426/$Z$424*$M$29,NA())</f>
        <v>#N/A</v>
      </c>
      <c r="AS450" s="144" t="e">
        <f>IF($I$427=1,$M$427+$H$427/$Z$424*$L$29,NA())</f>
        <v>#N/A</v>
      </c>
      <c r="AT450" s="144" t="e">
        <f>IF($S$427=1,$N$427+$H$427/$Z$424*$M$29,NA())</f>
        <v>#N/A</v>
      </c>
      <c r="AU450" s="144" t="e">
        <f>IF(AND($I$427=1,$C$427=1,$S$427=0),$N$427+$H$427/$Z$424*$M$29,NA())</f>
        <v>#N/A</v>
      </c>
      <c r="AV450" s="144" t="e">
        <f>IF(AND($I$427=1,$C$427=0),$N$427+$H$427/$Z$424*$M$29,NA())</f>
        <v>#N/A</v>
      </c>
      <c r="AW450" s="144">
        <f>IF($I$428=1,$M$428+$H$428/$Z$424*$L$29,NA())</f>
        <v>0.869565217391304</v>
      </c>
      <c r="AX450" s="144">
        <f>IF($S$428=1,$N$428+$H$428/$Z$424*$M$29,NA())</f>
        <v>-0.166170702203436</v>
      </c>
      <c r="AY450" s="144" t="e">
        <f>IF(AND($I$428=1,$C$428=1,$S$428=0),$N$428+$H$428/$Z$424*$M$29,NA())</f>
        <v>#N/A</v>
      </c>
      <c r="AZ450" s="144" t="e">
        <f>IF(AND($I$428=1,$C$428=0),$N$428+$H$428/$Z$424*$M$29,NA())</f>
        <v>#N/A</v>
      </c>
      <c r="BA450" s="144" t="e">
        <f>IF($I$429=1,$M$429+$H$429/$Z$424*$L$29,NA())</f>
        <v>#N/A</v>
      </c>
      <c r="BB450" s="144" t="e">
        <f>IF($S$429=1,$N$429+$H$429/$Z$424*$M$29,NA())</f>
        <v>#N/A</v>
      </c>
      <c r="BC450" s="144" t="e">
        <f>IF(AND($I$429=1,$C$429=1,$S$429=0),$N$429+$H$429/$Z$424*$M$29,NA())</f>
        <v>#N/A</v>
      </c>
      <c r="BD450" s="144" t="e">
        <f>IF(AND($I$429=1,$C$429=0),$N$429+$H$429/$Z$424*$M$29,NA())</f>
        <v>#N/A</v>
      </c>
      <c r="BE450" s="144" t="e">
        <f>IF($I$430=1,$M$430+$H$430/$Z$424*$L$29,NA())</f>
        <v>#N/A</v>
      </c>
      <c r="BF450" s="144" t="e">
        <f>IF($S$430=1,$N$430+$H$430/$Z$424*$M$29,NA())</f>
        <v>#N/A</v>
      </c>
      <c r="BG450" s="144" t="e">
        <f>IF(AND($I$430=1,$C$430=1,$S$430=0),$N$430+$H$430/$Z$424*$M$29,NA())</f>
        <v>#N/A</v>
      </c>
      <c r="BH450" s="144" t="e">
        <f>IF(AND($I$430=1,$C$430=0),$N$430+$H$430/$Z$424*$M$29,NA())</f>
        <v>#N/A</v>
      </c>
      <c r="BI450" s="144">
        <f>IF($I$431=1,$M$431+$H$431/$Z$424*$L$29,NA())</f>
        <v>0.24736754921482</v>
      </c>
      <c r="BJ450" s="144" t="e">
        <f>IF($S$431=1,$N$431+$H$431/$Z$424*$M$29,NA())</f>
        <v>#N/A</v>
      </c>
      <c r="BK450" s="144">
        <f>IF(AND($I$431=1,$C$431=1,$S$431=0),$N$431+$H$431/$Z$424*$M$29,NA())</f>
        <v>0.0867155719970873</v>
      </c>
      <c r="BL450" s="144" t="e">
        <f>IF(AND($I$431=1,$C$431=0),$N$431+$H$431/$Z$424*$M$29,NA())</f>
        <v>#N/A</v>
      </c>
      <c r="BM450" s="144">
        <f>IF($I$432=1,$M$432+$H$432/$Z$424*$L$29,NA())</f>
        <v>0.689539636370548</v>
      </c>
      <c r="BN450" s="144" t="e">
        <f>IF($S$432=1,$N$432+$H$432/$Z$424*$M$29,NA())</f>
        <v>#N/A</v>
      </c>
      <c r="BO450" s="144" t="e">
        <f>IF(AND($I$432=1,$C$432=1,$S$432=0),$N$432+$H$432/$Z$424*$M$29,NA())</f>
        <v>#N/A</v>
      </c>
      <c r="BP450" s="144">
        <f>IF(AND($I$432=1,$C$432=0),$N$432+$H$432/$Z$424*$M$29,NA())</f>
        <v>0.330593677695643</v>
      </c>
    </row>
    <row r="451"/>
    <row r="452">
      <c r="A452" s="59" t="inlineStr">
        <is>
          <t xml:space="preserve">Iteration 6 · diagram on “Hyperspheres (Iterations)” — centre = the selected Sᵢ; every own-class object carries its enemy sphere (radius r(Sⱼ)) around its own position</t>
        </is>
      </c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  <c r="AE452" s="59"/>
      <c r="AF452" s="59"/>
      <c r="AG452" s="59"/>
      <c r="AH452" s="59"/>
      <c r="AI452" s="59"/>
      <c r="AJ452" s="59"/>
      <c r="AK452" s="59"/>
      <c r="AL452" s="59"/>
      <c r="AM452" s="59"/>
      <c r="AN452" s="59"/>
      <c r="AO452" s="59"/>
      <c r="AP452" s="59"/>
      <c r="AQ452" s="59"/>
      <c r="AR452" s="59"/>
      <c r="AS452" s="59"/>
      <c r="AT452" s="59"/>
      <c r="AU452" s="59"/>
      <c r="AV452" s="59"/>
      <c r="AW452" s="59"/>
      <c r="AX452" s="59"/>
      <c r="AY452" s="59"/>
      <c r="AZ452" s="59"/>
      <c r="BA452" s="59"/>
      <c r="BB452" s="59"/>
      <c r="BC452" s="59"/>
      <c r="BD452" s="59"/>
      <c r="BE452" s="59"/>
      <c r="BF452" s="59"/>
      <c r="BG452" s="59"/>
      <c r="BH452" s="59"/>
      <c r="BI452" s="59"/>
      <c r="BJ452" s="59"/>
      <c r="BK452" s="59"/>
      <c r="BL452" s="59"/>
      <c r="BM452" s="59"/>
      <c r="BN452" s="59"/>
      <c r="BO452" s="59"/>
      <c r="BP452" s="59"/>
    </row>
    <row r="453">
      <c r="A453" s="63" t="inlineStr">
        <is>
          <t xml:space="preserve">Chart title</t>
        </is>
      </c>
      <c r="B453" s="145" t="str">
        <f>IF($Q$453=0,"Iteration 6  ·  queue empty → Step 6 (stop)","Iteration 6  ·  Sᵢ = "&amp;'ERDR Iterations'!$K$140&amp;"  ·  L = "&amp;'ERDR Iterations'!$K$143&amp;"  ·  "&amp;'ERDR Iterations'!$K$145)</f>
        <v>Iteration 6  ·  Sᵢ = S₄  ·  L = ∅  ·  |L| = 0 → Sᵢ is only blocked and stays in F</v>
      </c>
      <c r="P453" s="63" t="inlineStr">
        <is>
          <t xml:space="preserve">Selected</t>
        </is>
      </c>
      <c r="Q453" s="146">
        <f>'ERDR Iterations'!$K$139</f>
        <v>4</v>
      </c>
      <c r="S453" s="63" t="inlineStr">
        <is>
          <t xml:space="preserve">Box centre x</t>
        </is>
      </c>
      <c r="T453" s="144">
        <f>IF($Q$453=0,0,(MIN(O455:O461)+MAX(P455:P461))/2)</f>
        <v>-3.21963667185949</v>
      </c>
      <c r="V453" s="63" t="inlineStr">
        <is>
          <t xml:space="preserve">Box centre y</t>
        </is>
      </c>
      <c r="W453" s="144">
        <f>IF($Q$453=0,0,(MIN(Q455:Q461)+MAX(R455:R461))/2)</f>
        <v>-1.401435264675</v>
      </c>
      <c r="Y453" s="63" t="inlineStr">
        <is>
          <t xml:space="preserve">Half side</t>
        </is>
      </c>
      <c r="Z453" s="144">
        <f>IF($Q$453=0,1,$B$8*MAX(MAX(P455:P461)-MIN(O455:O461),MAX(R455:R461)-MIN(Q455:Q461))/2)</f>
        <v>14.3033554412837</v>
      </c>
    </row>
    <row r="454" ht="44" customHeight="1">
      <c r="A454" s="147" t="inlineStr">
        <is>
          <t xml:space="preserve">Sⱼ</t>
        </is>
      </c>
      <c r="B454" s="147" t="inlineStr">
        <is>
          <t xml:space="preserve">Class</t>
        </is>
      </c>
      <c r="C454" s="147" t="inlineStr">
        <is>
          <t xml:space="preserve">In F before</t>
        </is>
      </c>
      <c r="D454" s="147" t="inlineStr">
        <is>
          <t xml:space="preserve">Own class of Sᵢ</t>
        </is>
      </c>
      <c r="E454" s="147" t="inlineStr">
        <is>
          <t xml:space="preserve">Centre (= Sᵢ)</t>
        </is>
      </c>
      <c r="F454" s="147" t="inlineStr">
        <is>
          <t xml:space="preserve">Rank around Sᵢ</t>
        </is>
      </c>
      <c r="G454" s="147" t="inlineStr">
        <is>
          <t xml:space="preserve">ρ(Sⱼ, Sᵢ)</t>
        </is>
      </c>
      <c r="H454" s="147" t="inlineStr">
        <is>
          <t xml:space="preserve">r(Sⱼ)</t>
        </is>
      </c>
      <c r="I454" s="147" t="inlineStr">
        <is>
          <t xml:space="preserve">Own-class sphere drawn</t>
        </is>
      </c>
      <c r="J454" s="147" t="inlineStr">
        <is>
          <t xml:space="preserve">Angle θ</t>
        </is>
      </c>
      <c r="K454" s="147" t="inlineStr">
        <is>
          <t xml:space="preserve">px = ρ·cos θ</t>
        </is>
      </c>
      <c r="L454" s="147" t="inlineStr">
        <is>
          <t xml:space="preserve">py = ρ·sin θ</t>
        </is>
      </c>
      <c r="M454" s="147" t="inlineStr">
        <is>
          <t xml:space="preserve">x (fitted)</t>
        </is>
      </c>
      <c r="N454" s="147" t="inlineStr">
        <is>
          <t xml:space="preserve">y (fitted)</t>
        </is>
      </c>
      <c r="O454" s="147" t="inlineStr">
        <is>
          <t xml:space="preserve">Box x min</t>
        </is>
      </c>
      <c r="P454" s="147" t="inlineStr">
        <is>
          <t xml:space="preserve">Box x max</t>
        </is>
      </c>
      <c r="Q454" s="147" t="inlineStr">
        <is>
          <t xml:space="preserve">Box y min</t>
        </is>
      </c>
      <c r="R454" s="147" t="inlineStr">
        <is>
          <t xml:space="preserve">Box y max</t>
        </is>
      </c>
      <c r="S454" s="147" t="inlineStr">
        <is>
          <t xml:space="preserve">Sⱼ ∈ L</t>
        </is>
      </c>
      <c r="T454" s="147" t="inlineStr">
        <is>
          <t xml:space="preserve">g before</t>
        </is>
      </c>
      <c r="U454" s="147" t="inlineStr">
        <is>
          <t xml:space="preserve">g after</t>
        </is>
      </c>
      <c r="V454" s="147" t="inlineStr">
        <is>
          <t xml:space="preserve">Counter decreased</t>
        </is>
      </c>
      <c r="W454" s="147" t="inlineStr">
        <is>
          <t xml:space="preserve">Moves to D</t>
        </is>
      </c>
      <c r="X454" s="147" t="inlineStr">
        <is>
          <t xml:space="preserve">K1 in F · x</t>
        </is>
      </c>
      <c r="Y454" s="147" t="inlineStr">
        <is>
          <t xml:space="preserve">y</t>
        </is>
      </c>
      <c r="Z454" s="147" t="inlineStr">
        <is>
          <t xml:space="preserve">K1 in D · x</t>
        </is>
      </c>
      <c r="AA454" s="147" t="inlineStr">
        <is>
          <t xml:space="preserve">y</t>
        </is>
      </c>
      <c r="AB454" s="147" t="inlineStr">
        <is>
          <t xml:space="preserve">K2 in F · x</t>
        </is>
      </c>
      <c r="AC454" s="147" t="inlineStr">
        <is>
          <t xml:space="preserve">y</t>
        </is>
      </c>
      <c r="AD454" s="147" t="inlineStr">
        <is>
          <t xml:space="preserve">K2 in D · x</t>
        </is>
      </c>
      <c r="AE454" s="147" t="inlineStr">
        <is>
          <t xml:space="preserve">y</t>
        </is>
      </c>
      <c r="AF454" s="147" t="inlineStr">
        <is>
          <t xml:space="preserve">Centre K1 · x</t>
        </is>
      </c>
      <c r="AG454" s="147" t="inlineStr">
        <is>
          <t xml:space="preserve">y</t>
        </is>
      </c>
      <c r="AH454" s="147" t="inlineStr">
        <is>
          <t xml:space="preserve">Centre K2 · x</t>
        </is>
      </c>
      <c r="AI454" s="147" t="inlineStr">
        <is>
          <t xml:space="preserve">y</t>
        </is>
      </c>
      <c r="AJ454" s="147" t="inlineStr">
        <is>
          <t xml:space="preserve">Label text</t>
        </is>
      </c>
      <c r="AN454" s="147" t="inlineStr">
        <is>
          <t xml:space="preserve">k</t>
        </is>
      </c>
      <c r="AO454" s="147" t="inlineStr">
        <is>
          <t xml:space="preserve">S₁ sphere · x</t>
        </is>
      </c>
      <c r="AP454" s="147" t="inlineStr">
        <is>
          <t xml:space="preserve">y · in L</t>
        </is>
      </c>
      <c r="AQ454" s="147" t="inlineStr">
        <is>
          <t xml:space="preserve">y · in F, not in L</t>
        </is>
      </c>
      <c r="AR454" s="147" t="inlineStr">
        <is>
          <t xml:space="preserve">y · in D</t>
        </is>
      </c>
      <c r="AS454" s="147" t="inlineStr">
        <is>
          <t xml:space="preserve">S₂ sphere · x</t>
        </is>
      </c>
      <c r="AT454" s="147" t="inlineStr">
        <is>
          <t xml:space="preserve">y · in L</t>
        </is>
      </c>
      <c r="AU454" s="147" t="inlineStr">
        <is>
          <t xml:space="preserve">y · in F, not in L</t>
        </is>
      </c>
      <c r="AV454" s="147" t="inlineStr">
        <is>
          <t xml:space="preserve">y · in D</t>
        </is>
      </c>
      <c r="AW454" s="147" t="inlineStr">
        <is>
          <t xml:space="preserve">S₃ sphere · x</t>
        </is>
      </c>
      <c r="AX454" s="147" t="inlineStr">
        <is>
          <t xml:space="preserve">y · in L</t>
        </is>
      </c>
      <c r="AY454" s="147" t="inlineStr">
        <is>
          <t xml:space="preserve">y · in F, not in L</t>
        </is>
      </c>
      <c r="AZ454" s="147" t="inlineStr">
        <is>
          <t xml:space="preserve">y · in D</t>
        </is>
      </c>
      <c r="BA454" s="147" t="inlineStr">
        <is>
          <t xml:space="preserve">S₄ sphere · x</t>
        </is>
      </c>
      <c r="BB454" s="147" t="inlineStr">
        <is>
          <t xml:space="preserve">y · in L</t>
        </is>
      </c>
      <c r="BC454" s="147" t="inlineStr">
        <is>
          <t xml:space="preserve">y · in F, not in L</t>
        </is>
      </c>
      <c r="BD454" s="147" t="inlineStr">
        <is>
          <t xml:space="preserve">y · in D</t>
        </is>
      </c>
      <c r="BE454" s="147" t="inlineStr">
        <is>
          <t xml:space="preserve">S₅ sphere · x</t>
        </is>
      </c>
      <c r="BF454" s="147" t="inlineStr">
        <is>
          <t xml:space="preserve">y · in L</t>
        </is>
      </c>
      <c r="BG454" s="147" t="inlineStr">
        <is>
          <t xml:space="preserve">y · in F, not in L</t>
        </is>
      </c>
      <c r="BH454" s="147" t="inlineStr">
        <is>
          <t xml:space="preserve">y · in D</t>
        </is>
      </c>
      <c r="BI454" s="147" t="inlineStr">
        <is>
          <t xml:space="preserve">S₆ sphere · x</t>
        </is>
      </c>
      <c r="BJ454" s="147" t="inlineStr">
        <is>
          <t xml:space="preserve">y · in L</t>
        </is>
      </c>
      <c r="BK454" s="147" t="inlineStr">
        <is>
          <t xml:space="preserve">y · in F, not in L</t>
        </is>
      </c>
      <c r="BL454" s="147" t="inlineStr">
        <is>
          <t xml:space="preserve">y · in D</t>
        </is>
      </c>
      <c r="BM454" s="147" t="inlineStr">
        <is>
          <t xml:space="preserve">S₇ sphere · x</t>
        </is>
      </c>
      <c r="BN454" s="147" t="inlineStr">
        <is>
          <t xml:space="preserve">y · in L</t>
        </is>
      </c>
      <c r="BO454" s="147" t="inlineStr">
        <is>
          <t xml:space="preserve">y · in F, not in L</t>
        </is>
      </c>
      <c r="BP454" s="147" t="inlineStr">
        <is>
          <t xml:space="preserve">y · in D</t>
        </is>
      </c>
    </row>
    <row r="455">
      <c r="A455" s="62" t="inlineStr">
        <is>
          <t xml:space="preserve">S₁</t>
        </is>
      </c>
      <c r="B455" s="68">
        <f>'ERDR Iterations'!B$137</f>
        <v>2</v>
      </c>
      <c r="C455" s="146">
        <f>'ERDR Iterations'!B$138</f>
        <v>0</v>
      </c>
      <c r="D455" s="146">
        <f>'ERDR Iterations'!B$144</f>
        <v>1</v>
      </c>
      <c r="E455" s="146">
        <f>IF($Q$453=1,1,0)</f>
        <v>0</v>
      </c>
      <c r="F455" s="146">
        <f>IF(OR($Q$453=0,E455=1),0,INDEX('Sorted Neighbors'!$B$5:$H$11,$Q$453,1))</f>
        <v>5</v>
      </c>
      <c r="G455" s="144">
        <f>IF($Q$453=0,0,INDEX('Zhuravlev Distances'!$B$5:$H$11,$Q$453,1))</f>
        <v>6.6272117335</v>
      </c>
      <c r="H455" s="144">
        <f>'ERDR Characteristics'!$D$5</f>
        <v>5.60708061</v>
      </c>
      <c r="I455" s="146">
        <f>D455</f>
        <v>1</v>
      </c>
      <c r="J455" s="144">
        <f>IF(F455=0,0,PI()/2-(F455-1)*$B$6)</f>
        <v>-2.61799387799149</v>
      </c>
      <c r="K455" s="144">
        <f>G455*COS(J455)</f>
        <v>-5.73933371746931</v>
      </c>
      <c r="L455" s="144">
        <f>G455*SIN(J455)</f>
        <v>-3.31360586675</v>
      </c>
      <c r="M455" s="144">
        <f>IF($Q$453=0,NA(),(K455-$T$453)/$Z$453)</f>
        <v>-0.176161255025322</v>
      </c>
      <c r="N455" s="144">
        <f>IF($Q$453=0,NA(),(L455-$W$453)/$Z$453)</f>
        <v>-0.133686854803028</v>
      </c>
      <c r="O455" s="144">
        <f>K455-I455*H455</f>
        <v>-11.3464143274693</v>
      </c>
      <c r="P455" s="144">
        <f>K455+I455*H455</f>
        <v>-0.132253107469307</v>
      </c>
      <c r="Q455" s="144">
        <f>L455-I455*H455</f>
        <v>-8.92068647675</v>
      </c>
      <c r="R455" s="144">
        <f>L455+I455*H455</f>
        <v>2.29347474325</v>
      </c>
      <c r="S455" s="146">
        <f>'ERDR Iterations'!B$150</f>
        <v>0</v>
      </c>
      <c r="T455" s="146">
        <f>'ERDR Iterations'!B$140</f>
        <v>1</v>
      </c>
      <c r="U455" s="146">
        <f>'ERDR Iterations'!B$153</f>
        <v>1</v>
      </c>
      <c r="V455" s="146">
        <f>'ERDR Iterations'!B$152</f>
        <v>0</v>
      </c>
      <c r="W455" s="146">
        <f>'ERDR Iterations'!B$155</f>
        <v>0</v>
      </c>
      <c r="X455" s="144" t="e">
        <f>IF(AND($Q$453&gt;0,E455=0,B455=1,C455=1),M455,NA())</f>
        <v>#N/A</v>
      </c>
      <c r="Y455" s="144" t="e">
        <f>IF(AND($Q$453&gt;0,E455=0,B455=1,C455=1),N455,NA())</f>
        <v>#N/A</v>
      </c>
      <c r="Z455" s="144" t="e">
        <f>IF(AND($Q$453&gt;0,E455=0,B455=1,C455=0),M455,NA())</f>
        <v>#N/A</v>
      </c>
      <c r="AA455" s="144" t="e">
        <f>IF(AND($Q$453&gt;0,E455=0,B455=1,C455=0),N455,NA())</f>
        <v>#N/A</v>
      </c>
      <c r="AB455" s="144" t="e">
        <f>IF(AND($Q$453&gt;0,E455=0,B455=2,C455=1),M455,NA())</f>
        <v>#N/A</v>
      </c>
      <c r="AC455" s="144" t="e">
        <f>IF(AND($Q$453&gt;0,E455=0,B455=2,C455=1),N455,NA())</f>
        <v>#N/A</v>
      </c>
      <c r="AD455" s="144">
        <f>IF(AND($Q$453&gt;0,E455=0,B455=2,C455=0),M455,NA())</f>
        <v>-0.176161255025322</v>
      </c>
      <c r="AE455" s="144">
        <f>IF(AND($Q$453&gt;0,E455=0,B455=2,C455=0),N455,NA())</f>
        <v>-0.133686854803028</v>
      </c>
      <c r="AF455" s="144" t="e">
        <f>IF(AND(E455=1,B455=1),M455,NA())</f>
        <v>#N/A</v>
      </c>
      <c r="AG455" s="144" t="e">
        <f>IF(AND(E455=1,B455=1),N455,NA())</f>
        <v>#N/A</v>
      </c>
      <c r="AH455" s="144" t="e">
        <f>IF(AND(E455=1,B455=2),M455,NA())</f>
        <v>#N/A</v>
      </c>
      <c r="AI455" s="144" t="e">
        <f>IF(AND(E455=1,B455=2),N455,NA())</f>
        <v>#N/A</v>
      </c>
      <c r="AJ455" s="145" t="str">
        <f>A455&amp;IF(E455=1," = Sᵢ",IF(C455=0," (in D)",""))&amp;IF(V455=1,"  ·  g "&amp;T455&amp;"→"&amp;U455,"")&amp;IF(W455=1,"  → D","")</f>
        <v>S₁ (in D)</v>
      </c>
      <c r="AN455" s="146">
        <v>0</v>
      </c>
      <c r="AO455" s="144">
        <f>IF($I$455=1,$M$455+$H$455/$Z$453*$L$5,NA())</f>
        <v>0.215850300096653</v>
      </c>
      <c r="AP455" s="144" t="e">
        <f>IF($S$455=1,$N$455+$H$455/$Z$453*$M$5,NA())</f>
        <v>#N/A</v>
      </c>
      <c r="AQ455" s="144" t="e">
        <f>IF(AND($I$455=1,$C$455=1,$S$455=0),$N$455+$H$455/$Z$453*$M$5,NA())</f>
        <v>#N/A</v>
      </c>
      <c r="AR455" s="144">
        <f>IF(AND($I$455=1,$C$455=0),$N$455+$H$455/$Z$453*$M$5,NA())</f>
        <v>-0.133686854803028</v>
      </c>
      <c r="AS455" s="144">
        <f>IF($I$456=1,$M$456+$H$456/$Z$453*$L$5,NA())</f>
        <v>0.747349571758953</v>
      </c>
      <c r="AT455" s="144" t="e">
        <f>IF($S$456=1,$N$456+$H$456/$Z$453*$M$5,NA())</f>
        <v>#N/A</v>
      </c>
      <c r="AU455" s="144" t="e">
        <f>IF(AND($I$456=1,$C$456=1,$S$456=0),$N$456+$H$456/$Z$453*$M$5,NA())</f>
        <v>#N/A</v>
      </c>
      <c r="AV455" s="144">
        <f>IF(AND($I$456=1,$C$456=0),$N$456+$H$456/$Z$453*$M$5,NA())</f>
        <v>-0.34731224517337</v>
      </c>
      <c r="AW455" s="144" t="e">
        <f>IF($I$457=1,$M$457+$H$457/$Z$453*$L$5,NA())</f>
        <v>#N/A</v>
      </c>
      <c r="AX455" s="144" t="e">
        <f>IF($S$457=1,$N$457+$H$457/$Z$453*$M$5,NA())</f>
        <v>#N/A</v>
      </c>
      <c r="AY455" s="144" t="e">
        <f>IF(AND($I$457=1,$C$457=1,$S$457=0),$N$457+$H$457/$Z$453*$M$5,NA())</f>
        <v>#N/A</v>
      </c>
      <c r="AZ455" s="144" t="e">
        <f>IF(AND($I$457=1,$C$457=0),$N$457+$H$457/$Z$453*$M$5,NA())</f>
        <v>#N/A</v>
      </c>
      <c r="BA455" s="144">
        <f>IF($I$458=1,$M$458+$H$458/$Z$453*$L$5,NA())</f>
        <v>0.484274857818803</v>
      </c>
      <c r="BB455" s="144" t="e">
        <f>IF($S$458=1,$N$458+$H$458/$Z$453*$M$5,NA())</f>
        <v>#N/A</v>
      </c>
      <c r="BC455" s="144">
        <f>IF(AND($I$458=1,$C$458=1,$S$458=0),$N$458+$H$458/$Z$453*$M$5,NA())</f>
        <v>0.0979794755453005</v>
      </c>
      <c r="BD455" s="144" t="e">
        <f>IF(AND($I$458=1,$C$458=0),$N$458+$H$458/$Z$453*$M$5,NA())</f>
        <v>#N/A</v>
      </c>
      <c r="BE455" s="144">
        <f>IF($I$459=1,$M$459+$H$459/$Z$453*$L$5,NA())</f>
        <v>0.247061013434715</v>
      </c>
      <c r="BF455" s="144" t="e">
        <f>IF($S$459=1,$N$459+$H$459/$Z$453*$M$5,NA())</f>
        <v>#N/A</v>
      </c>
      <c r="BG455" s="144" t="e">
        <f>IF(AND($I$459=1,$C$459=1,$S$459=0),$N$459+$H$459/$Z$453*$M$5,NA())</f>
        <v>#N/A</v>
      </c>
      <c r="BH455" s="144">
        <f>IF(AND($I$459=1,$C$459=0),$N$459+$H$459/$Z$453*$M$5,NA())</f>
        <v>0.372359924794471</v>
      </c>
      <c r="BI455" s="144" t="e">
        <f>IF($I$460=1,$M$460+$H$460/$Z$453*$L$5,NA())</f>
        <v>#N/A</v>
      </c>
      <c r="BJ455" s="144" t="e">
        <f>IF($S$460=1,$N$460+$H$460/$Z$453*$M$5,NA())</f>
        <v>#N/A</v>
      </c>
      <c r="BK455" s="144" t="e">
        <f>IF(AND($I$460=1,$C$460=1,$S$460=0),$N$460+$H$460/$Z$453*$M$5,NA())</f>
        <v>#N/A</v>
      </c>
      <c r="BL455" s="144" t="e">
        <f>IF(AND($I$460=1,$C$460=0),$N$460+$H$460/$Z$453*$M$5,NA())</f>
        <v>#N/A</v>
      </c>
      <c r="BM455" s="144" t="e">
        <f>IF($I$461=1,$M$461+$H$461/$Z$453*$L$5,NA())</f>
        <v>#N/A</v>
      </c>
      <c r="BN455" s="144" t="e">
        <f>IF($S$461=1,$N$461+$H$461/$Z$453*$M$5,NA())</f>
        <v>#N/A</v>
      </c>
      <c r="BO455" s="144" t="e">
        <f>IF(AND($I$461=1,$C$461=1,$S$461=0),$N$461+$H$461/$Z$453*$M$5,NA())</f>
        <v>#N/A</v>
      </c>
      <c r="BP455" s="144" t="e">
        <f>IF(AND($I$461=1,$C$461=0),$N$461+$H$461/$Z$453*$M$5,NA())</f>
        <v>#N/A</v>
      </c>
    </row>
    <row r="456">
      <c r="A456" s="62" t="inlineStr">
        <is>
          <t xml:space="preserve">S₂</t>
        </is>
      </c>
      <c r="B456" s="68">
        <f>'ERDR Iterations'!C$137</f>
        <v>2</v>
      </c>
      <c r="C456" s="146">
        <f>'ERDR Iterations'!C$138</f>
        <v>0</v>
      </c>
      <c r="D456" s="146">
        <f>'ERDR Iterations'!C$144</f>
        <v>1</v>
      </c>
      <c r="E456" s="146">
        <f>IF($Q$453=2,1,0)</f>
        <v>0</v>
      </c>
      <c r="F456" s="146">
        <f>IF(OR($Q$453=0,E456=1),0,INDEX('Sorted Neighbors'!$B$5:$H$11,$Q$453,2))</f>
        <v>4</v>
      </c>
      <c r="G456" s="144">
        <f>IF($Q$453=0,0,INDEX('Zhuravlev Distances'!$B$5:$H$11,$Q$453,2))</f>
        <v>6.3691657565</v>
      </c>
      <c r="H456" s="144">
        <f>'ERDR Characteristics'!$D$6</f>
        <v>7.4699698919</v>
      </c>
      <c r="I456" s="146">
        <f>D456</f>
        <v>1</v>
      </c>
      <c r="J456" s="144">
        <f>IF(F456=0,0,PI()/2-(F456-1)*$B$6)</f>
        <v>-1.5707963267949</v>
      </c>
      <c r="K456" s="144">
        <f>G456*COS(J456)</f>
        <v>3.89998922846833e-16</v>
      </c>
      <c r="L456" s="144">
        <f>G456*SIN(J456)</f>
        <v>-6.3691657565</v>
      </c>
      <c r="M456" s="144">
        <f>IF($Q$453=0,NA(),(K456-$T$453)/$Z$453)</f>
        <v>0.225096599541018</v>
      </c>
      <c r="N456" s="144">
        <f>IF($Q$453=0,NA(),(L456-$W$453)/$Z$453)</f>
        <v>-0.34731224517337</v>
      </c>
      <c r="O456" s="144">
        <f>K456-I456*H456</f>
        <v>-7.4699698919</v>
      </c>
      <c r="P456" s="144">
        <f>K456+I456*H456</f>
        <v>7.4699698919</v>
      </c>
      <c r="Q456" s="144">
        <f>L456-I456*H456</f>
        <v>-13.8391356484</v>
      </c>
      <c r="R456" s="144">
        <f>L456+I456*H456</f>
        <v>1.1008041354</v>
      </c>
      <c r="S456" s="146">
        <f>'ERDR Iterations'!C$150</f>
        <v>0</v>
      </c>
      <c r="T456" s="146">
        <f>'ERDR Iterations'!C$140</f>
        <v>2</v>
      </c>
      <c r="U456" s="146">
        <f>'ERDR Iterations'!C$153</f>
        <v>2</v>
      </c>
      <c r="V456" s="146">
        <f>'ERDR Iterations'!C$152</f>
        <v>0</v>
      </c>
      <c r="W456" s="146">
        <f>'ERDR Iterations'!C$155</f>
        <v>0</v>
      </c>
      <c r="X456" s="144" t="e">
        <f>IF(AND($Q$453&gt;0,E456=0,B456=1,C456=1),M456,NA())</f>
        <v>#N/A</v>
      </c>
      <c r="Y456" s="144" t="e">
        <f>IF(AND($Q$453&gt;0,E456=0,B456=1,C456=1),N456,NA())</f>
        <v>#N/A</v>
      </c>
      <c r="Z456" s="144" t="e">
        <f>IF(AND($Q$453&gt;0,E456=0,B456=1,C456=0),M456,NA())</f>
        <v>#N/A</v>
      </c>
      <c r="AA456" s="144" t="e">
        <f>IF(AND($Q$453&gt;0,E456=0,B456=1,C456=0),N456,NA())</f>
        <v>#N/A</v>
      </c>
      <c r="AB456" s="144" t="e">
        <f>IF(AND($Q$453&gt;0,E456=0,B456=2,C456=1),M456,NA())</f>
        <v>#N/A</v>
      </c>
      <c r="AC456" s="144" t="e">
        <f>IF(AND($Q$453&gt;0,E456=0,B456=2,C456=1),N456,NA())</f>
        <v>#N/A</v>
      </c>
      <c r="AD456" s="144">
        <f>IF(AND($Q$453&gt;0,E456=0,B456=2,C456=0),M456,NA())</f>
        <v>0.225096599541018</v>
      </c>
      <c r="AE456" s="144">
        <f>IF(AND($Q$453&gt;0,E456=0,B456=2,C456=0),N456,NA())</f>
        <v>-0.34731224517337</v>
      </c>
      <c r="AF456" s="144" t="e">
        <f>IF(AND(E456=1,B456=1),M456,NA())</f>
        <v>#N/A</v>
      </c>
      <c r="AG456" s="144" t="e">
        <f>IF(AND(E456=1,B456=1),N456,NA())</f>
        <v>#N/A</v>
      </c>
      <c r="AH456" s="144" t="e">
        <f>IF(AND(E456=1,B456=2),M456,NA())</f>
        <v>#N/A</v>
      </c>
      <c r="AI456" s="144" t="e">
        <f>IF(AND(E456=1,B456=2),N456,NA())</f>
        <v>#N/A</v>
      </c>
      <c r="AJ456" s="145" t="str">
        <f>A456&amp;IF(E456=1," = Sᵢ",IF(C456=0," (in D)",""))&amp;IF(V456=1,"  ·  g "&amp;T456&amp;"→"&amp;U456,"")&amp;IF(W456=1,"  → D","")</f>
        <v>S₂ (in D)</v>
      </c>
      <c r="AN456" s="146">
        <v>1</v>
      </c>
      <c r="AO456" s="144">
        <f>IF($I$455=1,$M$455+$H$455/$Z$453*$L$6,NA())</f>
        <v>0.202492830270734</v>
      </c>
      <c r="AP456" s="144" t="e">
        <f>IF($S$455=1,$N$455+$H$455/$Z$453*$M$6,NA())</f>
        <v>#N/A</v>
      </c>
      <c r="AQ456" s="144" t="e">
        <f>IF(AND($I$455=1,$C$455=1,$S$455=0),$N$455+$H$455/$Z$453*$M$6,NA())</f>
        <v>#N/A</v>
      </c>
      <c r="AR456" s="144">
        <f>IF(AND($I$455=1,$C$455=0),$N$455+$H$455/$Z$453*$M$6,NA())</f>
        <v>-0.0322267984372043</v>
      </c>
      <c r="AS456" s="144">
        <f>IF($I$456=1,$M$456+$H$456/$Z$453*$L$6,NA())</f>
        <v>0.729554233262548</v>
      </c>
      <c r="AT456" s="144" t="e">
        <f>IF($S$456=1,$N$456+$H$456/$Z$453*$M$6,NA())</f>
        <v>#N/A</v>
      </c>
      <c r="AU456" s="144" t="e">
        <f>IF(AND($I$456=1,$C$456=1,$S$456=0),$N$456+$H$456/$Z$453*$M$6,NA())</f>
        <v>#N/A</v>
      </c>
      <c r="AV456" s="144">
        <f>IF(AND($I$456=1,$C$456=0),$N$456+$H$456/$Z$453*$M$6,NA())</f>
        <v>-0.212143229601971</v>
      </c>
      <c r="AW456" s="144" t="e">
        <f>IF($I$457=1,$M$457+$H$457/$Z$453*$L$6,NA())</f>
        <v>#N/A</v>
      </c>
      <c r="AX456" s="144" t="e">
        <f>IF($S$457=1,$N$457+$H$457/$Z$453*$M$6,NA())</f>
        <v>#N/A</v>
      </c>
      <c r="AY456" s="144" t="e">
        <f>IF(AND($I$457=1,$C$457=1,$S$457=0),$N$457+$H$457/$Z$453*$M$6,NA())</f>
        <v>#N/A</v>
      </c>
      <c r="AZ456" s="144" t="e">
        <f>IF(AND($I$457=1,$C$457=0),$N$457+$H$457/$Z$453*$M$6,NA())</f>
        <v>#N/A</v>
      </c>
      <c r="BA456" s="144">
        <f>IF($I$458=1,$M$458+$H$458/$Z$453*$L$6,NA())</f>
        <v>0.475443572824149</v>
      </c>
      <c r="BB456" s="144" t="e">
        <f>IF($S$458=1,$N$458+$H$458/$Z$453*$M$6,NA())</f>
        <v>#N/A</v>
      </c>
      <c r="BC456" s="144">
        <f>IF(AND($I$458=1,$C$458=1,$S$458=0),$N$458+$H$458/$Z$453*$M$6,NA())</f>
        <v>0.165059744864091</v>
      </c>
      <c r="BD456" s="144" t="e">
        <f>IF(AND($I$458=1,$C$458=0),$N$458+$H$458/$Z$453*$M$6,NA())</f>
        <v>#N/A</v>
      </c>
      <c r="BE456" s="144">
        <f>IF($I$459=1,$M$459+$H$459/$Z$453*$L$6,NA())</f>
        <v>0.230119153924776</v>
      </c>
      <c r="BF456" s="144" t="e">
        <f>IF($S$459=1,$N$459+$H$459/$Z$453*$M$6,NA())</f>
        <v>#N/A</v>
      </c>
      <c r="BG456" s="144" t="e">
        <f>IF(AND($I$459=1,$C$459=1,$S$459=0),$N$459+$H$459/$Z$453*$M$6,NA())</f>
        <v>#N/A</v>
      </c>
      <c r="BH456" s="144">
        <f>IF(AND($I$459=1,$C$459=0),$N$459+$H$459/$Z$453*$M$6,NA())</f>
        <v>0.501046123844303</v>
      </c>
      <c r="BI456" s="144" t="e">
        <f>IF($I$460=1,$M$460+$H$460/$Z$453*$L$6,NA())</f>
        <v>#N/A</v>
      </c>
      <c r="BJ456" s="144" t="e">
        <f>IF($S$460=1,$N$460+$H$460/$Z$453*$M$6,NA())</f>
        <v>#N/A</v>
      </c>
      <c r="BK456" s="144" t="e">
        <f>IF(AND($I$460=1,$C$460=1,$S$460=0),$N$460+$H$460/$Z$453*$M$6,NA())</f>
        <v>#N/A</v>
      </c>
      <c r="BL456" s="144" t="e">
        <f>IF(AND($I$460=1,$C$460=0),$N$460+$H$460/$Z$453*$M$6,NA())</f>
        <v>#N/A</v>
      </c>
      <c r="BM456" s="144" t="e">
        <f>IF($I$461=1,$M$461+$H$461/$Z$453*$L$6,NA())</f>
        <v>#N/A</v>
      </c>
      <c r="BN456" s="144" t="e">
        <f>IF($S$461=1,$N$461+$H$461/$Z$453*$M$6,NA())</f>
        <v>#N/A</v>
      </c>
      <c r="BO456" s="144" t="e">
        <f>IF(AND($I$461=1,$C$461=1,$S$461=0),$N$461+$H$461/$Z$453*$M$6,NA())</f>
        <v>#N/A</v>
      </c>
      <c r="BP456" s="144" t="e">
        <f>IF(AND($I$461=1,$C$461=0),$N$461+$H$461/$Z$453*$M$6,NA())</f>
        <v>#N/A</v>
      </c>
    </row>
    <row r="457">
      <c r="A457" s="62" t="inlineStr">
        <is>
          <t xml:space="preserve">S₃</t>
        </is>
      </c>
      <c r="B457" s="68">
        <f>'ERDR Iterations'!D$137</f>
        <v>1</v>
      </c>
      <c r="C457" s="146">
        <f>'ERDR Iterations'!D$138</f>
        <v>1</v>
      </c>
      <c r="D457" s="146">
        <f>'ERDR Iterations'!D$144</f>
        <v>0</v>
      </c>
      <c r="E457" s="146">
        <f>IF($Q$453=3,1,0)</f>
        <v>0</v>
      </c>
      <c r="F457" s="146">
        <f>IF(OR($Q$453=0,E457=1),0,INDEX('Sorted Neighbors'!$B$5:$H$11,$Q$453,3))</f>
        <v>3</v>
      </c>
      <c r="G457" s="144">
        <f>IF($Q$453=0,0,INDEX('Zhuravlev Distances'!$B$5:$H$11,$Q$453,3))</f>
        <v>6.2175670209</v>
      </c>
      <c r="H457" s="144">
        <f>'ERDR Characteristics'!$D$7</f>
        <v>5.60708061</v>
      </c>
      <c r="I457" s="146">
        <f>D457</f>
        <v>0</v>
      </c>
      <c r="J457" s="144">
        <f>IF(F457=0,0,PI()/2-(F457-1)*$B$6)</f>
        <v>-0.523598775598299</v>
      </c>
      <c r="K457" s="144">
        <f>G457*COS(J457)</f>
        <v>5.38457098983173</v>
      </c>
      <c r="L457" s="144">
        <f>G457*SIN(J457)</f>
        <v>-3.10878351045</v>
      </c>
      <c r="M457" s="144">
        <f>IF($Q$453=0,NA(),(K457-$T$453)/$Z$453)</f>
        <v>0.601551691630127</v>
      </c>
      <c r="N457" s="144">
        <f>IF($Q$453=0,NA(),(L457-$W$453)/$Z$453)</f>
        <v>-0.119366973210152</v>
      </c>
      <c r="O457" s="144">
        <f>K457-I457*H457</f>
        <v>5.38457098983173</v>
      </c>
      <c r="P457" s="144">
        <f>K457+I457*H457</f>
        <v>5.38457098983173</v>
      </c>
      <c r="Q457" s="144">
        <f>L457-I457*H457</f>
        <v>-3.10878351045</v>
      </c>
      <c r="R457" s="144">
        <f>L457+I457*H457</f>
        <v>-3.10878351045</v>
      </c>
      <c r="S457" s="146">
        <f>'ERDR Iterations'!D$150</f>
        <v>0</v>
      </c>
      <c r="T457" s="146">
        <f>'ERDR Iterations'!D$140</f>
        <v>2</v>
      </c>
      <c r="U457" s="146">
        <f>'ERDR Iterations'!D$153</f>
        <v>2</v>
      </c>
      <c r="V457" s="146">
        <f>'ERDR Iterations'!D$152</f>
        <v>0</v>
      </c>
      <c r="W457" s="146">
        <f>'ERDR Iterations'!D$155</f>
        <v>0</v>
      </c>
      <c r="X457" s="144">
        <f>IF(AND($Q$453&gt;0,E457=0,B457=1,C457=1),M457,NA())</f>
        <v>0.601551691630127</v>
      </c>
      <c r="Y457" s="144">
        <f>IF(AND($Q$453&gt;0,E457=0,B457=1,C457=1),N457,NA())</f>
        <v>-0.119366973210152</v>
      </c>
      <c r="Z457" s="144" t="e">
        <f>IF(AND($Q$453&gt;0,E457=0,B457=1,C457=0),M457,NA())</f>
        <v>#N/A</v>
      </c>
      <c r="AA457" s="144" t="e">
        <f>IF(AND($Q$453&gt;0,E457=0,B457=1,C457=0),N457,NA())</f>
        <v>#N/A</v>
      </c>
      <c r="AB457" s="144" t="e">
        <f>IF(AND($Q$453&gt;0,E457=0,B457=2,C457=1),M457,NA())</f>
        <v>#N/A</v>
      </c>
      <c r="AC457" s="144" t="e">
        <f>IF(AND($Q$453&gt;0,E457=0,B457=2,C457=1),N457,NA())</f>
        <v>#N/A</v>
      </c>
      <c r="AD457" s="144" t="e">
        <f>IF(AND($Q$453&gt;0,E457=0,B457=2,C457=0),M457,NA())</f>
        <v>#N/A</v>
      </c>
      <c r="AE457" s="144" t="e">
        <f>IF(AND($Q$453&gt;0,E457=0,B457=2,C457=0),N457,NA())</f>
        <v>#N/A</v>
      </c>
      <c r="AF457" s="144" t="e">
        <f>IF(AND(E457=1,B457=1),M457,NA())</f>
        <v>#N/A</v>
      </c>
      <c r="AG457" s="144" t="e">
        <f>IF(AND(E457=1,B457=1),N457,NA())</f>
        <v>#N/A</v>
      </c>
      <c r="AH457" s="144" t="e">
        <f>IF(AND(E457=1,B457=2),M457,NA())</f>
        <v>#N/A</v>
      </c>
      <c r="AI457" s="144" t="e">
        <f>IF(AND(E457=1,B457=2),N457,NA())</f>
        <v>#N/A</v>
      </c>
      <c r="AJ457" s="145" t="str">
        <f>A457&amp;IF(E457=1," = Sᵢ",IF(C457=0," (in D)",""))&amp;IF(V457=1,"  ·  g "&amp;T457&amp;"→"&amp;U457,"")&amp;IF(W457=1,"  → D","")</f>
        <v>S₃</v>
      </c>
      <c r="AN457" s="146">
        <v>2</v>
      </c>
      <c r="AO457" s="144">
        <f>IF($I$455=1,$M$455+$H$455/$Z$453*$L$7,NA())</f>
        <v>0.163330710287352</v>
      </c>
      <c r="AP457" s="144" t="e">
        <f>IF($S$455=1,$N$455+$H$455/$Z$453*$M$7,NA())</f>
        <v>#N/A</v>
      </c>
      <c r="AQ457" s="144" t="e">
        <f>IF(AND($I$455=1,$C$455=1,$S$455=0),$N$455+$H$455/$Z$453*$M$7,NA())</f>
        <v>#N/A</v>
      </c>
      <c r="AR457" s="144">
        <f>IF(AND($I$455=1,$C$455=0),$N$455+$H$455/$Z$453*$M$7,NA())</f>
        <v>0.0623189227579593</v>
      </c>
      <c r="AS457" s="144">
        <f>IF($I$456=1,$M$456+$H$456/$Z$453*$L$7,NA())</f>
        <v>0.677380940683678</v>
      </c>
      <c r="AT457" s="144" t="e">
        <f>IF($S$456=1,$N$456+$H$456/$Z$453*$M$7,NA())</f>
        <v>#N/A</v>
      </c>
      <c r="AU457" s="144" t="e">
        <f>IF(AND($I$456=1,$C$456=1,$S$456=0),$N$456+$H$456/$Z$453*$M$7,NA())</f>
        <v>#N/A</v>
      </c>
      <c r="AV457" s="144">
        <f>IF(AND($I$456=1,$C$456=0),$N$456+$H$456/$Z$453*$M$7,NA())</f>
        <v>-0.086185759064403</v>
      </c>
      <c r="AW457" s="144" t="e">
        <f>IF($I$457=1,$M$457+$H$457/$Z$453*$L$7,NA())</f>
        <v>#N/A</v>
      </c>
      <c r="AX457" s="144" t="e">
        <f>IF($S$457=1,$N$457+$H$457/$Z$453*$M$7,NA())</f>
        <v>#N/A</v>
      </c>
      <c r="AY457" s="144" t="e">
        <f>IF(AND($I$457=1,$C$457=1,$S$457=0),$N$457+$H$457/$Z$453*$M$7,NA())</f>
        <v>#N/A</v>
      </c>
      <c r="AZ457" s="144" t="e">
        <f>IF(AND($I$457=1,$C$457=0),$N$457+$H$457/$Z$453*$M$7,NA())</f>
        <v>#N/A</v>
      </c>
      <c r="BA457" s="144">
        <f>IF($I$458=1,$M$458+$H$458/$Z$453*$L$7,NA())</f>
        <v>0.449551555318184</v>
      </c>
      <c r="BB457" s="144" t="e">
        <f>IF($S$458=1,$N$458+$H$458/$Z$453*$M$7,NA())</f>
        <v>#N/A</v>
      </c>
      <c r="BC457" s="144">
        <f>IF(AND($I$458=1,$C$458=1,$S$458=0),$N$458+$H$458/$Z$453*$M$7,NA())</f>
        <v>0.227568604684193</v>
      </c>
      <c r="BD457" s="144" t="e">
        <f>IF(AND($I$458=1,$C$458=0),$N$458+$H$458/$Z$453*$M$7,NA())</f>
        <v>#N/A</v>
      </c>
      <c r="BE457" s="144">
        <f>IF($I$459=1,$M$459+$H$459/$Z$453*$L$7,NA())</f>
        <v>0.180448135122814</v>
      </c>
      <c r="BF457" s="144" t="e">
        <f>IF($S$459=1,$N$459+$H$459/$Z$453*$M$7,NA())</f>
        <v>#N/A</v>
      </c>
      <c r="BG457" s="144" t="e">
        <f>IF(AND($I$459=1,$C$459=1,$S$459=0),$N$459+$H$459/$Z$453*$M$7,NA())</f>
        <v>#N/A</v>
      </c>
      <c r="BH457" s="144">
        <f>IF(AND($I$459=1,$C$459=0),$N$459+$H$459/$Z$453*$M$7,NA())</f>
        <v>0.620962571092887</v>
      </c>
      <c r="BI457" s="144" t="e">
        <f>IF($I$460=1,$M$460+$H$460/$Z$453*$L$7,NA())</f>
        <v>#N/A</v>
      </c>
      <c r="BJ457" s="144" t="e">
        <f>IF($S$460=1,$N$460+$H$460/$Z$453*$M$7,NA())</f>
        <v>#N/A</v>
      </c>
      <c r="BK457" s="144" t="e">
        <f>IF(AND($I$460=1,$C$460=1,$S$460=0),$N$460+$H$460/$Z$453*$M$7,NA())</f>
        <v>#N/A</v>
      </c>
      <c r="BL457" s="144" t="e">
        <f>IF(AND($I$460=1,$C$460=0),$N$460+$H$460/$Z$453*$M$7,NA())</f>
        <v>#N/A</v>
      </c>
      <c r="BM457" s="144" t="e">
        <f>IF($I$461=1,$M$461+$H$461/$Z$453*$L$7,NA())</f>
        <v>#N/A</v>
      </c>
      <c r="BN457" s="144" t="e">
        <f>IF($S$461=1,$N$461+$H$461/$Z$453*$M$7,NA())</f>
        <v>#N/A</v>
      </c>
      <c r="BO457" s="144" t="e">
        <f>IF(AND($I$461=1,$C$461=1,$S$461=0),$N$461+$H$461/$Z$453*$M$7,NA())</f>
        <v>#N/A</v>
      </c>
      <c r="BP457" s="144" t="e">
        <f>IF(AND($I$461=1,$C$461=0),$N$461+$H$461/$Z$453*$M$7,NA())</f>
        <v>#N/A</v>
      </c>
    </row>
    <row r="458">
      <c r="A458" s="62" t="inlineStr">
        <is>
          <t xml:space="preserve">S₄</t>
        </is>
      </c>
      <c r="B458" s="68">
        <f>'ERDR Iterations'!E$137</f>
        <v>2</v>
      </c>
      <c r="C458" s="146">
        <f>'ERDR Iterations'!E$138</f>
        <v>1</v>
      </c>
      <c r="D458" s="146">
        <f>'ERDR Iterations'!E$144</f>
        <v>1</v>
      </c>
      <c r="E458" s="146">
        <f>IF($Q$453=4,1,0)</f>
        <v>1</v>
      </c>
      <c r="F458" s="146">
        <f>IF(OR($Q$453=0,E458=1),0,INDEX('Sorted Neighbors'!$B$5:$H$11,$Q$453,4))</f>
        <v>0</v>
      </c>
      <c r="G458" s="144">
        <f>IF($Q$453=0,0,INDEX('Zhuravlev Distances'!$B$5:$H$11,$Q$453,4))</f>
        <v>0</v>
      </c>
      <c r="H458" s="144">
        <f>'ERDR Characteristics'!$D$8</f>
        <v>3.7071187508</v>
      </c>
      <c r="I458" s="146">
        <f>D458</f>
        <v>1</v>
      </c>
      <c r="J458" s="144">
        <f>IF(F458=0,0,PI()/2-(F458-1)*$B$6)</f>
        <v>0</v>
      </c>
      <c r="K458" s="144">
        <f>G458*COS(J458)</f>
        <v>0</v>
      </c>
      <c r="L458" s="144">
        <f>G458*SIN(J458)</f>
        <v>0</v>
      </c>
      <c r="M458" s="144">
        <f>IF($Q$453=0,NA(),(K458-$T$453)/$Z$453)</f>
        <v>0.225096599541018</v>
      </c>
      <c r="N458" s="144">
        <f>IF($Q$453=0,NA(),(L458-$W$453)/$Z$453)</f>
        <v>0.0979794755453005</v>
      </c>
      <c r="O458" s="144">
        <f>K458-I458*H458</f>
        <v>-3.7071187508</v>
      </c>
      <c r="P458" s="144">
        <f>K458+I458*H458</f>
        <v>3.7071187508</v>
      </c>
      <c r="Q458" s="144">
        <f>L458-I458*H458</f>
        <v>-3.7071187508</v>
      </c>
      <c r="R458" s="144">
        <f>L458+I458*H458</f>
        <v>3.7071187508</v>
      </c>
      <c r="S458" s="146">
        <f>'ERDR Iterations'!E$150</f>
        <v>0</v>
      </c>
      <c r="T458" s="146">
        <f>'ERDR Iterations'!E$140</f>
        <v>1</v>
      </c>
      <c r="U458" s="146">
        <f>'ERDR Iterations'!E$153</f>
        <v>1</v>
      </c>
      <c r="V458" s="146">
        <f>'ERDR Iterations'!E$152</f>
        <v>0</v>
      </c>
      <c r="W458" s="146">
        <f>'ERDR Iterations'!E$155</f>
        <v>0</v>
      </c>
      <c r="X458" s="144" t="e">
        <f>IF(AND($Q$453&gt;0,E458=0,B458=1,C458=1),M458,NA())</f>
        <v>#N/A</v>
      </c>
      <c r="Y458" s="144" t="e">
        <f>IF(AND($Q$453&gt;0,E458=0,B458=1,C458=1),N458,NA())</f>
        <v>#N/A</v>
      </c>
      <c r="Z458" s="144" t="e">
        <f>IF(AND($Q$453&gt;0,E458=0,B458=1,C458=0),M458,NA())</f>
        <v>#N/A</v>
      </c>
      <c r="AA458" s="144" t="e">
        <f>IF(AND($Q$453&gt;0,E458=0,B458=1,C458=0),N458,NA())</f>
        <v>#N/A</v>
      </c>
      <c r="AB458" s="144" t="e">
        <f>IF(AND($Q$453&gt;0,E458=0,B458=2,C458=1),M458,NA())</f>
        <v>#N/A</v>
      </c>
      <c r="AC458" s="144" t="e">
        <f>IF(AND($Q$453&gt;0,E458=0,B458=2,C458=1),N458,NA())</f>
        <v>#N/A</v>
      </c>
      <c r="AD458" s="144" t="e">
        <f>IF(AND($Q$453&gt;0,E458=0,B458=2,C458=0),M458,NA())</f>
        <v>#N/A</v>
      </c>
      <c r="AE458" s="144" t="e">
        <f>IF(AND($Q$453&gt;0,E458=0,B458=2,C458=0),N458,NA())</f>
        <v>#N/A</v>
      </c>
      <c r="AF458" s="144" t="e">
        <f>IF(AND(E458=1,B458=1),M458,NA())</f>
        <v>#N/A</v>
      </c>
      <c r="AG458" s="144" t="e">
        <f>IF(AND(E458=1,B458=1),N458,NA())</f>
        <v>#N/A</v>
      </c>
      <c r="AH458" s="144">
        <f>IF(AND(E458=1,B458=2),M458,NA())</f>
        <v>0.225096599541018</v>
      </c>
      <c r="AI458" s="144">
        <f>IF(AND(E458=1,B458=2),N458,NA())</f>
        <v>0.0979794755453005</v>
      </c>
      <c r="AJ458" s="145" t="str">
        <f>A458&amp;IF(E458=1," = Sᵢ",IF(C458=0," (in D)",""))&amp;IF(V458=1,"  ·  g "&amp;T458&amp;"→"&amp;U458,"")&amp;IF(W458=1,"  → D","")</f>
        <v>S₄ = Sᵢ</v>
      </c>
      <c r="AN458" s="146">
        <v>3</v>
      </c>
      <c r="AO458" s="144">
        <f>IF($I$455=1,$M$455+$H$455/$Z$453*$L$8,NA())</f>
        <v>0.10103277390491</v>
      </c>
      <c r="AP458" s="144" t="e">
        <f>IF($S$455=1,$N$455+$H$455/$Z$453*$M$8,NA())</f>
        <v>#N/A</v>
      </c>
      <c r="AQ458" s="144" t="e">
        <f>IF(AND($I$455=1,$C$455=1,$S$455=0),$N$455+$H$455/$Z$453*$M$8,NA())</f>
        <v>#N/A</v>
      </c>
      <c r="AR458" s="144">
        <f>IF(AND($I$455=1,$C$455=0),$N$455+$H$455/$Z$453*$M$8,NA())</f>
        <v>0.143507174127204</v>
      </c>
      <c r="AS458" s="144">
        <f>IF($I$456=1,$M$456+$H$456/$Z$453*$L$8,NA())</f>
        <v>0.594385217691149</v>
      </c>
      <c r="AT458" s="144" t="e">
        <f>IF($S$456=1,$N$456+$H$456/$Z$453*$M$8,NA())</f>
        <v>#N/A</v>
      </c>
      <c r="AU458" s="144" t="e">
        <f>IF(AND($I$456=1,$C$456=1,$S$456=0),$N$456+$H$456/$Z$453*$M$8,NA())</f>
        <v>#N/A</v>
      </c>
      <c r="AV458" s="144">
        <f>IF(AND($I$456=1,$C$456=0),$N$456+$H$456/$Z$453*$M$8,NA())</f>
        <v>0.0219763729767608</v>
      </c>
      <c r="AW458" s="144" t="e">
        <f>IF($I$457=1,$M$457+$H$457/$Z$453*$L$8,NA())</f>
        <v>#N/A</v>
      </c>
      <c r="AX458" s="144" t="e">
        <f>IF($S$457=1,$N$457+$H$457/$Z$453*$M$8,NA())</f>
        <v>#N/A</v>
      </c>
      <c r="AY458" s="144" t="e">
        <f>IF(AND($I$457=1,$C$457=1,$S$457=0),$N$457+$H$457/$Z$453*$M$8,NA())</f>
        <v>#N/A</v>
      </c>
      <c r="AZ458" s="144" t="e">
        <f>IF(AND($I$457=1,$C$457=0),$N$457+$H$457/$Z$453*$M$8,NA())</f>
        <v>#N/A</v>
      </c>
      <c r="BA458" s="144">
        <f>IF($I$458=1,$M$458+$H$458/$Z$453*$L$8,NA())</f>
        <v>0.408363303505358</v>
      </c>
      <c r="BB458" s="144" t="e">
        <f>IF($S$458=1,$N$458+$H$458/$Z$453*$M$8,NA())</f>
        <v>#N/A</v>
      </c>
      <c r="BC458" s="144">
        <f>IF(AND($I$458=1,$C$458=1,$S$458=0),$N$458+$H$458/$Z$453*$M$8,NA())</f>
        <v>0.281246179509641</v>
      </c>
      <c r="BD458" s="144" t="e">
        <f>IF(AND($I$458=1,$C$458=0),$N$458+$H$458/$Z$453*$M$8,NA())</f>
        <v>#N/A</v>
      </c>
      <c r="BE458" s="144">
        <f>IF($I$459=1,$M$459+$H$459/$Z$453*$L$8,NA())</f>
        <v>0.101432954874944</v>
      </c>
      <c r="BF458" s="144" t="e">
        <f>IF($S$459=1,$N$459+$H$459/$Z$453*$M$8,NA())</f>
        <v>#N/A</v>
      </c>
      <c r="BG458" s="144" t="e">
        <f>IF(AND($I$459=1,$C$459=1,$S$459=0),$N$459+$H$459/$Z$453*$M$8,NA())</f>
        <v>#N/A</v>
      </c>
      <c r="BH458" s="144">
        <f>IF(AND($I$459=1,$C$459=0),$N$459+$H$459/$Z$453*$M$8,NA())</f>
        <v>0.723937158831533</v>
      </c>
      <c r="BI458" s="144" t="e">
        <f>IF($I$460=1,$M$460+$H$460/$Z$453*$L$8,NA())</f>
        <v>#N/A</v>
      </c>
      <c r="BJ458" s="144" t="e">
        <f>IF($S$460=1,$N$460+$H$460/$Z$453*$M$8,NA())</f>
        <v>#N/A</v>
      </c>
      <c r="BK458" s="144" t="e">
        <f>IF(AND($I$460=1,$C$460=1,$S$460=0),$N$460+$H$460/$Z$453*$M$8,NA())</f>
        <v>#N/A</v>
      </c>
      <c r="BL458" s="144" t="e">
        <f>IF(AND($I$460=1,$C$460=0),$N$460+$H$460/$Z$453*$M$8,NA())</f>
        <v>#N/A</v>
      </c>
      <c r="BM458" s="144" t="e">
        <f>IF($I$461=1,$M$461+$H$461/$Z$453*$L$8,NA())</f>
        <v>#N/A</v>
      </c>
      <c r="BN458" s="144" t="e">
        <f>IF($S$461=1,$N$461+$H$461/$Z$453*$M$8,NA())</f>
        <v>#N/A</v>
      </c>
      <c r="BO458" s="144" t="e">
        <f>IF(AND($I$461=1,$C$461=1,$S$461=0),$N$461+$H$461/$Z$453*$M$8,NA())</f>
        <v>#N/A</v>
      </c>
      <c r="BP458" s="144" t="e">
        <f>IF(AND($I$461=1,$C$461=0),$N$461+$H$461/$Z$453*$M$8,NA())</f>
        <v>#N/A</v>
      </c>
    </row>
    <row r="459">
      <c r="A459" s="62" t="inlineStr">
        <is>
          <t xml:space="preserve">S₅</t>
        </is>
      </c>
      <c r="B459" s="68">
        <f>'ERDR Iterations'!F$137</f>
        <v>2</v>
      </c>
      <c r="C459" s="146">
        <f>'ERDR Iterations'!F$138</f>
        <v>0</v>
      </c>
      <c r="D459" s="146">
        <f>'ERDR Iterations'!F$144</f>
        <v>1</v>
      </c>
      <c r="E459" s="146">
        <f>IF($Q$453=5,1,0)</f>
        <v>0</v>
      </c>
      <c r="F459" s="146">
        <f>IF(OR($Q$453=0,E459=1),0,INDEX('Sorted Neighbors'!$B$5:$H$11,$Q$453,5))</f>
        <v>6</v>
      </c>
      <c r="G459" s="144">
        <f>IF($Q$453=0,0,INDEX('Zhuravlev Distances'!$B$5:$H$11,$Q$453,5))</f>
        <v>7.8491221835</v>
      </c>
      <c r="H459" s="144">
        <f>'ERDR Characteristics'!$D$9</f>
        <v>7.1117040273</v>
      </c>
      <c r="I459" s="146">
        <f>D459</f>
        <v>1</v>
      </c>
      <c r="J459" s="144">
        <f>IF(F459=0,0,PI()/2-(F459-1)*$B$6)</f>
        <v>-3.66519142918809</v>
      </c>
      <c r="K459" s="144">
        <f>G459*COS(J459)</f>
        <v>-6.79753920831899</v>
      </c>
      <c r="L459" s="144">
        <f>G459*SIN(J459)</f>
        <v>3.92456109175</v>
      </c>
      <c r="M459" s="144">
        <f>IF($Q$453=0,NA(),(K459-$T$453)/$Z$453)</f>
        <v>-0.250144279162119</v>
      </c>
      <c r="N459" s="144">
        <f>IF($Q$453=0,NA(),(L459-$W$453)/$Z$453)</f>
        <v>0.372359924794471</v>
      </c>
      <c r="O459" s="144">
        <f>K459-I459*H459</f>
        <v>-13.909243235619</v>
      </c>
      <c r="P459" s="144">
        <f>K459+I459*H459</f>
        <v>0.314164818981015</v>
      </c>
      <c r="Q459" s="144">
        <f>L459-I459*H459</f>
        <v>-3.18714293555001</v>
      </c>
      <c r="R459" s="144">
        <f>L459+I459*H459</f>
        <v>11.03626511905</v>
      </c>
      <c r="S459" s="146">
        <f>'ERDR Iterations'!F$150</f>
        <v>0</v>
      </c>
      <c r="T459" s="146">
        <f>'ERDR Iterations'!F$140</f>
        <v>1</v>
      </c>
      <c r="U459" s="146">
        <f>'ERDR Iterations'!F$153</f>
        <v>1</v>
      </c>
      <c r="V459" s="146">
        <f>'ERDR Iterations'!F$152</f>
        <v>0</v>
      </c>
      <c r="W459" s="146">
        <f>'ERDR Iterations'!F$155</f>
        <v>0</v>
      </c>
      <c r="X459" s="144" t="e">
        <f>IF(AND($Q$453&gt;0,E459=0,B459=1,C459=1),M459,NA())</f>
        <v>#N/A</v>
      </c>
      <c r="Y459" s="144" t="e">
        <f>IF(AND($Q$453&gt;0,E459=0,B459=1,C459=1),N459,NA())</f>
        <v>#N/A</v>
      </c>
      <c r="Z459" s="144" t="e">
        <f>IF(AND($Q$453&gt;0,E459=0,B459=1,C459=0),M459,NA())</f>
        <v>#N/A</v>
      </c>
      <c r="AA459" s="144" t="e">
        <f>IF(AND($Q$453&gt;0,E459=0,B459=1,C459=0),N459,NA())</f>
        <v>#N/A</v>
      </c>
      <c r="AB459" s="144" t="e">
        <f>IF(AND($Q$453&gt;0,E459=0,B459=2,C459=1),M459,NA())</f>
        <v>#N/A</v>
      </c>
      <c r="AC459" s="144" t="e">
        <f>IF(AND($Q$453&gt;0,E459=0,B459=2,C459=1),N459,NA())</f>
        <v>#N/A</v>
      </c>
      <c r="AD459" s="144">
        <f>IF(AND($Q$453&gt;0,E459=0,B459=2,C459=0),M459,NA())</f>
        <v>-0.250144279162119</v>
      </c>
      <c r="AE459" s="144">
        <f>IF(AND($Q$453&gt;0,E459=0,B459=2,C459=0),N459,NA())</f>
        <v>0.372359924794471</v>
      </c>
      <c r="AF459" s="144" t="e">
        <f>IF(AND(E459=1,B459=1),M459,NA())</f>
        <v>#N/A</v>
      </c>
      <c r="AG459" s="144" t="e">
        <f>IF(AND(E459=1,B459=1),N459,NA())</f>
        <v>#N/A</v>
      </c>
      <c r="AH459" s="144" t="e">
        <f>IF(AND(E459=1,B459=2),M459,NA())</f>
        <v>#N/A</v>
      </c>
      <c r="AI459" s="144" t="e">
        <f>IF(AND(E459=1,B459=2),N459,NA())</f>
        <v>#N/A</v>
      </c>
      <c r="AJ459" s="145" t="str">
        <f>A459&amp;IF(E459=1," = Sᵢ",IF(C459=0," (in D)",""))&amp;IF(V459=1,"  ·  g "&amp;T459&amp;"→"&amp;U459,"")&amp;IF(W459=1,"  → D","")</f>
        <v>S₅ (in D)</v>
      </c>
      <c r="AN459" s="146">
        <v>4</v>
      </c>
      <c r="AO459" s="144">
        <f>IF($I$455=1,$M$455+$H$455/$Z$453*$L$9,NA())</f>
        <v>0.0198445225356653</v>
      </c>
      <c r="AP459" s="144" t="e">
        <f>IF($S$455=1,$N$455+$H$455/$Z$453*$M$9,NA())</f>
        <v>#N/A</v>
      </c>
      <c r="AQ459" s="144" t="e">
        <f>IF(AND($I$455=1,$C$455=1,$S$455=0),$N$455+$H$455/$Z$453*$M$9,NA())</f>
        <v>#N/A</v>
      </c>
      <c r="AR459" s="144">
        <f>IF(AND($I$455=1,$C$455=0),$N$455+$H$455/$Z$453*$M$9,NA())</f>
        <v>0.205805110509646</v>
      </c>
      <c r="AS459" s="144">
        <f>IF($I$456=1,$M$456+$H$456/$Z$453*$L$9,NA())</f>
        <v>0.486223085649986</v>
      </c>
      <c r="AT459" s="144" t="e">
        <f>IF($S$456=1,$N$456+$H$456/$Z$453*$M$9,NA())</f>
        <v>#N/A</v>
      </c>
      <c r="AU459" s="144" t="e">
        <f>IF(AND($I$456=1,$C$456=1,$S$456=0),$N$456+$H$456/$Z$453*$M$9,NA())</f>
        <v>#N/A</v>
      </c>
      <c r="AV459" s="144">
        <f>IF(AND($I$456=1,$C$456=0),$N$456+$H$456/$Z$453*$M$9,NA())</f>
        <v>0.10497209596929</v>
      </c>
      <c r="AW459" s="144" t="e">
        <f>IF($I$457=1,$M$457+$H$457/$Z$453*$L$9,NA())</f>
        <v>#N/A</v>
      </c>
      <c r="AX459" s="144" t="e">
        <f>IF($S$457=1,$N$457+$H$457/$Z$453*$M$9,NA())</f>
        <v>#N/A</v>
      </c>
      <c r="AY459" s="144" t="e">
        <f>IF(AND($I$457=1,$C$457=1,$S$457=0),$N$457+$H$457/$Z$453*$M$9,NA())</f>
        <v>#N/A</v>
      </c>
      <c r="AZ459" s="144" t="e">
        <f>IF(AND($I$457=1,$C$457=0),$N$457+$H$457/$Z$453*$M$9,NA())</f>
        <v>#N/A</v>
      </c>
      <c r="BA459" s="144">
        <f>IF($I$458=1,$M$458+$H$458/$Z$453*$L$9,NA())</f>
        <v>0.354685728679911</v>
      </c>
      <c r="BB459" s="144" t="e">
        <f>IF($S$458=1,$N$458+$H$458/$Z$453*$M$9,NA())</f>
        <v>#N/A</v>
      </c>
      <c r="BC459" s="144">
        <f>IF(AND($I$458=1,$C$458=1,$S$458=0),$N$458+$H$458/$Z$453*$M$9,NA())</f>
        <v>0.322434431322467</v>
      </c>
      <c r="BD459" s="144" t="e">
        <f>IF(AND($I$458=1,$C$458=0),$N$458+$H$458/$Z$453*$M$9,NA())</f>
        <v>#N/A</v>
      </c>
      <c r="BE459" s="144">
        <f>IF($I$459=1,$M$459+$H$459/$Z$453*$L$9,NA())</f>
        <v>-0.00154163286370185</v>
      </c>
      <c r="BF459" s="144" t="e">
        <f>IF($S$459=1,$N$459+$H$459/$Z$453*$M$9,NA())</f>
        <v>#N/A</v>
      </c>
      <c r="BG459" s="144" t="e">
        <f>IF(AND($I$459=1,$C$459=1,$S$459=0),$N$459+$H$459/$Z$453*$M$9,NA())</f>
        <v>#N/A</v>
      </c>
      <c r="BH459" s="144">
        <f>IF(AND($I$459=1,$C$459=0),$N$459+$H$459/$Z$453*$M$9,NA())</f>
        <v>0.802952339079403</v>
      </c>
      <c r="BI459" s="144" t="e">
        <f>IF($I$460=1,$M$460+$H$460/$Z$453*$L$9,NA())</f>
        <v>#N/A</v>
      </c>
      <c r="BJ459" s="144" t="e">
        <f>IF($S$460=1,$N$460+$H$460/$Z$453*$M$9,NA())</f>
        <v>#N/A</v>
      </c>
      <c r="BK459" s="144" t="e">
        <f>IF(AND($I$460=1,$C$460=1,$S$460=0),$N$460+$H$460/$Z$453*$M$9,NA())</f>
        <v>#N/A</v>
      </c>
      <c r="BL459" s="144" t="e">
        <f>IF(AND($I$460=1,$C$460=0),$N$460+$H$460/$Z$453*$M$9,NA())</f>
        <v>#N/A</v>
      </c>
      <c r="BM459" s="144" t="e">
        <f>IF($I$461=1,$M$461+$H$461/$Z$453*$L$9,NA())</f>
        <v>#N/A</v>
      </c>
      <c r="BN459" s="144" t="e">
        <f>IF($S$461=1,$N$461+$H$461/$Z$453*$M$9,NA())</f>
        <v>#N/A</v>
      </c>
      <c r="BO459" s="144" t="e">
        <f>IF(AND($I$461=1,$C$461=1,$S$461=0),$N$461+$H$461/$Z$453*$M$9,NA())</f>
        <v>#N/A</v>
      </c>
      <c r="BP459" s="144" t="e">
        <f>IF(AND($I$461=1,$C$461=0),$N$461+$H$461/$Z$453*$M$9,NA())</f>
        <v>#N/A</v>
      </c>
    </row>
    <row r="460">
      <c r="A460" s="62" t="inlineStr">
        <is>
          <t xml:space="preserve">S₆</t>
        </is>
      </c>
      <c r="B460" s="68">
        <f>'ERDR Iterations'!G$137</f>
        <v>1</v>
      </c>
      <c r="C460" s="146">
        <f>'ERDR Iterations'!G$138</f>
        <v>0</v>
      </c>
      <c r="D460" s="146">
        <f>'ERDR Iterations'!G$144</f>
        <v>0</v>
      </c>
      <c r="E460" s="146">
        <f>IF($Q$453=6,1,0)</f>
        <v>0</v>
      </c>
      <c r="F460" s="146">
        <f>IF(OR($Q$453=0,E460=1),0,INDEX('Sorted Neighbors'!$B$5:$H$11,$Q$453,6))</f>
        <v>1</v>
      </c>
      <c r="G460" s="144">
        <f>IF($Q$453=0,0,INDEX('Zhuravlev Distances'!$B$5:$H$11,$Q$453,6))</f>
        <v>3.7071187508</v>
      </c>
      <c r="H460" s="144">
        <f>'ERDR Characteristics'!$D$10</f>
        <v>3.7071187508</v>
      </c>
      <c r="I460" s="146">
        <f>D460</f>
        <v>0</v>
      </c>
      <c r="J460" s="144">
        <f>IF(F460=0,0,PI()/2-(F460-1)*$B$6)</f>
        <v>1.5707963267949</v>
      </c>
      <c r="K460" s="144">
        <f>G460*COS(J460)</f>
        <v>2.26995555611318e-16</v>
      </c>
      <c r="L460" s="144">
        <f>G460*SIN(J460)</f>
        <v>3.7071187508</v>
      </c>
      <c r="M460" s="144">
        <f>IF($Q$453=0,NA(),(K460-$T$453)/$Z$453)</f>
        <v>0.225096599541018</v>
      </c>
      <c r="N460" s="144">
        <f>IF($Q$453=0,NA(),(L460-$W$453)/$Z$453)</f>
        <v>0.357157733823086</v>
      </c>
      <c r="O460" s="144">
        <f>K460-I460*H460</f>
        <v>2.26995555611318e-16</v>
      </c>
      <c r="P460" s="144">
        <f>K460+I460*H460</f>
        <v>2.26995555611318e-16</v>
      </c>
      <c r="Q460" s="144">
        <f>L460-I460*H460</f>
        <v>3.7071187508</v>
      </c>
      <c r="R460" s="144">
        <f>L460+I460*H460</f>
        <v>3.7071187508</v>
      </c>
      <c r="S460" s="146">
        <f>'ERDR Iterations'!G$150</f>
        <v>0</v>
      </c>
      <c r="T460" s="146">
        <f>'ERDR Iterations'!G$140</f>
        <v>1</v>
      </c>
      <c r="U460" s="146">
        <f>'ERDR Iterations'!G$153</f>
        <v>1</v>
      </c>
      <c r="V460" s="146">
        <f>'ERDR Iterations'!G$152</f>
        <v>0</v>
      </c>
      <c r="W460" s="146">
        <f>'ERDR Iterations'!G$155</f>
        <v>0</v>
      </c>
      <c r="X460" s="144" t="e">
        <f>IF(AND($Q$453&gt;0,E460=0,B460=1,C460=1),M460,NA())</f>
        <v>#N/A</v>
      </c>
      <c r="Y460" s="144" t="e">
        <f>IF(AND($Q$453&gt;0,E460=0,B460=1,C460=1),N460,NA())</f>
        <v>#N/A</v>
      </c>
      <c r="Z460" s="144">
        <f>IF(AND($Q$453&gt;0,E460=0,B460=1,C460=0),M460,NA())</f>
        <v>0.225096599541018</v>
      </c>
      <c r="AA460" s="144">
        <f>IF(AND($Q$453&gt;0,E460=0,B460=1,C460=0),N460,NA())</f>
        <v>0.357157733823086</v>
      </c>
      <c r="AB460" s="144" t="e">
        <f>IF(AND($Q$453&gt;0,E460=0,B460=2,C460=1),M460,NA())</f>
        <v>#N/A</v>
      </c>
      <c r="AC460" s="144" t="e">
        <f>IF(AND($Q$453&gt;0,E460=0,B460=2,C460=1),N460,NA())</f>
        <v>#N/A</v>
      </c>
      <c r="AD460" s="144" t="e">
        <f>IF(AND($Q$453&gt;0,E460=0,B460=2,C460=0),M460,NA())</f>
        <v>#N/A</v>
      </c>
      <c r="AE460" s="144" t="e">
        <f>IF(AND($Q$453&gt;0,E460=0,B460=2,C460=0),N460,NA())</f>
        <v>#N/A</v>
      </c>
      <c r="AF460" s="144" t="e">
        <f>IF(AND(E460=1,B460=1),M460,NA())</f>
        <v>#N/A</v>
      </c>
      <c r="AG460" s="144" t="e">
        <f>IF(AND(E460=1,B460=1),N460,NA())</f>
        <v>#N/A</v>
      </c>
      <c r="AH460" s="144" t="e">
        <f>IF(AND(E460=1,B460=2),M460,NA())</f>
        <v>#N/A</v>
      </c>
      <c r="AI460" s="144" t="e">
        <f>IF(AND(E460=1,B460=2),N460,NA())</f>
        <v>#N/A</v>
      </c>
      <c r="AJ460" s="145" t="str">
        <f>A460&amp;IF(E460=1," = Sᵢ",IF(C460=0," (in D)",""))&amp;IF(V460=1,"  ·  g "&amp;T460&amp;"→"&amp;U460,"")&amp;IF(W460=1,"  → D","")</f>
        <v>S₆ (in D)</v>
      </c>
      <c r="AN460" s="146">
        <v>5</v>
      </c>
      <c r="AO460" s="144">
        <f>IF($I$455=1,$M$455+$H$455/$Z$453*$L$10,NA())</f>
        <v>-0.0747011986594984</v>
      </c>
      <c r="AP460" s="144" t="e">
        <f>IF($S$455=1,$N$455+$H$455/$Z$453*$M$10,NA())</f>
        <v>#N/A</v>
      </c>
      <c r="AQ460" s="144" t="e">
        <f>IF(AND($I$455=1,$C$455=1,$S$455=0),$N$455+$H$455/$Z$453*$M$10,NA())</f>
        <v>#N/A</v>
      </c>
      <c r="AR460" s="144">
        <f>IF(AND($I$455=1,$C$455=0),$N$455+$H$455/$Z$453*$M$10,NA())</f>
        <v>0.244967230493028</v>
      </c>
      <c r="AS460" s="144">
        <f>IF($I$456=1,$M$456+$H$456/$Z$453*$L$10,NA())</f>
        <v>0.360265615112417</v>
      </c>
      <c r="AT460" s="144" t="e">
        <f>IF($S$456=1,$N$456+$H$456/$Z$453*$M$10,NA())</f>
        <v>#N/A</v>
      </c>
      <c r="AU460" s="144" t="e">
        <f>IF(AND($I$456=1,$C$456=1,$S$456=0),$N$456+$H$456/$Z$453*$M$10,NA())</f>
        <v>#N/A</v>
      </c>
      <c r="AV460" s="144">
        <f>IF(AND($I$456=1,$C$456=0),$N$456+$H$456/$Z$453*$M$10,NA())</f>
        <v>0.15714538854816</v>
      </c>
      <c r="AW460" s="144" t="e">
        <f>IF($I$457=1,$M$457+$H$457/$Z$453*$L$10,NA())</f>
        <v>#N/A</v>
      </c>
      <c r="AX460" s="144" t="e">
        <f>IF($S$457=1,$N$457+$H$457/$Z$453*$M$10,NA())</f>
        <v>#N/A</v>
      </c>
      <c r="AY460" s="144" t="e">
        <f>IF(AND($I$457=1,$C$457=1,$S$457=0),$N$457+$H$457/$Z$453*$M$10,NA())</f>
        <v>#N/A</v>
      </c>
      <c r="AZ460" s="144" t="e">
        <f>IF(AND($I$457=1,$C$457=0),$N$457+$H$457/$Z$453*$M$10,NA())</f>
        <v>#N/A</v>
      </c>
      <c r="BA460" s="144">
        <f>IF($I$458=1,$M$458+$H$458/$Z$453*$L$10,NA())</f>
        <v>0.292176868859809</v>
      </c>
      <c r="BB460" s="144" t="e">
        <f>IF($S$458=1,$N$458+$H$458/$Z$453*$M$10,NA())</f>
        <v>#N/A</v>
      </c>
      <c r="BC460" s="144">
        <f>IF(AND($I$458=1,$C$458=1,$S$458=0),$N$458+$H$458/$Z$453*$M$10,NA())</f>
        <v>0.348326448828432</v>
      </c>
      <c r="BD460" s="144" t="e">
        <f>IF(AND($I$458=1,$C$458=0),$N$458+$H$458/$Z$453*$M$10,NA())</f>
        <v>#N/A</v>
      </c>
      <c r="BE460" s="144">
        <f>IF($I$459=1,$M$459+$H$459/$Z$453*$L$10,NA())</f>
        <v>-0.121458080112287</v>
      </c>
      <c r="BF460" s="144" t="e">
        <f>IF($S$459=1,$N$459+$H$459/$Z$453*$M$10,NA())</f>
        <v>#N/A</v>
      </c>
      <c r="BG460" s="144" t="e">
        <f>IF(AND($I$459=1,$C$459=1,$S$459=0),$N$459+$H$459/$Z$453*$M$10,NA())</f>
        <v>#N/A</v>
      </c>
      <c r="BH460" s="144">
        <f>IF(AND($I$459=1,$C$459=0),$N$459+$H$459/$Z$453*$M$10,NA())</f>
        <v>0.852623357881365</v>
      </c>
      <c r="BI460" s="144" t="e">
        <f>IF($I$460=1,$M$460+$H$460/$Z$453*$L$10,NA())</f>
        <v>#N/A</v>
      </c>
      <c r="BJ460" s="144" t="e">
        <f>IF($S$460=1,$N$460+$H$460/$Z$453*$M$10,NA())</f>
        <v>#N/A</v>
      </c>
      <c r="BK460" s="144" t="e">
        <f>IF(AND($I$460=1,$C$460=1,$S$460=0),$N$460+$H$460/$Z$453*$M$10,NA())</f>
        <v>#N/A</v>
      </c>
      <c r="BL460" s="144" t="e">
        <f>IF(AND($I$460=1,$C$460=0),$N$460+$H$460/$Z$453*$M$10,NA())</f>
        <v>#N/A</v>
      </c>
      <c r="BM460" s="144" t="e">
        <f>IF($I$461=1,$M$461+$H$461/$Z$453*$L$10,NA())</f>
        <v>#N/A</v>
      </c>
      <c r="BN460" s="144" t="e">
        <f>IF($S$461=1,$N$461+$H$461/$Z$453*$M$10,NA())</f>
        <v>#N/A</v>
      </c>
      <c r="BO460" s="144" t="e">
        <f>IF(AND($I$461=1,$C$461=1,$S$461=0),$N$461+$H$461/$Z$453*$M$10,NA())</f>
        <v>#N/A</v>
      </c>
      <c r="BP460" s="144" t="e">
        <f>IF(AND($I$461=1,$C$461=0),$N$461+$H$461/$Z$453*$M$10,NA())</f>
        <v>#N/A</v>
      </c>
    </row>
    <row r="461">
      <c r="A461" s="62" t="inlineStr">
        <is>
          <t xml:space="preserve">S₇</t>
        </is>
      </c>
      <c r="B461" s="68">
        <f>'ERDR Iterations'!H$137</f>
        <v>1</v>
      </c>
      <c r="C461" s="146">
        <f>'ERDR Iterations'!H$138</f>
        <v>0</v>
      </c>
      <c r="D461" s="146">
        <f>'ERDR Iterations'!H$144</f>
        <v>0</v>
      </c>
      <c r="E461" s="146">
        <f>IF($Q$453=7,1,0)</f>
        <v>0</v>
      </c>
      <c r="F461" s="146">
        <f>IF(OR($Q$453=0,E461=1),0,INDEX('Sorted Neighbors'!$B$5:$H$11,$Q$453,7))</f>
        <v>2</v>
      </c>
      <c r="G461" s="144">
        <f>IF($Q$453=0,0,INDEX('Zhuravlev Distances'!$B$5:$H$11,$Q$453,7))</f>
        <v>3.9109813746</v>
      </c>
      <c r="H461" s="144">
        <f>'ERDR Characteristics'!$D$11</f>
        <v>3.9109813746</v>
      </c>
      <c r="I461" s="146">
        <f>D461</f>
        <v>0</v>
      </c>
      <c r="J461" s="144">
        <f>IF(F461=0,0,PI()/2-(F461-1)*$B$6)</f>
        <v>0.523598775598299</v>
      </c>
      <c r="K461" s="144">
        <f>G461*COS(J461)</f>
        <v>3.38700922413138</v>
      </c>
      <c r="L461" s="144">
        <f>G461*SIN(J461)</f>
        <v>1.9554906873</v>
      </c>
      <c r="M461" s="144">
        <f>IF($Q$453=0,NA(),(K461-$T$453)/$Z$453)</f>
        <v>0.461894827623603</v>
      </c>
      <c r="N461" s="144">
        <f>IF($Q$453=0,NA(),(L461-$W$453)/$Z$453)</f>
        <v>0.234694996272407</v>
      </c>
      <c r="O461" s="144">
        <f>K461-I461*H461</f>
        <v>3.38700922413138</v>
      </c>
      <c r="P461" s="144">
        <f>K461+I461*H461</f>
        <v>3.38700922413138</v>
      </c>
      <c r="Q461" s="144">
        <f>L461-I461*H461</f>
        <v>1.9554906873</v>
      </c>
      <c r="R461" s="144">
        <f>L461+I461*H461</f>
        <v>1.9554906873</v>
      </c>
      <c r="S461" s="146">
        <f>'ERDR Iterations'!H$150</f>
        <v>0</v>
      </c>
      <c r="T461" s="146">
        <f>'ERDR Iterations'!H$140</f>
        <v>1</v>
      </c>
      <c r="U461" s="146">
        <f>'ERDR Iterations'!H$153</f>
        <v>1</v>
      </c>
      <c r="V461" s="146">
        <f>'ERDR Iterations'!H$152</f>
        <v>0</v>
      </c>
      <c r="W461" s="146">
        <f>'ERDR Iterations'!H$155</f>
        <v>0</v>
      </c>
      <c r="X461" s="144" t="e">
        <f>IF(AND($Q$453&gt;0,E461=0,B461=1,C461=1),M461,NA())</f>
        <v>#N/A</v>
      </c>
      <c r="Y461" s="144" t="e">
        <f>IF(AND($Q$453&gt;0,E461=0,B461=1,C461=1),N461,NA())</f>
        <v>#N/A</v>
      </c>
      <c r="Z461" s="144">
        <f>IF(AND($Q$453&gt;0,E461=0,B461=1,C461=0),M461,NA())</f>
        <v>0.461894827623603</v>
      </c>
      <c r="AA461" s="144">
        <f>IF(AND($Q$453&gt;0,E461=0,B461=1,C461=0),N461,NA())</f>
        <v>0.234694996272407</v>
      </c>
      <c r="AB461" s="144" t="e">
        <f>IF(AND($Q$453&gt;0,E461=0,B461=2,C461=1),M461,NA())</f>
        <v>#N/A</v>
      </c>
      <c r="AC461" s="144" t="e">
        <f>IF(AND($Q$453&gt;0,E461=0,B461=2,C461=1),N461,NA())</f>
        <v>#N/A</v>
      </c>
      <c r="AD461" s="144" t="e">
        <f>IF(AND($Q$453&gt;0,E461=0,B461=2,C461=0),M461,NA())</f>
        <v>#N/A</v>
      </c>
      <c r="AE461" s="144" t="e">
        <f>IF(AND($Q$453&gt;0,E461=0,B461=2,C461=0),N461,NA())</f>
        <v>#N/A</v>
      </c>
      <c r="AF461" s="144" t="e">
        <f>IF(AND(E461=1,B461=1),M461,NA())</f>
        <v>#N/A</v>
      </c>
      <c r="AG461" s="144" t="e">
        <f>IF(AND(E461=1,B461=1),N461,NA())</f>
        <v>#N/A</v>
      </c>
      <c r="AH461" s="144" t="e">
        <f>IF(AND(E461=1,B461=2),M461,NA())</f>
        <v>#N/A</v>
      </c>
      <c r="AI461" s="144" t="e">
        <f>IF(AND(E461=1,B461=2),N461,NA())</f>
        <v>#N/A</v>
      </c>
      <c r="AJ461" s="145" t="str">
        <f>A461&amp;IF(E461=1," = Sᵢ",IF(C461=0," (in D)",""))&amp;IF(V461=1,"  ·  g "&amp;T461&amp;"→"&amp;U461,"")&amp;IF(W461=1,"  → D","")</f>
        <v>S₇ (in D)</v>
      </c>
      <c r="AN461" s="146">
        <v>6</v>
      </c>
      <c r="AO461" s="144">
        <f>IF($I$455=1,$M$455+$H$455/$Z$453*$L$11,NA())</f>
        <v>-0.176161255025322</v>
      </c>
      <c r="AP461" s="144" t="e">
        <f>IF($S$455=1,$N$455+$H$455/$Z$453*$M$11,NA())</f>
        <v>#N/A</v>
      </c>
      <c r="AQ461" s="144" t="e">
        <f>IF(AND($I$455=1,$C$455=1,$S$455=0),$N$455+$H$455/$Z$453*$M$11,NA())</f>
        <v>#N/A</v>
      </c>
      <c r="AR461" s="144">
        <f>IF(AND($I$455=1,$C$455=0),$N$455+$H$455/$Z$453*$M$11,NA())</f>
        <v>0.258324700318947</v>
      </c>
      <c r="AS461" s="144">
        <f>IF($I$456=1,$M$456+$H$456/$Z$453*$L$11,NA())</f>
        <v>0.225096599541018</v>
      </c>
      <c r="AT461" s="144" t="e">
        <f>IF($S$456=1,$N$456+$H$456/$Z$453*$M$11,NA())</f>
        <v>#N/A</v>
      </c>
      <c r="AU461" s="144" t="e">
        <f>IF(AND($I$456=1,$C$456=1,$S$456=0),$N$456+$H$456/$Z$453*$M$11,NA())</f>
        <v>#N/A</v>
      </c>
      <c r="AV461" s="144">
        <f>IF(AND($I$456=1,$C$456=0),$N$456+$H$456/$Z$453*$M$11,NA())</f>
        <v>0.174940727044564</v>
      </c>
      <c r="AW461" s="144" t="e">
        <f>IF($I$457=1,$M$457+$H$457/$Z$453*$L$11,NA())</f>
        <v>#N/A</v>
      </c>
      <c r="AX461" s="144" t="e">
        <f>IF($S$457=1,$N$457+$H$457/$Z$453*$M$11,NA())</f>
        <v>#N/A</v>
      </c>
      <c r="AY461" s="144" t="e">
        <f>IF(AND($I$457=1,$C$457=1,$S$457=0),$N$457+$H$457/$Z$453*$M$11,NA())</f>
        <v>#N/A</v>
      </c>
      <c r="AZ461" s="144" t="e">
        <f>IF(AND($I$457=1,$C$457=0),$N$457+$H$457/$Z$453*$M$11,NA())</f>
        <v>#N/A</v>
      </c>
      <c r="BA461" s="144">
        <f>IF($I$458=1,$M$458+$H$458/$Z$453*$L$11,NA())</f>
        <v>0.225096599541018</v>
      </c>
      <c r="BB461" s="144" t="e">
        <f>IF($S$458=1,$N$458+$H$458/$Z$453*$M$11,NA())</f>
        <v>#N/A</v>
      </c>
      <c r="BC461" s="144">
        <f>IF(AND($I$458=1,$C$458=1,$S$458=0),$N$458+$H$458/$Z$453*$M$11,NA())</f>
        <v>0.357157733823085</v>
      </c>
      <c r="BD461" s="144" t="e">
        <f>IF(AND($I$458=1,$C$458=0),$N$458+$H$458/$Z$453*$M$11,NA())</f>
        <v>#N/A</v>
      </c>
      <c r="BE461" s="144">
        <f>IF($I$459=1,$M$459+$H$459/$Z$453*$L$11,NA())</f>
        <v>-0.250144279162119</v>
      </c>
      <c r="BF461" s="144" t="e">
        <f>IF($S$459=1,$N$459+$H$459/$Z$453*$M$11,NA())</f>
        <v>#N/A</v>
      </c>
      <c r="BG461" s="144" t="e">
        <f>IF(AND($I$459=1,$C$459=1,$S$459=0),$N$459+$H$459/$Z$453*$M$11,NA())</f>
        <v>#N/A</v>
      </c>
      <c r="BH461" s="144">
        <f>IF(AND($I$459=1,$C$459=0),$N$459+$H$459/$Z$453*$M$11,NA())</f>
        <v>0.869565217391304</v>
      </c>
      <c r="BI461" s="144" t="e">
        <f>IF($I$460=1,$M$460+$H$460/$Z$453*$L$11,NA())</f>
        <v>#N/A</v>
      </c>
      <c r="BJ461" s="144" t="e">
        <f>IF($S$460=1,$N$460+$H$460/$Z$453*$M$11,NA())</f>
        <v>#N/A</v>
      </c>
      <c r="BK461" s="144" t="e">
        <f>IF(AND($I$460=1,$C$460=1,$S$460=0),$N$460+$H$460/$Z$453*$M$11,NA())</f>
        <v>#N/A</v>
      </c>
      <c r="BL461" s="144" t="e">
        <f>IF(AND($I$460=1,$C$460=0),$N$460+$H$460/$Z$453*$M$11,NA())</f>
        <v>#N/A</v>
      </c>
      <c r="BM461" s="144" t="e">
        <f>IF($I$461=1,$M$461+$H$461/$Z$453*$L$11,NA())</f>
        <v>#N/A</v>
      </c>
      <c r="BN461" s="144" t="e">
        <f>IF($S$461=1,$N$461+$H$461/$Z$453*$M$11,NA())</f>
        <v>#N/A</v>
      </c>
      <c r="BO461" s="144" t="e">
        <f>IF(AND($I$461=1,$C$461=1,$S$461=0),$N$461+$H$461/$Z$453*$M$11,NA())</f>
        <v>#N/A</v>
      </c>
      <c r="BP461" s="144" t="e">
        <f>IF(AND($I$461=1,$C$461=0),$N$461+$H$461/$Z$453*$M$11,NA())</f>
        <v>#N/A</v>
      </c>
    </row>
    <row r="462">
      <c r="A462" s="63" t="inlineStr">
        <is>
          <t xml:space="preserve">Message</t>
        </is>
      </c>
      <c r="D462" s="145" t="str">
        <f>"Queue empty → Step 6:   D = "&amp;'Training &amp; Validation'!$B$19&amp;"   ·   F = "&amp;'Training &amp; Validation'!$B$20</f>
        <v>Queue empty → Step 6:   D = {S₁, S₂, S₅, S₆, S₇}   ·   F = {S₃, S₄}</v>
      </c>
      <c r="E462" s="144" t="e">
        <f>IF($Q$453=0,0,NA())</f>
        <v>#N/A</v>
      </c>
      <c r="F462" s="144" t="e">
        <f>IF($Q$453=0,0,NA())</f>
        <v>#N/A</v>
      </c>
      <c r="AN462" s="146">
        <v>7</v>
      </c>
      <c r="AO462" s="144">
        <f>IF($I$455=1,$M$455+$H$455/$Z$453*$L$12,NA())</f>
        <v>-0.277621311391146</v>
      </c>
      <c r="AP462" s="144" t="e">
        <f>IF($S$455=1,$N$455+$H$455/$Z$453*$M$12,NA())</f>
        <v>#N/A</v>
      </c>
      <c r="AQ462" s="144" t="e">
        <f>IF(AND($I$455=1,$C$455=1,$S$455=0),$N$455+$H$455/$Z$453*$M$12,NA())</f>
        <v>#N/A</v>
      </c>
      <c r="AR462" s="144">
        <f>IF(AND($I$455=1,$C$455=0),$N$455+$H$455/$Z$453*$M$12,NA())</f>
        <v>0.244967230493028</v>
      </c>
      <c r="AS462" s="144">
        <f>IF($I$456=1,$M$456+$H$456/$Z$453*$L$12,NA())</f>
        <v>0.0899275839696193</v>
      </c>
      <c r="AT462" s="144" t="e">
        <f>IF($S$456=1,$N$456+$H$456/$Z$453*$M$12,NA())</f>
        <v>#N/A</v>
      </c>
      <c r="AU462" s="144" t="e">
        <f>IF(AND($I$456=1,$C$456=1,$S$456=0),$N$456+$H$456/$Z$453*$M$12,NA())</f>
        <v>#N/A</v>
      </c>
      <c r="AV462" s="144">
        <f>IF(AND($I$456=1,$C$456=0),$N$456+$H$456/$Z$453*$M$12,NA())</f>
        <v>0.15714538854816</v>
      </c>
      <c r="AW462" s="144" t="e">
        <f>IF($I$457=1,$M$457+$H$457/$Z$453*$L$12,NA())</f>
        <v>#N/A</v>
      </c>
      <c r="AX462" s="144" t="e">
        <f>IF($S$457=1,$N$457+$H$457/$Z$453*$M$12,NA())</f>
        <v>#N/A</v>
      </c>
      <c r="AY462" s="144" t="e">
        <f>IF(AND($I$457=1,$C$457=1,$S$457=0),$N$457+$H$457/$Z$453*$M$12,NA())</f>
        <v>#N/A</v>
      </c>
      <c r="AZ462" s="144" t="e">
        <f>IF(AND($I$457=1,$C$457=0),$N$457+$H$457/$Z$453*$M$12,NA())</f>
        <v>#N/A</v>
      </c>
      <c r="BA462" s="144">
        <f>IF($I$458=1,$M$458+$H$458/$Z$453*$L$12,NA())</f>
        <v>0.158016330222227</v>
      </c>
      <c r="BB462" s="144" t="e">
        <f>IF($S$458=1,$N$458+$H$458/$Z$453*$M$12,NA())</f>
        <v>#N/A</v>
      </c>
      <c r="BC462" s="144">
        <f>IF(AND($I$458=1,$C$458=1,$S$458=0),$N$458+$H$458/$Z$453*$M$12,NA())</f>
        <v>0.348326448828432</v>
      </c>
      <c r="BD462" s="144" t="e">
        <f>IF(AND($I$458=1,$C$458=0),$N$458+$H$458/$Z$453*$M$12,NA())</f>
        <v>#N/A</v>
      </c>
      <c r="BE462" s="144">
        <f>IF($I$459=1,$M$459+$H$459/$Z$453*$L$12,NA())</f>
        <v>-0.378830478211951</v>
      </c>
      <c r="BF462" s="144" t="e">
        <f>IF($S$459=1,$N$459+$H$459/$Z$453*$M$12,NA())</f>
        <v>#N/A</v>
      </c>
      <c r="BG462" s="144" t="e">
        <f>IF(AND($I$459=1,$C$459=1,$S$459=0),$N$459+$H$459/$Z$453*$M$12,NA())</f>
        <v>#N/A</v>
      </c>
      <c r="BH462" s="144">
        <f>IF(AND($I$459=1,$C$459=0),$N$459+$H$459/$Z$453*$M$12,NA())</f>
        <v>0.852623357881365</v>
      </c>
      <c r="BI462" s="144" t="e">
        <f>IF($I$460=1,$M$460+$H$460/$Z$453*$L$12,NA())</f>
        <v>#N/A</v>
      </c>
      <c r="BJ462" s="144" t="e">
        <f>IF($S$460=1,$N$460+$H$460/$Z$453*$M$12,NA())</f>
        <v>#N/A</v>
      </c>
      <c r="BK462" s="144" t="e">
        <f>IF(AND($I$460=1,$C$460=1,$S$460=0),$N$460+$H$460/$Z$453*$M$12,NA())</f>
        <v>#N/A</v>
      </c>
      <c r="BL462" s="144" t="e">
        <f>IF(AND($I$460=1,$C$460=0),$N$460+$H$460/$Z$453*$M$12,NA())</f>
        <v>#N/A</v>
      </c>
      <c r="BM462" s="144" t="e">
        <f>IF($I$461=1,$M$461+$H$461/$Z$453*$L$12,NA())</f>
        <v>#N/A</v>
      </c>
      <c r="BN462" s="144" t="e">
        <f>IF($S$461=1,$N$461+$H$461/$Z$453*$M$12,NA())</f>
        <v>#N/A</v>
      </c>
      <c r="BO462" s="144" t="e">
        <f>IF(AND($I$461=1,$C$461=1,$S$461=0),$N$461+$H$461/$Z$453*$M$12,NA())</f>
        <v>#N/A</v>
      </c>
      <c r="BP462" s="144" t="e">
        <f>IF(AND($I$461=1,$C$461=0),$N$461+$H$461/$Z$453*$M$12,NA())</f>
        <v>#N/A</v>
      </c>
    </row>
    <row r="463">
      <c r="A463" s="147" t="inlineStr">
        <is>
          <t xml:space="preserve">Label slot</t>
        </is>
      </c>
      <c r="B463" s="147" t="inlineStr">
        <is>
          <t xml:space="preserve">Rank t</t>
        </is>
      </c>
      <c r="C463" s="147" t="inlineStr">
        <is>
          <t xml:space="preserve">Object</t>
        </is>
      </c>
      <c r="D463" s="147" t="inlineStr">
        <is>
          <t xml:space="preserve">Label</t>
        </is>
      </c>
      <c r="E463" s="147" t="inlineStr">
        <is>
          <t xml:space="preserve">x</t>
        </is>
      </c>
      <c r="F463" s="147" t="inlineStr">
        <is>
          <t xml:space="preserve">y</t>
        </is>
      </c>
      <c r="AN463" s="146">
        <v>8</v>
      </c>
      <c r="AO463" s="144">
        <f>IF($I$455=1,$M$455+$H$455/$Z$453*$L$13,NA())</f>
        <v>-0.372167032586309</v>
      </c>
      <c r="AP463" s="144" t="e">
        <f>IF($S$455=1,$N$455+$H$455/$Z$453*$M$13,NA())</f>
        <v>#N/A</v>
      </c>
      <c r="AQ463" s="144" t="e">
        <f>IF(AND($I$455=1,$C$455=1,$S$455=0),$N$455+$H$455/$Z$453*$M$13,NA())</f>
        <v>#N/A</v>
      </c>
      <c r="AR463" s="144">
        <f>IF(AND($I$455=1,$C$455=0),$N$455+$H$455/$Z$453*$M$13,NA())</f>
        <v>0.205805110509646</v>
      </c>
      <c r="AS463" s="144">
        <f>IF($I$456=1,$M$456+$H$456/$Z$453*$L$13,NA())</f>
        <v>-0.0360298865679488</v>
      </c>
      <c r="AT463" s="144" t="e">
        <f>IF($S$456=1,$N$456+$H$456/$Z$453*$M$13,NA())</f>
        <v>#N/A</v>
      </c>
      <c r="AU463" s="144" t="e">
        <f>IF(AND($I$456=1,$C$456=1,$S$456=0),$N$456+$H$456/$Z$453*$M$13,NA())</f>
        <v>#N/A</v>
      </c>
      <c r="AV463" s="144">
        <f>IF(AND($I$456=1,$C$456=0),$N$456+$H$456/$Z$453*$M$13,NA())</f>
        <v>0.10497209596929</v>
      </c>
      <c r="AW463" s="144" t="e">
        <f>IF($I$457=1,$M$457+$H$457/$Z$453*$L$13,NA())</f>
        <v>#N/A</v>
      </c>
      <c r="AX463" s="144" t="e">
        <f>IF($S$457=1,$N$457+$H$457/$Z$453*$M$13,NA())</f>
        <v>#N/A</v>
      </c>
      <c r="AY463" s="144" t="e">
        <f>IF(AND($I$457=1,$C$457=1,$S$457=0),$N$457+$H$457/$Z$453*$M$13,NA())</f>
        <v>#N/A</v>
      </c>
      <c r="AZ463" s="144" t="e">
        <f>IF(AND($I$457=1,$C$457=0),$N$457+$H$457/$Z$453*$M$13,NA())</f>
        <v>#N/A</v>
      </c>
      <c r="BA463" s="144">
        <f>IF($I$458=1,$M$458+$H$458/$Z$453*$L$13,NA())</f>
        <v>0.0955074704021258</v>
      </c>
      <c r="BB463" s="144" t="e">
        <f>IF($S$458=1,$N$458+$H$458/$Z$453*$M$13,NA())</f>
        <v>#N/A</v>
      </c>
      <c r="BC463" s="144">
        <f>IF(AND($I$458=1,$C$458=1,$S$458=0),$N$458+$H$458/$Z$453*$M$13,NA())</f>
        <v>0.322434431322467</v>
      </c>
      <c r="BD463" s="144" t="e">
        <f>IF(AND($I$458=1,$C$458=0),$N$458+$H$458/$Z$453*$M$13,NA())</f>
        <v>#N/A</v>
      </c>
      <c r="BE463" s="144">
        <f>IF($I$459=1,$M$459+$H$459/$Z$453*$L$13,NA())</f>
        <v>-0.498746925460536</v>
      </c>
      <c r="BF463" s="144" t="e">
        <f>IF($S$459=1,$N$459+$H$459/$Z$453*$M$13,NA())</f>
        <v>#N/A</v>
      </c>
      <c r="BG463" s="144" t="e">
        <f>IF(AND($I$459=1,$C$459=1,$S$459=0),$N$459+$H$459/$Z$453*$M$13,NA())</f>
        <v>#N/A</v>
      </c>
      <c r="BH463" s="144">
        <f>IF(AND($I$459=1,$C$459=0),$N$459+$H$459/$Z$453*$M$13,NA())</f>
        <v>0.802952339079404</v>
      </c>
      <c r="BI463" s="144" t="e">
        <f>IF($I$460=1,$M$460+$H$460/$Z$453*$L$13,NA())</f>
        <v>#N/A</v>
      </c>
      <c r="BJ463" s="144" t="e">
        <f>IF($S$460=1,$N$460+$H$460/$Z$453*$M$13,NA())</f>
        <v>#N/A</v>
      </c>
      <c r="BK463" s="144" t="e">
        <f>IF(AND($I$460=1,$C$460=1,$S$460=0),$N$460+$H$460/$Z$453*$M$13,NA())</f>
        <v>#N/A</v>
      </c>
      <c r="BL463" s="144" t="e">
        <f>IF(AND($I$460=1,$C$460=0),$N$460+$H$460/$Z$453*$M$13,NA())</f>
        <v>#N/A</v>
      </c>
      <c r="BM463" s="144" t="e">
        <f>IF($I$461=1,$M$461+$H$461/$Z$453*$L$13,NA())</f>
        <v>#N/A</v>
      </c>
      <c r="BN463" s="144" t="e">
        <f>IF($S$461=1,$N$461+$H$461/$Z$453*$M$13,NA())</f>
        <v>#N/A</v>
      </c>
      <c r="BO463" s="144" t="e">
        <f>IF(AND($I$461=1,$C$461=1,$S$461=0),$N$461+$H$461/$Z$453*$M$13,NA())</f>
        <v>#N/A</v>
      </c>
      <c r="BP463" s="144" t="e">
        <f>IF(AND($I$461=1,$C$461=0),$N$461+$H$461/$Z$453*$M$13,NA())</f>
        <v>#N/A</v>
      </c>
    </row>
    <row r="464">
      <c r="A464" s="63" t="inlineStr">
        <is>
          <t xml:space="preserve">slot 1 (t)</t>
        </is>
      </c>
      <c r="B464" s="146">
        <v>1</v>
      </c>
      <c r="C464" s="146">
        <f>IFERROR(MATCH(B464,$F$455:$F$461,0),NA())</f>
        <v>6</v>
      </c>
      <c r="D464" s="145" t="str">
        <f>IFERROR(INDEX($AJ$455:$AJ$461,C464),"")</f>
        <v>S₆ (in D)</v>
      </c>
      <c r="E464" s="144">
        <f>IFERROR(INDEX($M$455:$M$461,C464),NA())</f>
        <v>0.225096599541018</v>
      </c>
      <c r="F464" s="144">
        <f>IFERROR(INDEX($N$455:$N$461,C464),NA())</f>
        <v>0.357157733823086</v>
      </c>
      <c r="AN464" s="146">
        <v>9</v>
      </c>
      <c r="AO464" s="144">
        <f>IF($I$455=1,$M$455+$H$455/$Z$453*$L$14,NA())</f>
        <v>-0.453355283955554</v>
      </c>
      <c r="AP464" s="144" t="e">
        <f>IF($S$455=1,$N$455+$H$455/$Z$453*$M$14,NA())</f>
        <v>#N/A</v>
      </c>
      <c r="AQ464" s="144" t="e">
        <f>IF(AND($I$455=1,$C$455=1,$S$455=0),$N$455+$H$455/$Z$453*$M$14,NA())</f>
        <v>#N/A</v>
      </c>
      <c r="AR464" s="144">
        <f>IF(AND($I$455=1,$C$455=0),$N$455+$H$455/$Z$453*$M$14,NA())</f>
        <v>0.143507174127204</v>
      </c>
      <c r="AS464" s="144">
        <f>IF($I$456=1,$M$456+$H$456/$Z$453*$L$14,NA())</f>
        <v>-0.144192018609113</v>
      </c>
      <c r="AT464" s="144" t="e">
        <f>IF($S$456=1,$N$456+$H$456/$Z$453*$M$14,NA())</f>
        <v>#N/A</v>
      </c>
      <c r="AU464" s="144" t="e">
        <f>IF(AND($I$456=1,$C$456=1,$S$456=0),$N$456+$H$456/$Z$453*$M$14,NA())</f>
        <v>#N/A</v>
      </c>
      <c r="AV464" s="144">
        <f>IF(AND($I$456=1,$C$456=0),$N$456+$H$456/$Z$453*$M$14,NA())</f>
        <v>0.0219763729767609</v>
      </c>
      <c r="AW464" s="144" t="e">
        <f>IF($I$457=1,$M$457+$H$457/$Z$453*$L$14,NA())</f>
        <v>#N/A</v>
      </c>
      <c r="AX464" s="144" t="e">
        <f>IF($S$457=1,$N$457+$H$457/$Z$453*$M$14,NA())</f>
        <v>#N/A</v>
      </c>
      <c r="AY464" s="144" t="e">
        <f>IF(AND($I$457=1,$C$457=1,$S$457=0),$N$457+$H$457/$Z$453*$M$14,NA())</f>
        <v>#N/A</v>
      </c>
      <c r="AZ464" s="144" t="e">
        <f>IF(AND($I$457=1,$C$457=0),$N$457+$H$457/$Z$453*$M$14,NA())</f>
        <v>#N/A</v>
      </c>
      <c r="BA464" s="144">
        <f>IF($I$458=1,$M$458+$H$458/$Z$453*$L$14,NA())</f>
        <v>0.0418298955766781</v>
      </c>
      <c r="BB464" s="144" t="e">
        <f>IF($S$458=1,$N$458+$H$458/$Z$453*$M$14,NA())</f>
        <v>#N/A</v>
      </c>
      <c r="BC464" s="144">
        <f>IF(AND($I$458=1,$C$458=1,$S$458=0),$N$458+$H$458/$Z$453*$M$14,NA())</f>
        <v>0.281246179509641</v>
      </c>
      <c r="BD464" s="144" t="e">
        <f>IF(AND($I$458=1,$C$458=0),$N$458+$H$458/$Z$453*$M$14,NA())</f>
        <v>#N/A</v>
      </c>
      <c r="BE464" s="144">
        <f>IF($I$459=1,$M$459+$H$459/$Z$453*$L$14,NA())</f>
        <v>-0.601721513199181</v>
      </c>
      <c r="BF464" s="144" t="e">
        <f>IF($S$459=1,$N$459+$H$459/$Z$453*$M$14,NA())</f>
        <v>#N/A</v>
      </c>
      <c r="BG464" s="144" t="e">
        <f>IF(AND($I$459=1,$C$459=1,$S$459=0),$N$459+$H$459/$Z$453*$M$14,NA())</f>
        <v>#N/A</v>
      </c>
      <c r="BH464" s="144">
        <f>IF(AND($I$459=1,$C$459=0),$N$459+$H$459/$Z$453*$M$14,NA())</f>
        <v>0.723937158831533</v>
      </c>
      <c r="BI464" s="144" t="e">
        <f>IF($I$460=1,$M$460+$H$460/$Z$453*$L$14,NA())</f>
        <v>#N/A</v>
      </c>
      <c r="BJ464" s="144" t="e">
        <f>IF($S$460=1,$N$460+$H$460/$Z$453*$M$14,NA())</f>
        <v>#N/A</v>
      </c>
      <c r="BK464" s="144" t="e">
        <f>IF(AND($I$460=1,$C$460=1,$S$460=0),$N$460+$H$460/$Z$453*$M$14,NA())</f>
        <v>#N/A</v>
      </c>
      <c r="BL464" s="144" t="e">
        <f>IF(AND($I$460=1,$C$460=0),$N$460+$H$460/$Z$453*$M$14,NA())</f>
        <v>#N/A</v>
      </c>
      <c r="BM464" s="144" t="e">
        <f>IF($I$461=1,$M$461+$H$461/$Z$453*$L$14,NA())</f>
        <v>#N/A</v>
      </c>
      <c r="BN464" s="144" t="e">
        <f>IF($S$461=1,$N$461+$H$461/$Z$453*$M$14,NA())</f>
        <v>#N/A</v>
      </c>
      <c r="BO464" s="144" t="e">
        <f>IF(AND($I$461=1,$C$461=1,$S$461=0),$N$461+$H$461/$Z$453*$M$14,NA())</f>
        <v>#N/A</v>
      </c>
      <c r="BP464" s="144" t="e">
        <f>IF(AND($I$461=1,$C$461=0),$N$461+$H$461/$Z$453*$M$14,NA())</f>
        <v>#N/A</v>
      </c>
    </row>
    <row r="465">
      <c r="A465" s="63" t="inlineStr">
        <is>
          <t xml:space="preserve">slot 2 (r)</t>
        </is>
      </c>
      <c r="B465" s="146">
        <v>2</v>
      </c>
      <c r="C465" s="146">
        <f>IFERROR(MATCH(B465,$F$455:$F$461,0),NA())</f>
        <v>7</v>
      </c>
      <c r="D465" s="145" t="str">
        <f>IFERROR(INDEX($AJ$455:$AJ$461,C465),"")</f>
        <v>S₇ (in D)</v>
      </c>
      <c r="E465" s="144">
        <f>IFERROR(INDEX($M$455:$M$461,C465),NA())</f>
        <v>0.461894827623603</v>
      </c>
      <c r="F465" s="144">
        <f>IFERROR(INDEX($N$455:$N$461,C465),NA())</f>
        <v>0.234694996272407</v>
      </c>
      <c r="AN465" s="146">
        <v>10</v>
      </c>
      <c r="AO465" s="144">
        <f>IF($I$455=1,$M$455+$H$455/$Z$453*$L$15,NA())</f>
        <v>-0.515653220337996</v>
      </c>
      <c r="AP465" s="144" t="e">
        <f>IF($S$455=1,$N$455+$H$455/$Z$453*$M$15,NA())</f>
        <v>#N/A</v>
      </c>
      <c r="AQ465" s="144" t="e">
        <f>IF(AND($I$455=1,$C$455=1,$S$455=0),$N$455+$H$455/$Z$453*$M$15,NA())</f>
        <v>#N/A</v>
      </c>
      <c r="AR465" s="144">
        <f>IF(AND($I$455=1,$C$455=0),$N$455+$H$455/$Z$453*$M$15,NA())</f>
        <v>0.0623189227579593</v>
      </c>
      <c r="AS465" s="144">
        <f>IF($I$456=1,$M$456+$H$456/$Z$453*$L$15,NA())</f>
        <v>-0.227187741601642</v>
      </c>
      <c r="AT465" s="144" t="e">
        <f>IF($S$456=1,$N$456+$H$456/$Z$453*$M$15,NA())</f>
        <v>#N/A</v>
      </c>
      <c r="AU465" s="144" t="e">
        <f>IF(AND($I$456=1,$C$456=1,$S$456=0),$N$456+$H$456/$Z$453*$M$15,NA())</f>
        <v>#N/A</v>
      </c>
      <c r="AV465" s="144">
        <f>IF(AND($I$456=1,$C$456=0),$N$456+$H$456/$Z$453*$M$15,NA())</f>
        <v>-0.086185759064403</v>
      </c>
      <c r="AW465" s="144" t="e">
        <f>IF($I$457=1,$M$457+$H$457/$Z$453*$L$15,NA())</f>
        <v>#N/A</v>
      </c>
      <c r="AX465" s="144" t="e">
        <f>IF($S$457=1,$N$457+$H$457/$Z$453*$M$15,NA())</f>
        <v>#N/A</v>
      </c>
      <c r="AY465" s="144" t="e">
        <f>IF(AND($I$457=1,$C$457=1,$S$457=0),$N$457+$H$457/$Z$453*$M$15,NA())</f>
        <v>#N/A</v>
      </c>
      <c r="AZ465" s="144" t="e">
        <f>IF(AND($I$457=1,$C$457=0),$N$457+$H$457/$Z$453*$M$15,NA())</f>
        <v>#N/A</v>
      </c>
      <c r="BA465" s="144">
        <f>IF($I$458=1,$M$458+$H$458/$Z$453*$L$15,NA())</f>
        <v>0.000641643763851979</v>
      </c>
      <c r="BB465" s="144" t="e">
        <f>IF($S$458=1,$N$458+$H$458/$Z$453*$M$15,NA())</f>
        <v>#N/A</v>
      </c>
      <c r="BC465" s="144">
        <f>IF(AND($I$458=1,$C$458=1,$S$458=0),$N$458+$H$458/$Z$453*$M$15,NA())</f>
        <v>0.227568604684193</v>
      </c>
      <c r="BD465" s="144" t="e">
        <f>IF(AND($I$458=1,$C$458=0),$N$458+$H$458/$Z$453*$M$15,NA())</f>
        <v>#N/A</v>
      </c>
      <c r="BE465" s="144">
        <f>IF($I$459=1,$M$459+$H$459/$Z$453*$L$15,NA())</f>
        <v>-0.680736693447052</v>
      </c>
      <c r="BF465" s="144" t="e">
        <f>IF($S$459=1,$N$459+$H$459/$Z$453*$M$15,NA())</f>
        <v>#N/A</v>
      </c>
      <c r="BG465" s="144" t="e">
        <f>IF(AND($I$459=1,$C$459=1,$S$459=0),$N$459+$H$459/$Z$453*$M$15,NA())</f>
        <v>#N/A</v>
      </c>
      <c r="BH465" s="144">
        <f>IF(AND($I$459=1,$C$459=0),$N$459+$H$459/$Z$453*$M$15,NA())</f>
        <v>0.620962571092887</v>
      </c>
      <c r="BI465" s="144" t="e">
        <f>IF($I$460=1,$M$460+$H$460/$Z$453*$L$15,NA())</f>
        <v>#N/A</v>
      </c>
      <c r="BJ465" s="144" t="e">
        <f>IF($S$460=1,$N$460+$H$460/$Z$453*$M$15,NA())</f>
        <v>#N/A</v>
      </c>
      <c r="BK465" s="144" t="e">
        <f>IF(AND($I$460=1,$C$460=1,$S$460=0),$N$460+$H$460/$Z$453*$M$15,NA())</f>
        <v>#N/A</v>
      </c>
      <c r="BL465" s="144" t="e">
        <f>IF(AND($I$460=1,$C$460=0),$N$460+$H$460/$Z$453*$M$15,NA())</f>
        <v>#N/A</v>
      </c>
      <c r="BM465" s="144" t="e">
        <f>IF($I$461=1,$M$461+$H$461/$Z$453*$L$15,NA())</f>
        <v>#N/A</v>
      </c>
      <c r="BN465" s="144" t="e">
        <f>IF($S$461=1,$N$461+$H$461/$Z$453*$M$15,NA())</f>
        <v>#N/A</v>
      </c>
      <c r="BO465" s="144" t="e">
        <f>IF(AND($I$461=1,$C$461=1,$S$461=0),$N$461+$H$461/$Z$453*$M$15,NA())</f>
        <v>#N/A</v>
      </c>
      <c r="BP465" s="144" t="e">
        <f>IF(AND($I$461=1,$C$461=0),$N$461+$H$461/$Z$453*$M$15,NA())</f>
        <v>#N/A</v>
      </c>
    </row>
    <row r="466">
      <c r="A466" s="63" t="inlineStr">
        <is>
          <t xml:space="preserve">slot 3 (r)</t>
        </is>
      </c>
      <c r="B466" s="146">
        <v>3</v>
      </c>
      <c r="C466" s="146">
        <f>IFERROR(MATCH(B466,$F$455:$F$461,0),NA())</f>
        <v>3</v>
      </c>
      <c r="D466" s="145" t="str">
        <f>IFERROR(INDEX($AJ$455:$AJ$461,C466),"")</f>
        <v>S₃</v>
      </c>
      <c r="E466" s="144">
        <f>IFERROR(INDEX($M$455:$M$461,C466),NA())</f>
        <v>0.601551691630127</v>
      </c>
      <c r="F466" s="144">
        <f>IFERROR(INDEX($N$455:$N$461,C466),NA())</f>
        <v>-0.119366973210152</v>
      </c>
      <c r="AN466" s="146">
        <v>11</v>
      </c>
      <c r="AO466" s="144">
        <f>IF($I$455=1,$M$455+$H$455/$Z$453*$L$16,NA())</f>
        <v>-0.554815340321378</v>
      </c>
      <c r="AP466" s="144" t="e">
        <f>IF($S$455=1,$N$455+$H$455/$Z$453*$M$16,NA())</f>
        <v>#N/A</v>
      </c>
      <c r="AQ466" s="144" t="e">
        <f>IF(AND($I$455=1,$C$455=1,$S$455=0),$N$455+$H$455/$Z$453*$M$16,NA())</f>
        <v>#N/A</v>
      </c>
      <c r="AR466" s="144">
        <f>IF(AND($I$455=1,$C$455=0),$N$455+$H$455/$Z$453*$M$16,NA())</f>
        <v>-0.0322267984372042</v>
      </c>
      <c r="AS466" s="144">
        <f>IF($I$456=1,$M$456+$H$456/$Z$453*$L$16,NA())</f>
        <v>-0.279361034180512</v>
      </c>
      <c r="AT466" s="144" t="e">
        <f>IF($S$456=1,$N$456+$H$456/$Z$453*$M$16,NA())</f>
        <v>#N/A</v>
      </c>
      <c r="AU466" s="144" t="e">
        <f>IF(AND($I$456=1,$C$456=1,$S$456=0),$N$456+$H$456/$Z$453*$M$16,NA())</f>
        <v>#N/A</v>
      </c>
      <c r="AV466" s="144">
        <f>IF(AND($I$456=1,$C$456=0),$N$456+$H$456/$Z$453*$M$16,NA())</f>
        <v>-0.212143229601971</v>
      </c>
      <c r="AW466" s="144" t="e">
        <f>IF($I$457=1,$M$457+$H$457/$Z$453*$L$16,NA())</f>
        <v>#N/A</v>
      </c>
      <c r="AX466" s="144" t="e">
        <f>IF($S$457=1,$N$457+$H$457/$Z$453*$M$16,NA())</f>
        <v>#N/A</v>
      </c>
      <c r="AY466" s="144" t="e">
        <f>IF(AND($I$457=1,$C$457=1,$S$457=0),$N$457+$H$457/$Z$453*$M$16,NA())</f>
        <v>#N/A</v>
      </c>
      <c r="AZ466" s="144" t="e">
        <f>IF(AND($I$457=1,$C$457=0),$N$457+$H$457/$Z$453*$M$16,NA())</f>
        <v>#N/A</v>
      </c>
      <c r="BA466" s="144">
        <f>IF($I$458=1,$M$458+$H$458/$Z$453*$L$16,NA())</f>
        <v>-0.0252503737421128</v>
      </c>
      <c r="BB466" s="144" t="e">
        <f>IF($S$458=1,$N$458+$H$458/$Z$453*$M$16,NA())</f>
        <v>#N/A</v>
      </c>
      <c r="BC466" s="144">
        <f>IF(AND($I$458=1,$C$458=1,$S$458=0),$N$458+$H$458/$Z$453*$M$16,NA())</f>
        <v>0.165059744864091</v>
      </c>
      <c r="BD466" s="144" t="e">
        <f>IF(AND($I$458=1,$C$458=0),$N$458+$H$458/$Z$453*$M$16,NA())</f>
        <v>#N/A</v>
      </c>
      <c r="BE466" s="144">
        <f>IF($I$459=1,$M$459+$H$459/$Z$453*$L$16,NA())</f>
        <v>-0.730407712249013</v>
      </c>
      <c r="BF466" s="144" t="e">
        <f>IF($S$459=1,$N$459+$H$459/$Z$453*$M$16,NA())</f>
        <v>#N/A</v>
      </c>
      <c r="BG466" s="144" t="e">
        <f>IF(AND($I$459=1,$C$459=1,$S$459=0),$N$459+$H$459/$Z$453*$M$16,NA())</f>
        <v>#N/A</v>
      </c>
      <c r="BH466" s="144">
        <f>IF(AND($I$459=1,$C$459=0),$N$459+$H$459/$Z$453*$M$16,NA())</f>
        <v>0.501046123844303</v>
      </c>
      <c r="BI466" s="144" t="e">
        <f>IF($I$460=1,$M$460+$H$460/$Z$453*$L$16,NA())</f>
        <v>#N/A</v>
      </c>
      <c r="BJ466" s="144" t="e">
        <f>IF($S$460=1,$N$460+$H$460/$Z$453*$M$16,NA())</f>
        <v>#N/A</v>
      </c>
      <c r="BK466" s="144" t="e">
        <f>IF(AND($I$460=1,$C$460=1,$S$460=0),$N$460+$H$460/$Z$453*$M$16,NA())</f>
        <v>#N/A</v>
      </c>
      <c r="BL466" s="144" t="e">
        <f>IF(AND($I$460=1,$C$460=0),$N$460+$H$460/$Z$453*$M$16,NA())</f>
        <v>#N/A</v>
      </c>
      <c r="BM466" s="144" t="e">
        <f>IF($I$461=1,$M$461+$H$461/$Z$453*$L$16,NA())</f>
        <v>#N/A</v>
      </c>
      <c r="BN466" s="144" t="e">
        <f>IF($S$461=1,$N$461+$H$461/$Z$453*$M$16,NA())</f>
        <v>#N/A</v>
      </c>
      <c r="BO466" s="144" t="e">
        <f>IF(AND($I$461=1,$C$461=1,$S$461=0),$N$461+$H$461/$Z$453*$M$16,NA())</f>
        <v>#N/A</v>
      </c>
      <c r="BP466" s="144" t="e">
        <f>IF(AND($I$461=1,$C$461=0),$N$461+$H$461/$Z$453*$M$16,NA())</f>
        <v>#N/A</v>
      </c>
    </row>
    <row r="467">
      <c r="A467" s="63" t="inlineStr">
        <is>
          <t xml:space="preserve">slot 4 (b)</t>
        </is>
      </c>
      <c r="B467" s="146">
        <v>4</v>
      </c>
      <c r="C467" s="146">
        <f>IFERROR(MATCH(B467,$F$455:$F$461,0),NA())</f>
        <v>2</v>
      </c>
      <c r="D467" s="145" t="str">
        <f>IFERROR(INDEX($AJ$455:$AJ$461,C467),"")</f>
        <v>S₂ (in D)</v>
      </c>
      <c r="E467" s="144">
        <f>IFERROR(INDEX($M$455:$M$461,C467),NA())</f>
        <v>0.225096599541018</v>
      </c>
      <c r="F467" s="144">
        <f>IFERROR(INDEX($N$455:$N$461,C467),NA())</f>
        <v>-0.34731224517337</v>
      </c>
      <c r="AN467" s="146">
        <v>12</v>
      </c>
      <c r="AO467" s="144">
        <f>IF($I$455=1,$M$455+$H$455/$Z$453*$L$17,NA())</f>
        <v>-0.568172810147297</v>
      </c>
      <c r="AP467" s="144" t="e">
        <f>IF($S$455=1,$N$455+$H$455/$Z$453*$M$17,NA())</f>
        <v>#N/A</v>
      </c>
      <c r="AQ467" s="144" t="e">
        <f>IF(AND($I$455=1,$C$455=1,$S$455=0),$N$455+$H$455/$Z$453*$M$17,NA())</f>
        <v>#N/A</v>
      </c>
      <c r="AR467" s="144">
        <f>IF(AND($I$455=1,$C$455=0),$N$455+$H$455/$Z$453*$M$17,NA())</f>
        <v>-0.133686854803028</v>
      </c>
      <c r="AS467" s="144">
        <f>IF($I$456=1,$M$456+$H$456/$Z$453*$L$17,NA())</f>
        <v>-0.297156372676916</v>
      </c>
      <c r="AT467" s="144" t="e">
        <f>IF($S$456=1,$N$456+$H$456/$Z$453*$M$17,NA())</f>
        <v>#N/A</v>
      </c>
      <c r="AU467" s="144" t="e">
        <f>IF(AND($I$456=1,$C$456=1,$S$456=0),$N$456+$H$456/$Z$453*$M$17,NA())</f>
        <v>#N/A</v>
      </c>
      <c r="AV467" s="144">
        <f>IF(AND($I$456=1,$C$456=0),$N$456+$H$456/$Z$453*$M$17,NA())</f>
        <v>-0.34731224517337</v>
      </c>
      <c r="AW467" s="144" t="e">
        <f>IF($I$457=1,$M$457+$H$457/$Z$453*$L$17,NA())</f>
        <v>#N/A</v>
      </c>
      <c r="AX467" s="144" t="e">
        <f>IF($S$457=1,$N$457+$H$457/$Z$453*$M$17,NA())</f>
        <v>#N/A</v>
      </c>
      <c r="AY467" s="144" t="e">
        <f>IF(AND($I$457=1,$C$457=1,$S$457=0),$N$457+$H$457/$Z$453*$M$17,NA())</f>
        <v>#N/A</v>
      </c>
      <c r="AZ467" s="144" t="e">
        <f>IF(AND($I$457=1,$C$457=0),$N$457+$H$457/$Z$453*$M$17,NA())</f>
        <v>#N/A</v>
      </c>
      <c r="BA467" s="144">
        <f>IF($I$458=1,$M$458+$H$458/$Z$453*$L$17,NA())</f>
        <v>-0.0340816587367667</v>
      </c>
      <c r="BB467" s="144" t="e">
        <f>IF($S$458=1,$N$458+$H$458/$Z$453*$M$17,NA())</f>
        <v>#N/A</v>
      </c>
      <c r="BC467" s="144">
        <f>IF(AND($I$458=1,$C$458=1,$S$458=0),$N$458+$H$458/$Z$453*$M$17,NA())</f>
        <v>0.0979794755453006</v>
      </c>
      <c r="BD467" s="144" t="e">
        <f>IF(AND($I$458=1,$C$458=0),$N$458+$H$458/$Z$453*$M$17,NA())</f>
        <v>#N/A</v>
      </c>
      <c r="BE467" s="144">
        <f>IF($I$459=1,$M$459+$H$459/$Z$453*$L$17,NA())</f>
        <v>-0.747349571758953</v>
      </c>
      <c r="BF467" s="144" t="e">
        <f>IF($S$459=1,$N$459+$H$459/$Z$453*$M$17,NA())</f>
        <v>#N/A</v>
      </c>
      <c r="BG467" s="144" t="e">
        <f>IF(AND($I$459=1,$C$459=1,$S$459=0),$N$459+$H$459/$Z$453*$M$17,NA())</f>
        <v>#N/A</v>
      </c>
      <c r="BH467" s="144">
        <f>IF(AND($I$459=1,$C$459=0),$N$459+$H$459/$Z$453*$M$17,NA())</f>
        <v>0.372359924794471</v>
      </c>
      <c r="BI467" s="144" t="e">
        <f>IF($I$460=1,$M$460+$H$460/$Z$453*$L$17,NA())</f>
        <v>#N/A</v>
      </c>
      <c r="BJ467" s="144" t="e">
        <f>IF($S$460=1,$N$460+$H$460/$Z$453*$M$17,NA())</f>
        <v>#N/A</v>
      </c>
      <c r="BK467" s="144" t="e">
        <f>IF(AND($I$460=1,$C$460=1,$S$460=0),$N$460+$H$460/$Z$453*$M$17,NA())</f>
        <v>#N/A</v>
      </c>
      <c r="BL467" s="144" t="e">
        <f>IF(AND($I$460=1,$C$460=0),$N$460+$H$460/$Z$453*$M$17,NA())</f>
        <v>#N/A</v>
      </c>
      <c r="BM467" s="144" t="e">
        <f>IF($I$461=1,$M$461+$H$461/$Z$453*$L$17,NA())</f>
        <v>#N/A</v>
      </c>
      <c r="BN467" s="144" t="e">
        <f>IF($S$461=1,$N$461+$H$461/$Z$453*$M$17,NA())</f>
        <v>#N/A</v>
      </c>
      <c r="BO467" s="144" t="e">
        <f>IF(AND($I$461=1,$C$461=1,$S$461=0),$N$461+$H$461/$Z$453*$M$17,NA())</f>
        <v>#N/A</v>
      </c>
      <c r="BP467" s="144" t="e">
        <f>IF(AND($I$461=1,$C$461=0),$N$461+$H$461/$Z$453*$M$17,NA())</f>
        <v>#N/A</v>
      </c>
    </row>
    <row r="468">
      <c r="A468" s="63" t="inlineStr">
        <is>
          <t xml:space="preserve">slot 5 (l)</t>
        </is>
      </c>
      <c r="B468" s="146">
        <v>5</v>
      </c>
      <c r="C468" s="146">
        <f>IFERROR(MATCH(B468,$F$455:$F$461,0),NA())</f>
        <v>1</v>
      </c>
      <c r="D468" s="145" t="str">
        <f>IFERROR(INDEX($AJ$455:$AJ$461,C468),"")</f>
        <v>S₁ (in D)</v>
      </c>
      <c r="E468" s="144">
        <f>IFERROR(INDEX($M$455:$M$461,C468),NA())</f>
        <v>-0.176161255025322</v>
      </c>
      <c r="F468" s="144">
        <f>IFERROR(INDEX($N$455:$N$461,C468),NA())</f>
        <v>-0.133686854803028</v>
      </c>
      <c r="AN468" s="146">
        <v>13</v>
      </c>
      <c r="AO468" s="144">
        <f>IF($I$455=1,$M$455+$H$455/$Z$453*$L$18,NA())</f>
        <v>-0.554815340321378</v>
      </c>
      <c r="AP468" s="144" t="e">
        <f>IF($S$455=1,$N$455+$H$455/$Z$453*$M$18,NA())</f>
        <v>#N/A</v>
      </c>
      <c r="AQ468" s="144" t="e">
        <f>IF(AND($I$455=1,$C$455=1,$S$455=0),$N$455+$H$455/$Z$453*$M$18,NA())</f>
        <v>#N/A</v>
      </c>
      <c r="AR468" s="144">
        <f>IF(AND($I$455=1,$C$455=0),$N$455+$H$455/$Z$453*$M$18,NA())</f>
        <v>-0.235146911168852</v>
      </c>
      <c r="AS468" s="144">
        <f>IF($I$456=1,$M$456+$H$456/$Z$453*$L$18,NA())</f>
        <v>-0.279361034180512</v>
      </c>
      <c r="AT468" s="144" t="e">
        <f>IF($S$456=1,$N$456+$H$456/$Z$453*$M$18,NA())</f>
        <v>#N/A</v>
      </c>
      <c r="AU468" s="144" t="e">
        <f>IF(AND($I$456=1,$C$456=1,$S$456=0),$N$456+$H$456/$Z$453*$M$18,NA())</f>
        <v>#N/A</v>
      </c>
      <c r="AV468" s="144">
        <f>IF(AND($I$456=1,$C$456=0),$N$456+$H$456/$Z$453*$M$18,NA())</f>
        <v>-0.482481260744769</v>
      </c>
      <c r="AW468" s="144" t="e">
        <f>IF($I$457=1,$M$457+$H$457/$Z$453*$L$18,NA())</f>
        <v>#N/A</v>
      </c>
      <c r="AX468" s="144" t="e">
        <f>IF($S$457=1,$N$457+$H$457/$Z$453*$M$18,NA())</f>
        <v>#N/A</v>
      </c>
      <c r="AY468" s="144" t="e">
        <f>IF(AND($I$457=1,$C$457=1,$S$457=0),$N$457+$H$457/$Z$453*$M$18,NA())</f>
        <v>#N/A</v>
      </c>
      <c r="AZ468" s="144" t="e">
        <f>IF(AND($I$457=1,$C$457=0),$N$457+$H$457/$Z$453*$M$18,NA())</f>
        <v>#N/A</v>
      </c>
      <c r="BA468" s="144">
        <f>IF($I$458=1,$M$458+$H$458/$Z$453*$L$18,NA())</f>
        <v>-0.0252503737421128</v>
      </c>
      <c r="BB468" s="144" t="e">
        <f>IF($S$458=1,$N$458+$H$458/$Z$453*$M$18,NA())</f>
        <v>#N/A</v>
      </c>
      <c r="BC468" s="144">
        <f>IF(AND($I$458=1,$C$458=1,$S$458=0),$N$458+$H$458/$Z$453*$M$18,NA())</f>
        <v>0.0308992062265097</v>
      </c>
      <c r="BD468" s="144" t="e">
        <f>IF(AND($I$458=1,$C$458=0),$N$458+$H$458/$Z$453*$M$18,NA())</f>
        <v>#N/A</v>
      </c>
      <c r="BE468" s="144">
        <f>IF($I$459=1,$M$459+$H$459/$Z$453*$L$18,NA())</f>
        <v>-0.730407712249013</v>
      </c>
      <c r="BF468" s="144" t="e">
        <f>IF($S$459=1,$N$459+$H$459/$Z$453*$M$18,NA())</f>
        <v>#N/A</v>
      </c>
      <c r="BG468" s="144" t="e">
        <f>IF(AND($I$459=1,$C$459=1,$S$459=0),$N$459+$H$459/$Z$453*$M$18,NA())</f>
        <v>#N/A</v>
      </c>
      <c r="BH468" s="144">
        <f>IF(AND($I$459=1,$C$459=0),$N$459+$H$459/$Z$453*$M$18,NA())</f>
        <v>0.243673725744639</v>
      </c>
      <c r="BI468" s="144" t="e">
        <f>IF($I$460=1,$M$460+$H$460/$Z$453*$L$18,NA())</f>
        <v>#N/A</v>
      </c>
      <c r="BJ468" s="144" t="e">
        <f>IF($S$460=1,$N$460+$H$460/$Z$453*$M$18,NA())</f>
        <v>#N/A</v>
      </c>
      <c r="BK468" s="144" t="e">
        <f>IF(AND($I$460=1,$C$460=1,$S$460=0),$N$460+$H$460/$Z$453*$M$18,NA())</f>
        <v>#N/A</v>
      </c>
      <c r="BL468" s="144" t="e">
        <f>IF(AND($I$460=1,$C$460=0),$N$460+$H$460/$Z$453*$M$18,NA())</f>
        <v>#N/A</v>
      </c>
      <c r="BM468" s="144" t="e">
        <f>IF($I$461=1,$M$461+$H$461/$Z$453*$L$18,NA())</f>
        <v>#N/A</v>
      </c>
      <c r="BN468" s="144" t="e">
        <f>IF($S$461=1,$N$461+$H$461/$Z$453*$M$18,NA())</f>
        <v>#N/A</v>
      </c>
      <c r="BO468" s="144" t="e">
        <f>IF(AND($I$461=1,$C$461=1,$S$461=0),$N$461+$H$461/$Z$453*$M$18,NA())</f>
        <v>#N/A</v>
      </c>
      <c r="BP468" s="144" t="e">
        <f>IF(AND($I$461=1,$C$461=0),$N$461+$H$461/$Z$453*$M$18,NA())</f>
        <v>#N/A</v>
      </c>
    </row>
    <row r="469">
      <c r="A469" s="63" t="inlineStr">
        <is>
          <t xml:space="preserve">slot 6 (l)</t>
        </is>
      </c>
      <c r="B469" s="146">
        <v>6</v>
      </c>
      <c r="C469" s="146">
        <f>IFERROR(MATCH(B469,$F$455:$F$461,0),NA())</f>
        <v>5</v>
      </c>
      <c r="D469" s="145" t="str">
        <f>IFERROR(INDEX($AJ$455:$AJ$461,C469),"")</f>
        <v>S₅ (in D)</v>
      </c>
      <c r="E469" s="144">
        <f>IFERROR(INDEX($M$455:$M$461,C469),NA())</f>
        <v>-0.250144279162119</v>
      </c>
      <c r="F469" s="144">
        <f>IFERROR(INDEX($N$455:$N$461,C469),NA())</f>
        <v>0.372359924794471</v>
      </c>
      <c r="AN469" s="146">
        <v>14</v>
      </c>
      <c r="AO469" s="144">
        <f>IF($I$455=1,$M$455+$H$455/$Z$453*$L$19,NA())</f>
        <v>-0.515653220337996</v>
      </c>
      <c r="AP469" s="144" t="e">
        <f>IF($S$455=1,$N$455+$H$455/$Z$453*$M$19,NA())</f>
        <v>#N/A</v>
      </c>
      <c r="AQ469" s="144" t="e">
        <f>IF(AND($I$455=1,$C$455=1,$S$455=0),$N$455+$H$455/$Z$453*$M$19,NA())</f>
        <v>#N/A</v>
      </c>
      <c r="AR469" s="144">
        <f>IF(AND($I$455=1,$C$455=0),$N$455+$H$455/$Z$453*$M$19,NA())</f>
        <v>-0.329692632364015</v>
      </c>
      <c r="AS469" s="144">
        <f>IF($I$456=1,$M$456+$H$456/$Z$453*$L$19,NA())</f>
        <v>-0.227187741601642</v>
      </c>
      <c r="AT469" s="144" t="e">
        <f>IF($S$456=1,$N$456+$H$456/$Z$453*$M$19,NA())</f>
        <v>#N/A</v>
      </c>
      <c r="AU469" s="144" t="e">
        <f>IF(AND($I$456=1,$C$456=1,$S$456=0),$N$456+$H$456/$Z$453*$M$19,NA())</f>
        <v>#N/A</v>
      </c>
      <c r="AV469" s="144">
        <f>IF(AND($I$456=1,$C$456=0),$N$456+$H$456/$Z$453*$M$19,NA())</f>
        <v>-0.608438731282337</v>
      </c>
      <c r="AW469" s="144" t="e">
        <f>IF($I$457=1,$M$457+$H$457/$Z$453*$L$19,NA())</f>
        <v>#N/A</v>
      </c>
      <c r="AX469" s="144" t="e">
        <f>IF($S$457=1,$N$457+$H$457/$Z$453*$M$19,NA())</f>
        <v>#N/A</v>
      </c>
      <c r="AY469" s="144" t="e">
        <f>IF(AND($I$457=1,$C$457=1,$S$457=0),$N$457+$H$457/$Z$453*$M$19,NA())</f>
        <v>#N/A</v>
      </c>
      <c r="AZ469" s="144" t="e">
        <f>IF(AND($I$457=1,$C$457=0),$N$457+$H$457/$Z$453*$M$19,NA())</f>
        <v>#N/A</v>
      </c>
      <c r="BA469" s="144">
        <f>IF($I$458=1,$M$458+$H$458/$Z$453*$L$19,NA())</f>
        <v>0.000641643763851951</v>
      </c>
      <c r="BB469" s="144" t="e">
        <f>IF($S$458=1,$N$458+$H$458/$Z$453*$M$19,NA())</f>
        <v>#N/A</v>
      </c>
      <c r="BC469" s="144">
        <f>IF(AND($I$458=1,$C$458=1,$S$458=0),$N$458+$H$458/$Z$453*$M$19,NA())</f>
        <v>-0.0316096535935919</v>
      </c>
      <c r="BD469" s="144" t="e">
        <f>IF(AND($I$458=1,$C$458=0),$N$458+$H$458/$Z$453*$M$19,NA())</f>
        <v>#N/A</v>
      </c>
      <c r="BE469" s="144">
        <f>IF($I$459=1,$M$459+$H$459/$Z$453*$L$19,NA())</f>
        <v>-0.680736693447052</v>
      </c>
      <c r="BF469" s="144" t="e">
        <f>IF($S$459=1,$N$459+$H$459/$Z$453*$M$19,NA())</f>
        <v>#N/A</v>
      </c>
      <c r="BG469" s="144" t="e">
        <f>IF(AND($I$459=1,$C$459=1,$S$459=0),$N$459+$H$459/$Z$453*$M$19,NA())</f>
        <v>#N/A</v>
      </c>
      <c r="BH469" s="144">
        <f>IF(AND($I$459=1,$C$459=0),$N$459+$H$459/$Z$453*$M$19,NA())</f>
        <v>0.123757278496054</v>
      </c>
      <c r="BI469" s="144" t="e">
        <f>IF($I$460=1,$M$460+$H$460/$Z$453*$L$19,NA())</f>
        <v>#N/A</v>
      </c>
      <c r="BJ469" s="144" t="e">
        <f>IF($S$460=1,$N$460+$H$460/$Z$453*$M$19,NA())</f>
        <v>#N/A</v>
      </c>
      <c r="BK469" s="144" t="e">
        <f>IF(AND($I$460=1,$C$460=1,$S$460=0),$N$460+$H$460/$Z$453*$M$19,NA())</f>
        <v>#N/A</v>
      </c>
      <c r="BL469" s="144" t="e">
        <f>IF(AND($I$460=1,$C$460=0),$N$460+$H$460/$Z$453*$M$19,NA())</f>
        <v>#N/A</v>
      </c>
      <c r="BM469" s="144" t="e">
        <f>IF($I$461=1,$M$461+$H$461/$Z$453*$L$19,NA())</f>
        <v>#N/A</v>
      </c>
      <c r="BN469" s="144" t="e">
        <f>IF($S$461=1,$N$461+$H$461/$Z$453*$M$19,NA())</f>
        <v>#N/A</v>
      </c>
      <c r="BO469" s="144" t="e">
        <f>IF(AND($I$461=1,$C$461=1,$S$461=0),$N$461+$H$461/$Z$453*$M$19,NA())</f>
        <v>#N/A</v>
      </c>
      <c r="BP469" s="144" t="e">
        <f>IF(AND($I$461=1,$C$461=0),$N$461+$H$461/$Z$453*$M$19,NA())</f>
        <v>#N/A</v>
      </c>
    </row>
    <row r="470">
      <c r="A470" s="63" t="inlineStr">
        <is>
          <t xml:space="preserve">centre (b)</t>
        </is>
      </c>
      <c r="C470" s="146">
        <f>IF($Q$453=0,NA(),$Q$453)</f>
        <v>4</v>
      </c>
      <c r="D470" s="145" t="str">
        <f>IF($Q$453=0,"",INDEX($AJ$455:$AJ$461,$Q$453))</f>
        <v>S₄ = Sᵢ</v>
      </c>
      <c r="E470" s="144">
        <f>IF($Q$453=0,NA(),INDEX($M$455:$M$461,$Q$453))</f>
        <v>0.225096599541018</v>
      </c>
      <c r="F470" s="144">
        <f>IF($Q$453=0,NA(),INDEX($N$455:$N$461,$Q$453))</f>
        <v>0.0979794755453005</v>
      </c>
      <c r="AN470" s="146">
        <v>15</v>
      </c>
      <c r="AO470" s="144">
        <f>IF($I$455=1,$M$455+$H$455/$Z$453*$L$20,NA())</f>
        <v>-0.453355283955555</v>
      </c>
      <c r="AP470" s="144" t="e">
        <f>IF($S$455=1,$N$455+$H$455/$Z$453*$M$20,NA())</f>
        <v>#N/A</v>
      </c>
      <c r="AQ470" s="144" t="e">
        <f>IF(AND($I$455=1,$C$455=1,$S$455=0),$N$455+$H$455/$Z$453*$M$20,NA())</f>
        <v>#N/A</v>
      </c>
      <c r="AR470" s="144">
        <f>IF(AND($I$455=1,$C$455=0),$N$455+$H$455/$Z$453*$M$20,NA())</f>
        <v>-0.41088088373326</v>
      </c>
      <c r="AS470" s="144">
        <f>IF($I$456=1,$M$456+$H$456/$Z$453*$L$20,NA())</f>
        <v>-0.144192018609113</v>
      </c>
      <c r="AT470" s="144" t="e">
        <f>IF($S$456=1,$N$456+$H$456/$Z$453*$M$20,NA())</f>
        <v>#N/A</v>
      </c>
      <c r="AU470" s="144" t="e">
        <f>IF(AND($I$456=1,$C$456=1,$S$456=0),$N$456+$H$456/$Z$453*$M$20,NA())</f>
        <v>#N/A</v>
      </c>
      <c r="AV470" s="144">
        <f>IF(AND($I$456=1,$C$456=0),$N$456+$H$456/$Z$453*$M$20,NA())</f>
        <v>-0.716600863323501</v>
      </c>
      <c r="AW470" s="144" t="e">
        <f>IF($I$457=1,$M$457+$H$457/$Z$453*$L$20,NA())</f>
        <v>#N/A</v>
      </c>
      <c r="AX470" s="144" t="e">
        <f>IF($S$457=1,$N$457+$H$457/$Z$453*$M$20,NA())</f>
        <v>#N/A</v>
      </c>
      <c r="AY470" s="144" t="e">
        <f>IF(AND($I$457=1,$C$457=1,$S$457=0),$N$457+$H$457/$Z$453*$M$20,NA())</f>
        <v>#N/A</v>
      </c>
      <c r="AZ470" s="144" t="e">
        <f>IF(AND($I$457=1,$C$457=0),$N$457+$H$457/$Z$453*$M$20,NA())</f>
        <v>#N/A</v>
      </c>
      <c r="BA470" s="144">
        <f>IF($I$458=1,$M$458+$H$458/$Z$453*$L$20,NA())</f>
        <v>0.041829895576678</v>
      </c>
      <c r="BB470" s="144" t="e">
        <f>IF($S$458=1,$N$458+$H$458/$Z$453*$M$20,NA())</f>
        <v>#N/A</v>
      </c>
      <c r="BC470" s="144">
        <f>IF(AND($I$458=1,$C$458=1,$S$458=0),$N$458+$H$458/$Z$453*$M$20,NA())</f>
        <v>-0.0852872284190396</v>
      </c>
      <c r="BD470" s="144" t="e">
        <f>IF(AND($I$458=1,$C$458=0),$N$458+$H$458/$Z$453*$M$20,NA())</f>
        <v>#N/A</v>
      </c>
      <c r="BE470" s="144">
        <f>IF($I$459=1,$M$459+$H$459/$Z$453*$L$20,NA())</f>
        <v>-0.601721513199182</v>
      </c>
      <c r="BF470" s="144" t="e">
        <f>IF($S$459=1,$N$459+$H$459/$Z$453*$M$20,NA())</f>
        <v>#N/A</v>
      </c>
      <c r="BG470" s="144" t="e">
        <f>IF(AND($I$459=1,$C$459=1,$S$459=0),$N$459+$H$459/$Z$453*$M$20,NA())</f>
        <v>#N/A</v>
      </c>
      <c r="BH470" s="144">
        <f>IF(AND($I$459=1,$C$459=0),$N$459+$H$459/$Z$453*$M$20,NA())</f>
        <v>0.0207826907574081</v>
      </c>
      <c r="BI470" s="144" t="e">
        <f>IF($I$460=1,$M$460+$H$460/$Z$453*$L$20,NA())</f>
        <v>#N/A</v>
      </c>
      <c r="BJ470" s="144" t="e">
        <f>IF($S$460=1,$N$460+$H$460/$Z$453*$M$20,NA())</f>
        <v>#N/A</v>
      </c>
      <c r="BK470" s="144" t="e">
        <f>IF(AND($I$460=1,$C$460=1,$S$460=0),$N$460+$H$460/$Z$453*$M$20,NA())</f>
        <v>#N/A</v>
      </c>
      <c r="BL470" s="144" t="e">
        <f>IF(AND($I$460=1,$C$460=0),$N$460+$H$460/$Z$453*$M$20,NA())</f>
        <v>#N/A</v>
      </c>
      <c r="BM470" s="144" t="e">
        <f>IF($I$461=1,$M$461+$H$461/$Z$453*$L$20,NA())</f>
        <v>#N/A</v>
      </c>
      <c r="BN470" s="144" t="e">
        <f>IF($S$461=1,$N$461+$H$461/$Z$453*$M$20,NA())</f>
        <v>#N/A</v>
      </c>
      <c r="BO470" s="144" t="e">
        <f>IF(AND($I$461=1,$C$461=1,$S$461=0),$N$461+$H$461/$Z$453*$M$20,NA())</f>
        <v>#N/A</v>
      </c>
      <c r="BP470" s="144" t="e">
        <f>IF(AND($I$461=1,$C$461=0),$N$461+$H$461/$Z$453*$M$20,NA())</f>
        <v>#N/A</v>
      </c>
    </row>
    <row r="471">
      <c r="A471" s="63" t="inlineStr">
        <is>
          <t xml:space="preserve">caption, top left (r)</t>
        </is>
      </c>
      <c r="D471" s="145" t="str">
        <f>IF($Q$453=0,"","Sᵢ = "&amp;'ERDR Iterations'!$K$140&amp;"   ·   L = "&amp;'ERDR Iterations'!$K$143)</f>
        <v>Sᵢ = S₄   ·   L = ∅</v>
      </c>
      <c r="E471" s="144">
        <f>IF($Q$453=0,NA(),-0.97)</f>
        <v>-0.97</v>
      </c>
      <c r="F471" s="144">
        <f>IF($Q$453=0,NA(),0.955)</f>
        <v>0.955</v>
      </c>
      <c r="AN471" s="146">
        <v>16</v>
      </c>
      <c r="AO471" s="144">
        <f>IF($I$455=1,$M$455+$H$455/$Z$453*$L$21,NA())</f>
        <v>-0.37216703258631</v>
      </c>
      <c r="AP471" s="144" t="e">
        <f>IF($S$455=1,$N$455+$H$455/$Z$453*$M$21,NA())</f>
        <v>#N/A</v>
      </c>
      <c r="AQ471" s="144" t="e">
        <f>IF(AND($I$455=1,$C$455=1,$S$455=0),$N$455+$H$455/$Z$453*$M$21,NA())</f>
        <v>#N/A</v>
      </c>
      <c r="AR471" s="144">
        <f>IF(AND($I$455=1,$C$455=0),$N$455+$H$455/$Z$453*$M$21,NA())</f>
        <v>-0.473178820115702</v>
      </c>
      <c r="AS471" s="144">
        <f>IF($I$456=1,$M$456+$H$456/$Z$453*$L$21,NA())</f>
        <v>-0.0360298865679491</v>
      </c>
      <c r="AT471" s="144" t="e">
        <f>IF($S$456=1,$N$456+$H$456/$Z$453*$M$21,NA())</f>
        <v>#N/A</v>
      </c>
      <c r="AU471" s="144" t="e">
        <f>IF(AND($I$456=1,$C$456=1,$S$456=0),$N$456+$H$456/$Z$453*$M$21,NA())</f>
        <v>#N/A</v>
      </c>
      <c r="AV471" s="144">
        <f>IF(AND($I$456=1,$C$456=0),$N$456+$H$456/$Z$453*$M$21,NA())</f>
        <v>-0.79959658631603</v>
      </c>
      <c r="AW471" s="144" t="e">
        <f>IF($I$457=1,$M$457+$H$457/$Z$453*$L$21,NA())</f>
        <v>#N/A</v>
      </c>
      <c r="AX471" s="144" t="e">
        <f>IF($S$457=1,$N$457+$H$457/$Z$453*$M$21,NA())</f>
        <v>#N/A</v>
      </c>
      <c r="AY471" s="144" t="e">
        <f>IF(AND($I$457=1,$C$457=1,$S$457=0),$N$457+$H$457/$Z$453*$M$21,NA())</f>
        <v>#N/A</v>
      </c>
      <c r="AZ471" s="144" t="e">
        <f>IF(AND($I$457=1,$C$457=0),$N$457+$H$457/$Z$453*$M$21,NA())</f>
        <v>#N/A</v>
      </c>
      <c r="BA471" s="144">
        <f>IF($I$458=1,$M$458+$H$458/$Z$453*$L$21,NA())</f>
        <v>0.0955074704021257</v>
      </c>
      <c r="BB471" s="144" t="e">
        <f>IF($S$458=1,$N$458+$H$458/$Z$453*$M$21,NA())</f>
        <v>#N/A</v>
      </c>
      <c r="BC471" s="144">
        <f>IF(AND($I$458=1,$C$458=1,$S$458=0),$N$458+$H$458/$Z$453*$M$21,NA())</f>
        <v>-0.126475480231866</v>
      </c>
      <c r="BD471" s="144" t="e">
        <f>IF(AND($I$458=1,$C$458=0),$N$458+$H$458/$Z$453*$M$21,NA())</f>
        <v>#N/A</v>
      </c>
      <c r="BE471" s="144">
        <f>IF($I$459=1,$M$459+$H$459/$Z$453*$L$21,NA())</f>
        <v>-0.498746925460536</v>
      </c>
      <c r="BF471" s="144" t="e">
        <f>IF($S$459=1,$N$459+$H$459/$Z$453*$M$21,NA())</f>
        <v>#N/A</v>
      </c>
      <c r="BG471" s="144" t="e">
        <f>IF(AND($I$459=1,$C$459=1,$S$459=0),$N$459+$H$459/$Z$453*$M$21,NA())</f>
        <v>#N/A</v>
      </c>
      <c r="BH471" s="144">
        <f>IF(AND($I$459=1,$C$459=0),$N$459+$H$459/$Z$453*$M$21,NA())</f>
        <v>-0.0582324894904622</v>
      </c>
      <c r="BI471" s="144" t="e">
        <f>IF($I$460=1,$M$460+$H$460/$Z$453*$L$21,NA())</f>
        <v>#N/A</v>
      </c>
      <c r="BJ471" s="144" t="e">
        <f>IF($S$460=1,$N$460+$H$460/$Z$453*$M$21,NA())</f>
        <v>#N/A</v>
      </c>
      <c r="BK471" s="144" t="e">
        <f>IF(AND($I$460=1,$C$460=1,$S$460=0),$N$460+$H$460/$Z$453*$M$21,NA())</f>
        <v>#N/A</v>
      </c>
      <c r="BL471" s="144" t="e">
        <f>IF(AND($I$460=1,$C$460=0),$N$460+$H$460/$Z$453*$M$21,NA())</f>
        <v>#N/A</v>
      </c>
      <c r="BM471" s="144" t="e">
        <f>IF($I$461=1,$M$461+$H$461/$Z$453*$L$21,NA())</f>
        <v>#N/A</v>
      </c>
      <c r="BN471" s="144" t="e">
        <f>IF($S$461=1,$N$461+$H$461/$Z$453*$M$21,NA())</f>
        <v>#N/A</v>
      </c>
      <c r="BO471" s="144" t="e">
        <f>IF(AND($I$461=1,$C$461=1,$S$461=0),$N$461+$H$461/$Z$453*$M$21,NA())</f>
        <v>#N/A</v>
      </c>
      <c r="BP471" s="144" t="e">
        <f>IF(AND($I$461=1,$C$461=0),$N$461+$H$461/$Z$453*$M$21,NA())</f>
        <v>#N/A</v>
      </c>
    </row>
    <row r="472">
      <c r="A472" s="63" t="inlineStr">
        <is>
          <t xml:space="preserve">caption, bottom left (r)</t>
        </is>
      </c>
      <c r="D472" s="145" t="str">
        <f>IF($Q$453=0,"",'ERDR Iterations'!$K$145)</f>
        <v>|L| = 0 → Sᵢ is only blocked and stays in F</v>
      </c>
      <c r="E472" s="144">
        <f>IF($Q$453=0,NA(),-0.97)</f>
        <v>-0.97</v>
      </c>
      <c r="F472" s="144">
        <f>IF($Q$453=0,NA(),-0.955)</f>
        <v>-0.955</v>
      </c>
      <c r="AN472" s="146">
        <v>17</v>
      </c>
      <c r="AO472" s="144">
        <f>IF($I$455=1,$M$455+$H$455/$Z$453*$L$22,NA())</f>
        <v>-0.277621311391146</v>
      </c>
      <c r="AP472" s="144" t="e">
        <f>IF($S$455=1,$N$455+$H$455/$Z$453*$M$22,NA())</f>
        <v>#N/A</v>
      </c>
      <c r="AQ472" s="144" t="e">
        <f>IF(AND($I$455=1,$C$455=1,$S$455=0),$N$455+$H$455/$Z$453*$M$22,NA())</f>
        <v>#N/A</v>
      </c>
      <c r="AR472" s="144">
        <f>IF(AND($I$455=1,$C$455=0),$N$455+$H$455/$Z$453*$M$22,NA())</f>
        <v>-0.512340940099084</v>
      </c>
      <c r="AS472" s="144">
        <f>IF($I$456=1,$M$456+$H$456/$Z$453*$L$22,NA())</f>
        <v>0.0899275839696193</v>
      </c>
      <c r="AT472" s="144" t="e">
        <f>IF($S$456=1,$N$456+$H$456/$Z$453*$M$22,NA())</f>
        <v>#N/A</v>
      </c>
      <c r="AU472" s="144" t="e">
        <f>IF(AND($I$456=1,$C$456=1,$S$456=0),$N$456+$H$456/$Z$453*$M$22,NA())</f>
        <v>#N/A</v>
      </c>
      <c r="AV472" s="144">
        <f>IF(AND($I$456=1,$C$456=0),$N$456+$H$456/$Z$453*$M$22,NA())</f>
        <v>-0.8517698788949</v>
      </c>
      <c r="AW472" s="144" t="e">
        <f>IF($I$457=1,$M$457+$H$457/$Z$453*$L$22,NA())</f>
        <v>#N/A</v>
      </c>
      <c r="AX472" s="144" t="e">
        <f>IF($S$457=1,$N$457+$H$457/$Z$453*$M$22,NA())</f>
        <v>#N/A</v>
      </c>
      <c r="AY472" s="144" t="e">
        <f>IF(AND($I$457=1,$C$457=1,$S$457=0),$N$457+$H$457/$Z$453*$M$22,NA())</f>
        <v>#N/A</v>
      </c>
      <c r="AZ472" s="144" t="e">
        <f>IF(AND($I$457=1,$C$457=0),$N$457+$H$457/$Z$453*$M$22,NA())</f>
        <v>#N/A</v>
      </c>
      <c r="BA472" s="144">
        <f>IF($I$458=1,$M$458+$H$458/$Z$453*$L$22,NA())</f>
        <v>0.158016330222227</v>
      </c>
      <c r="BB472" s="144" t="e">
        <f>IF($S$458=1,$N$458+$H$458/$Z$453*$M$22,NA())</f>
        <v>#N/A</v>
      </c>
      <c r="BC472" s="144">
        <f>IF(AND($I$458=1,$C$458=1,$S$458=0),$N$458+$H$458/$Z$453*$M$22,NA())</f>
        <v>-0.15236749773783</v>
      </c>
      <c r="BD472" s="144" t="e">
        <f>IF(AND($I$458=1,$C$458=0),$N$458+$H$458/$Z$453*$M$22,NA())</f>
        <v>#N/A</v>
      </c>
      <c r="BE472" s="144">
        <f>IF($I$459=1,$M$459+$H$459/$Z$453*$L$22,NA())</f>
        <v>-0.378830478211951</v>
      </c>
      <c r="BF472" s="144" t="e">
        <f>IF($S$459=1,$N$459+$H$459/$Z$453*$M$22,NA())</f>
        <v>#N/A</v>
      </c>
      <c r="BG472" s="144" t="e">
        <f>IF(AND($I$459=1,$C$459=1,$S$459=0),$N$459+$H$459/$Z$453*$M$22,NA())</f>
        <v>#N/A</v>
      </c>
      <c r="BH472" s="144">
        <f>IF(AND($I$459=1,$C$459=0),$N$459+$H$459/$Z$453*$M$22,NA())</f>
        <v>-0.107903508292424</v>
      </c>
      <c r="BI472" s="144" t="e">
        <f>IF($I$460=1,$M$460+$H$460/$Z$453*$L$22,NA())</f>
        <v>#N/A</v>
      </c>
      <c r="BJ472" s="144" t="e">
        <f>IF($S$460=1,$N$460+$H$460/$Z$453*$M$22,NA())</f>
        <v>#N/A</v>
      </c>
      <c r="BK472" s="144" t="e">
        <f>IF(AND($I$460=1,$C$460=1,$S$460=0),$N$460+$H$460/$Z$453*$M$22,NA())</f>
        <v>#N/A</v>
      </c>
      <c r="BL472" s="144" t="e">
        <f>IF(AND($I$460=1,$C$460=0),$N$460+$H$460/$Z$453*$M$22,NA())</f>
        <v>#N/A</v>
      </c>
      <c r="BM472" s="144" t="e">
        <f>IF($I$461=1,$M$461+$H$461/$Z$453*$L$22,NA())</f>
        <v>#N/A</v>
      </c>
      <c r="BN472" s="144" t="e">
        <f>IF($S$461=1,$N$461+$H$461/$Z$453*$M$22,NA())</f>
        <v>#N/A</v>
      </c>
      <c r="BO472" s="144" t="e">
        <f>IF(AND($I$461=1,$C$461=1,$S$461=0),$N$461+$H$461/$Z$453*$M$22,NA())</f>
        <v>#N/A</v>
      </c>
      <c r="BP472" s="144" t="e">
        <f>IF(AND($I$461=1,$C$461=0),$N$461+$H$461/$Z$453*$M$22,NA())</f>
        <v>#N/A</v>
      </c>
    </row>
    <row r="473">
      <c r="AN473" s="146">
        <v>18</v>
      </c>
      <c r="AO473" s="144">
        <f>IF($I$455=1,$M$455+$H$455/$Z$453*$L$23,NA())</f>
        <v>-0.176161255025322</v>
      </c>
      <c r="AP473" s="144" t="e">
        <f>IF($S$455=1,$N$455+$H$455/$Z$453*$M$23,NA())</f>
        <v>#N/A</v>
      </c>
      <c r="AQ473" s="144" t="e">
        <f>IF(AND($I$455=1,$C$455=1,$S$455=0),$N$455+$H$455/$Z$453*$M$23,NA())</f>
        <v>#N/A</v>
      </c>
      <c r="AR473" s="144">
        <f>IF(AND($I$455=1,$C$455=0),$N$455+$H$455/$Z$453*$M$23,NA())</f>
        <v>-0.525698409925003</v>
      </c>
      <c r="AS473" s="144">
        <f>IF($I$456=1,$M$456+$H$456/$Z$453*$L$23,NA())</f>
        <v>0.225096599541018</v>
      </c>
      <c r="AT473" s="144" t="e">
        <f>IF($S$456=1,$N$456+$H$456/$Z$453*$M$23,NA())</f>
        <v>#N/A</v>
      </c>
      <c r="AU473" s="144" t="e">
        <f>IF(AND($I$456=1,$C$456=1,$S$456=0),$N$456+$H$456/$Z$453*$M$23,NA())</f>
        <v>#N/A</v>
      </c>
      <c r="AV473" s="144">
        <f>IF(AND($I$456=1,$C$456=0),$N$456+$H$456/$Z$453*$M$23,NA())</f>
        <v>-0.869565217391304</v>
      </c>
      <c r="AW473" s="144" t="e">
        <f>IF($I$457=1,$M$457+$H$457/$Z$453*$L$23,NA())</f>
        <v>#N/A</v>
      </c>
      <c r="AX473" s="144" t="e">
        <f>IF($S$457=1,$N$457+$H$457/$Z$453*$M$23,NA())</f>
        <v>#N/A</v>
      </c>
      <c r="AY473" s="144" t="e">
        <f>IF(AND($I$457=1,$C$457=1,$S$457=0),$N$457+$H$457/$Z$453*$M$23,NA())</f>
        <v>#N/A</v>
      </c>
      <c r="AZ473" s="144" t="e">
        <f>IF(AND($I$457=1,$C$457=0),$N$457+$H$457/$Z$453*$M$23,NA())</f>
        <v>#N/A</v>
      </c>
      <c r="BA473" s="144">
        <f>IF($I$458=1,$M$458+$H$458/$Z$453*$L$23,NA())</f>
        <v>0.225096599541018</v>
      </c>
      <c r="BB473" s="144" t="e">
        <f>IF($S$458=1,$N$458+$H$458/$Z$453*$M$23,NA())</f>
        <v>#N/A</v>
      </c>
      <c r="BC473" s="144">
        <f>IF(AND($I$458=1,$C$458=1,$S$458=0),$N$458+$H$458/$Z$453*$M$23,NA())</f>
        <v>-0.161198782732484</v>
      </c>
      <c r="BD473" s="144" t="e">
        <f>IF(AND($I$458=1,$C$458=0),$N$458+$H$458/$Z$453*$M$23,NA())</f>
        <v>#N/A</v>
      </c>
      <c r="BE473" s="144">
        <f>IF($I$459=1,$M$459+$H$459/$Z$453*$L$23,NA())</f>
        <v>-0.250144279162119</v>
      </c>
      <c r="BF473" s="144" t="e">
        <f>IF($S$459=1,$N$459+$H$459/$Z$453*$M$23,NA())</f>
        <v>#N/A</v>
      </c>
      <c r="BG473" s="144" t="e">
        <f>IF(AND($I$459=1,$C$459=1,$S$459=0),$N$459+$H$459/$Z$453*$M$23,NA())</f>
        <v>#N/A</v>
      </c>
      <c r="BH473" s="144">
        <f>IF(AND($I$459=1,$C$459=0),$N$459+$H$459/$Z$453*$M$23,NA())</f>
        <v>-0.124845367802363</v>
      </c>
      <c r="BI473" s="144" t="e">
        <f>IF($I$460=1,$M$460+$H$460/$Z$453*$L$23,NA())</f>
        <v>#N/A</v>
      </c>
      <c r="BJ473" s="144" t="e">
        <f>IF($S$460=1,$N$460+$H$460/$Z$453*$M$23,NA())</f>
        <v>#N/A</v>
      </c>
      <c r="BK473" s="144" t="e">
        <f>IF(AND($I$460=1,$C$460=1,$S$460=0),$N$460+$H$460/$Z$453*$M$23,NA())</f>
        <v>#N/A</v>
      </c>
      <c r="BL473" s="144" t="e">
        <f>IF(AND($I$460=1,$C$460=0),$N$460+$H$460/$Z$453*$M$23,NA())</f>
        <v>#N/A</v>
      </c>
      <c r="BM473" s="144" t="e">
        <f>IF($I$461=1,$M$461+$H$461/$Z$453*$L$23,NA())</f>
        <v>#N/A</v>
      </c>
      <c r="BN473" s="144" t="e">
        <f>IF($S$461=1,$N$461+$H$461/$Z$453*$M$23,NA())</f>
        <v>#N/A</v>
      </c>
      <c r="BO473" s="144" t="e">
        <f>IF(AND($I$461=1,$C$461=1,$S$461=0),$N$461+$H$461/$Z$453*$M$23,NA())</f>
        <v>#N/A</v>
      </c>
      <c r="BP473" s="144" t="e">
        <f>IF(AND($I$461=1,$C$461=0),$N$461+$H$461/$Z$453*$M$23,NA())</f>
        <v>#N/A</v>
      </c>
    </row>
    <row r="474">
      <c r="AN474" s="146">
        <v>19</v>
      </c>
      <c r="AO474" s="144">
        <f>IF($I$455=1,$M$455+$H$455/$Z$453*$L$24,NA())</f>
        <v>-0.0747011986594986</v>
      </c>
      <c r="AP474" s="144" t="e">
        <f>IF($S$455=1,$N$455+$H$455/$Z$453*$M$24,NA())</f>
        <v>#N/A</v>
      </c>
      <c r="AQ474" s="144" t="e">
        <f>IF(AND($I$455=1,$C$455=1,$S$455=0),$N$455+$H$455/$Z$453*$M$24,NA())</f>
        <v>#N/A</v>
      </c>
      <c r="AR474" s="144">
        <f>IF(AND($I$455=1,$C$455=0),$N$455+$H$455/$Z$453*$M$24,NA())</f>
        <v>-0.512340940099084</v>
      </c>
      <c r="AS474" s="144">
        <f>IF($I$456=1,$M$456+$H$456/$Z$453*$L$24,NA())</f>
        <v>0.360265615112417</v>
      </c>
      <c r="AT474" s="144" t="e">
        <f>IF($S$456=1,$N$456+$H$456/$Z$453*$M$24,NA())</f>
        <v>#N/A</v>
      </c>
      <c r="AU474" s="144" t="e">
        <f>IF(AND($I$456=1,$C$456=1,$S$456=0),$N$456+$H$456/$Z$453*$M$24,NA())</f>
        <v>#N/A</v>
      </c>
      <c r="AV474" s="144">
        <f>IF(AND($I$456=1,$C$456=0),$N$456+$H$456/$Z$453*$M$24,NA())</f>
        <v>-0.8517698788949</v>
      </c>
      <c r="AW474" s="144" t="e">
        <f>IF($I$457=1,$M$457+$H$457/$Z$453*$L$24,NA())</f>
        <v>#N/A</v>
      </c>
      <c r="AX474" s="144" t="e">
        <f>IF($S$457=1,$N$457+$H$457/$Z$453*$M$24,NA())</f>
        <v>#N/A</v>
      </c>
      <c r="AY474" s="144" t="e">
        <f>IF(AND($I$457=1,$C$457=1,$S$457=0),$N$457+$H$457/$Z$453*$M$24,NA())</f>
        <v>#N/A</v>
      </c>
      <c r="AZ474" s="144" t="e">
        <f>IF(AND($I$457=1,$C$457=0),$N$457+$H$457/$Z$453*$M$24,NA())</f>
        <v>#N/A</v>
      </c>
      <c r="BA474" s="144">
        <f>IF($I$458=1,$M$458+$H$458/$Z$453*$L$24,NA())</f>
        <v>0.292176868859809</v>
      </c>
      <c r="BB474" s="144" t="e">
        <f>IF($S$458=1,$N$458+$H$458/$Z$453*$M$24,NA())</f>
        <v>#N/A</v>
      </c>
      <c r="BC474" s="144">
        <f>IF(AND($I$458=1,$C$458=1,$S$458=0),$N$458+$H$458/$Z$453*$M$24,NA())</f>
        <v>-0.152367497737831</v>
      </c>
      <c r="BD474" s="144" t="e">
        <f>IF(AND($I$458=1,$C$458=0),$N$458+$H$458/$Z$453*$M$24,NA())</f>
        <v>#N/A</v>
      </c>
      <c r="BE474" s="144">
        <f>IF($I$459=1,$M$459+$H$459/$Z$453*$L$24,NA())</f>
        <v>-0.121458080112287</v>
      </c>
      <c r="BF474" s="144" t="e">
        <f>IF($S$459=1,$N$459+$H$459/$Z$453*$M$24,NA())</f>
        <v>#N/A</v>
      </c>
      <c r="BG474" s="144" t="e">
        <f>IF(AND($I$459=1,$C$459=1,$S$459=0),$N$459+$H$459/$Z$453*$M$24,NA())</f>
        <v>#N/A</v>
      </c>
      <c r="BH474" s="144">
        <f>IF(AND($I$459=1,$C$459=0),$N$459+$H$459/$Z$453*$M$24,NA())</f>
        <v>-0.107903508292424</v>
      </c>
      <c r="BI474" s="144" t="e">
        <f>IF($I$460=1,$M$460+$H$460/$Z$453*$L$24,NA())</f>
        <v>#N/A</v>
      </c>
      <c r="BJ474" s="144" t="e">
        <f>IF($S$460=1,$N$460+$H$460/$Z$453*$M$24,NA())</f>
        <v>#N/A</v>
      </c>
      <c r="BK474" s="144" t="e">
        <f>IF(AND($I$460=1,$C$460=1,$S$460=0),$N$460+$H$460/$Z$453*$M$24,NA())</f>
        <v>#N/A</v>
      </c>
      <c r="BL474" s="144" t="e">
        <f>IF(AND($I$460=1,$C$460=0),$N$460+$H$460/$Z$453*$M$24,NA())</f>
        <v>#N/A</v>
      </c>
      <c r="BM474" s="144" t="e">
        <f>IF($I$461=1,$M$461+$H$461/$Z$453*$L$24,NA())</f>
        <v>#N/A</v>
      </c>
      <c r="BN474" s="144" t="e">
        <f>IF($S$461=1,$N$461+$H$461/$Z$453*$M$24,NA())</f>
        <v>#N/A</v>
      </c>
      <c r="BO474" s="144" t="e">
        <f>IF(AND($I$461=1,$C$461=1,$S$461=0),$N$461+$H$461/$Z$453*$M$24,NA())</f>
        <v>#N/A</v>
      </c>
      <c r="BP474" s="144" t="e">
        <f>IF(AND($I$461=1,$C$461=0),$N$461+$H$461/$Z$453*$M$24,NA())</f>
        <v>#N/A</v>
      </c>
    </row>
    <row r="475">
      <c r="AN475" s="146">
        <v>20</v>
      </c>
      <c r="AO475" s="144">
        <f>IF($I$455=1,$M$455+$H$455/$Z$453*$L$25,NA())</f>
        <v>0.0198445225356653</v>
      </c>
      <c r="AP475" s="144" t="e">
        <f>IF($S$455=1,$N$455+$H$455/$Z$453*$M$25,NA())</f>
        <v>#N/A</v>
      </c>
      <c r="AQ475" s="144" t="e">
        <f>IF(AND($I$455=1,$C$455=1,$S$455=0),$N$455+$H$455/$Z$453*$M$25,NA())</f>
        <v>#N/A</v>
      </c>
      <c r="AR475" s="144">
        <f>IF(AND($I$455=1,$C$455=0),$N$455+$H$455/$Z$453*$M$25,NA())</f>
        <v>-0.473178820115702</v>
      </c>
      <c r="AS475" s="144">
        <f>IF($I$456=1,$M$456+$H$456/$Z$453*$L$25,NA())</f>
        <v>0.486223085649986</v>
      </c>
      <c r="AT475" s="144" t="e">
        <f>IF($S$456=1,$N$456+$H$456/$Z$453*$M$25,NA())</f>
        <v>#N/A</v>
      </c>
      <c r="AU475" s="144" t="e">
        <f>IF(AND($I$456=1,$C$456=1,$S$456=0),$N$456+$H$456/$Z$453*$M$25,NA())</f>
        <v>#N/A</v>
      </c>
      <c r="AV475" s="144">
        <f>IF(AND($I$456=1,$C$456=0),$N$456+$H$456/$Z$453*$M$25,NA())</f>
        <v>-0.79959658631603</v>
      </c>
      <c r="AW475" s="144" t="e">
        <f>IF($I$457=1,$M$457+$H$457/$Z$453*$L$25,NA())</f>
        <v>#N/A</v>
      </c>
      <c r="AX475" s="144" t="e">
        <f>IF($S$457=1,$N$457+$H$457/$Z$453*$M$25,NA())</f>
        <v>#N/A</v>
      </c>
      <c r="AY475" s="144" t="e">
        <f>IF(AND($I$457=1,$C$457=1,$S$457=0),$N$457+$H$457/$Z$453*$M$25,NA())</f>
        <v>#N/A</v>
      </c>
      <c r="AZ475" s="144" t="e">
        <f>IF(AND($I$457=1,$C$457=0),$N$457+$H$457/$Z$453*$M$25,NA())</f>
        <v>#N/A</v>
      </c>
      <c r="BA475" s="144">
        <f>IF($I$458=1,$M$458+$H$458/$Z$453*$L$25,NA())</f>
        <v>0.354685728679911</v>
      </c>
      <c r="BB475" s="144" t="e">
        <f>IF($S$458=1,$N$458+$H$458/$Z$453*$M$25,NA())</f>
        <v>#N/A</v>
      </c>
      <c r="BC475" s="144">
        <f>IF(AND($I$458=1,$C$458=1,$S$458=0),$N$458+$H$458/$Z$453*$M$25,NA())</f>
        <v>-0.126475480231866</v>
      </c>
      <c r="BD475" s="144" t="e">
        <f>IF(AND($I$458=1,$C$458=0),$N$458+$H$458/$Z$453*$M$25,NA())</f>
        <v>#N/A</v>
      </c>
      <c r="BE475" s="144">
        <f>IF($I$459=1,$M$459+$H$459/$Z$453*$L$25,NA())</f>
        <v>-0.00154163286370185</v>
      </c>
      <c r="BF475" s="144" t="e">
        <f>IF($S$459=1,$N$459+$H$459/$Z$453*$M$25,NA())</f>
        <v>#N/A</v>
      </c>
      <c r="BG475" s="144" t="e">
        <f>IF(AND($I$459=1,$C$459=1,$S$459=0),$N$459+$H$459/$Z$453*$M$25,NA())</f>
        <v>#N/A</v>
      </c>
      <c r="BH475" s="144">
        <f>IF(AND($I$459=1,$C$459=0),$N$459+$H$459/$Z$453*$M$25,NA())</f>
        <v>-0.0582324894904623</v>
      </c>
      <c r="BI475" s="144" t="e">
        <f>IF($I$460=1,$M$460+$H$460/$Z$453*$L$25,NA())</f>
        <v>#N/A</v>
      </c>
      <c r="BJ475" s="144" t="e">
        <f>IF($S$460=1,$N$460+$H$460/$Z$453*$M$25,NA())</f>
        <v>#N/A</v>
      </c>
      <c r="BK475" s="144" t="e">
        <f>IF(AND($I$460=1,$C$460=1,$S$460=0),$N$460+$H$460/$Z$453*$M$25,NA())</f>
        <v>#N/A</v>
      </c>
      <c r="BL475" s="144" t="e">
        <f>IF(AND($I$460=1,$C$460=0),$N$460+$H$460/$Z$453*$M$25,NA())</f>
        <v>#N/A</v>
      </c>
      <c r="BM475" s="144" t="e">
        <f>IF($I$461=1,$M$461+$H$461/$Z$453*$L$25,NA())</f>
        <v>#N/A</v>
      </c>
      <c r="BN475" s="144" t="e">
        <f>IF($S$461=1,$N$461+$H$461/$Z$453*$M$25,NA())</f>
        <v>#N/A</v>
      </c>
      <c r="BO475" s="144" t="e">
        <f>IF(AND($I$461=1,$C$461=1,$S$461=0),$N$461+$H$461/$Z$453*$M$25,NA())</f>
        <v>#N/A</v>
      </c>
      <c r="BP475" s="144" t="e">
        <f>IF(AND($I$461=1,$C$461=0),$N$461+$H$461/$Z$453*$M$25,NA())</f>
        <v>#N/A</v>
      </c>
    </row>
    <row r="476">
      <c r="AN476" s="146">
        <v>21</v>
      </c>
      <c r="AO476" s="144">
        <f>IF($I$455=1,$M$455+$H$455/$Z$453*$L$26,NA())</f>
        <v>0.10103277390491</v>
      </c>
      <c r="AP476" s="144" t="e">
        <f>IF($S$455=1,$N$455+$H$455/$Z$453*$M$26,NA())</f>
        <v>#N/A</v>
      </c>
      <c r="AQ476" s="144" t="e">
        <f>IF(AND($I$455=1,$C$455=1,$S$455=0),$N$455+$H$455/$Z$453*$M$26,NA())</f>
        <v>#N/A</v>
      </c>
      <c r="AR476" s="144">
        <f>IF(AND($I$455=1,$C$455=0),$N$455+$H$455/$Z$453*$M$26,NA())</f>
        <v>-0.41088088373326</v>
      </c>
      <c r="AS476" s="144">
        <f>IF($I$456=1,$M$456+$H$456/$Z$453*$L$26,NA())</f>
        <v>0.594385217691149</v>
      </c>
      <c r="AT476" s="144" t="e">
        <f>IF($S$456=1,$N$456+$H$456/$Z$453*$M$26,NA())</f>
        <v>#N/A</v>
      </c>
      <c r="AU476" s="144" t="e">
        <f>IF(AND($I$456=1,$C$456=1,$S$456=0),$N$456+$H$456/$Z$453*$M$26,NA())</f>
        <v>#N/A</v>
      </c>
      <c r="AV476" s="144">
        <f>IF(AND($I$456=1,$C$456=0),$N$456+$H$456/$Z$453*$M$26,NA())</f>
        <v>-0.716600863323501</v>
      </c>
      <c r="AW476" s="144" t="e">
        <f>IF($I$457=1,$M$457+$H$457/$Z$453*$L$26,NA())</f>
        <v>#N/A</v>
      </c>
      <c r="AX476" s="144" t="e">
        <f>IF($S$457=1,$N$457+$H$457/$Z$453*$M$26,NA())</f>
        <v>#N/A</v>
      </c>
      <c r="AY476" s="144" t="e">
        <f>IF(AND($I$457=1,$C$457=1,$S$457=0),$N$457+$H$457/$Z$453*$M$26,NA())</f>
        <v>#N/A</v>
      </c>
      <c r="AZ476" s="144" t="e">
        <f>IF(AND($I$457=1,$C$457=0),$N$457+$H$457/$Z$453*$M$26,NA())</f>
        <v>#N/A</v>
      </c>
      <c r="BA476" s="144">
        <f>IF($I$458=1,$M$458+$H$458/$Z$453*$L$26,NA())</f>
        <v>0.408363303505358</v>
      </c>
      <c r="BB476" s="144" t="e">
        <f>IF($S$458=1,$N$458+$H$458/$Z$453*$M$26,NA())</f>
        <v>#N/A</v>
      </c>
      <c r="BC476" s="144">
        <f>IF(AND($I$458=1,$C$458=1,$S$458=0),$N$458+$H$458/$Z$453*$M$26,NA())</f>
        <v>-0.0852872284190397</v>
      </c>
      <c r="BD476" s="144" t="e">
        <f>IF(AND($I$458=1,$C$458=0),$N$458+$H$458/$Z$453*$M$26,NA())</f>
        <v>#N/A</v>
      </c>
      <c r="BE476" s="144">
        <f>IF($I$459=1,$M$459+$H$459/$Z$453*$L$26,NA())</f>
        <v>0.101432954874944</v>
      </c>
      <c r="BF476" s="144" t="e">
        <f>IF($S$459=1,$N$459+$H$459/$Z$453*$M$26,NA())</f>
        <v>#N/A</v>
      </c>
      <c r="BG476" s="144" t="e">
        <f>IF(AND($I$459=1,$C$459=1,$S$459=0),$N$459+$H$459/$Z$453*$M$26,NA())</f>
        <v>#N/A</v>
      </c>
      <c r="BH476" s="144">
        <f>IF(AND($I$459=1,$C$459=0),$N$459+$H$459/$Z$453*$M$26,NA())</f>
        <v>0.0207826907574078</v>
      </c>
      <c r="BI476" s="144" t="e">
        <f>IF($I$460=1,$M$460+$H$460/$Z$453*$L$26,NA())</f>
        <v>#N/A</v>
      </c>
      <c r="BJ476" s="144" t="e">
        <f>IF($S$460=1,$N$460+$H$460/$Z$453*$M$26,NA())</f>
        <v>#N/A</v>
      </c>
      <c r="BK476" s="144" t="e">
        <f>IF(AND($I$460=1,$C$460=1,$S$460=0),$N$460+$H$460/$Z$453*$M$26,NA())</f>
        <v>#N/A</v>
      </c>
      <c r="BL476" s="144" t="e">
        <f>IF(AND($I$460=1,$C$460=0),$N$460+$H$460/$Z$453*$M$26,NA())</f>
        <v>#N/A</v>
      </c>
      <c r="BM476" s="144" t="e">
        <f>IF($I$461=1,$M$461+$H$461/$Z$453*$L$26,NA())</f>
        <v>#N/A</v>
      </c>
      <c r="BN476" s="144" t="e">
        <f>IF($S$461=1,$N$461+$H$461/$Z$453*$M$26,NA())</f>
        <v>#N/A</v>
      </c>
      <c r="BO476" s="144" t="e">
        <f>IF(AND($I$461=1,$C$461=1,$S$461=0),$N$461+$H$461/$Z$453*$M$26,NA())</f>
        <v>#N/A</v>
      </c>
      <c r="BP476" s="144" t="e">
        <f>IF(AND($I$461=1,$C$461=0),$N$461+$H$461/$Z$453*$M$26,NA())</f>
        <v>#N/A</v>
      </c>
    </row>
    <row r="477">
      <c r="AN477" s="146">
        <v>22</v>
      </c>
      <c r="AO477" s="144">
        <f>IF($I$455=1,$M$455+$H$455/$Z$453*$L$27,NA())</f>
        <v>0.163330710287352</v>
      </c>
      <c r="AP477" s="144" t="e">
        <f>IF($S$455=1,$N$455+$H$455/$Z$453*$M$27,NA())</f>
        <v>#N/A</v>
      </c>
      <c r="AQ477" s="144" t="e">
        <f>IF(AND($I$455=1,$C$455=1,$S$455=0),$N$455+$H$455/$Z$453*$M$27,NA())</f>
        <v>#N/A</v>
      </c>
      <c r="AR477" s="144">
        <f>IF(AND($I$455=1,$C$455=0),$N$455+$H$455/$Z$453*$M$27,NA())</f>
        <v>-0.329692632364015</v>
      </c>
      <c r="AS477" s="144">
        <f>IF($I$456=1,$M$456+$H$456/$Z$453*$L$27,NA())</f>
        <v>0.677380940683678</v>
      </c>
      <c r="AT477" s="144" t="e">
        <f>IF($S$456=1,$N$456+$H$456/$Z$453*$M$27,NA())</f>
        <v>#N/A</v>
      </c>
      <c r="AU477" s="144" t="e">
        <f>IF(AND($I$456=1,$C$456=1,$S$456=0),$N$456+$H$456/$Z$453*$M$27,NA())</f>
        <v>#N/A</v>
      </c>
      <c r="AV477" s="144">
        <f>IF(AND($I$456=1,$C$456=0),$N$456+$H$456/$Z$453*$M$27,NA())</f>
        <v>-0.608438731282338</v>
      </c>
      <c r="AW477" s="144" t="e">
        <f>IF($I$457=1,$M$457+$H$457/$Z$453*$L$27,NA())</f>
        <v>#N/A</v>
      </c>
      <c r="AX477" s="144" t="e">
        <f>IF($S$457=1,$N$457+$H$457/$Z$453*$M$27,NA())</f>
        <v>#N/A</v>
      </c>
      <c r="AY477" s="144" t="e">
        <f>IF(AND($I$457=1,$C$457=1,$S$457=0),$N$457+$H$457/$Z$453*$M$27,NA())</f>
        <v>#N/A</v>
      </c>
      <c r="AZ477" s="144" t="e">
        <f>IF(AND($I$457=1,$C$457=0),$N$457+$H$457/$Z$453*$M$27,NA())</f>
        <v>#N/A</v>
      </c>
      <c r="BA477" s="144">
        <f>IF($I$458=1,$M$458+$H$458/$Z$453*$L$27,NA())</f>
        <v>0.449551555318184</v>
      </c>
      <c r="BB477" s="144" t="e">
        <f>IF($S$458=1,$N$458+$H$458/$Z$453*$M$27,NA())</f>
        <v>#N/A</v>
      </c>
      <c r="BC477" s="144">
        <f>IF(AND($I$458=1,$C$458=1,$S$458=0),$N$458+$H$458/$Z$453*$M$27,NA())</f>
        <v>-0.0316096535935921</v>
      </c>
      <c r="BD477" s="144" t="e">
        <f>IF(AND($I$458=1,$C$458=0),$N$458+$H$458/$Z$453*$M$27,NA())</f>
        <v>#N/A</v>
      </c>
      <c r="BE477" s="144">
        <f>IF($I$459=1,$M$459+$H$459/$Z$453*$L$27,NA())</f>
        <v>0.180448135122814</v>
      </c>
      <c r="BF477" s="144" t="e">
        <f>IF($S$459=1,$N$459+$H$459/$Z$453*$M$27,NA())</f>
        <v>#N/A</v>
      </c>
      <c r="BG477" s="144" t="e">
        <f>IF(AND($I$459=1,$C$459=1,$S$459=0),$N$459+$H$459/$Z$453*$M$27,NA())</f>
        <v>#N/A</v>
      </c>
      <c r="BH477" s="144">
        <f>IF(AND($I$459=1,$C$459=0),$N$459+$H$459/$Z$453*$M$27,NA())</f>
        <v>0.123757278496053</v>
      </c>
      <c r="BI477" s="144" t="e">
        <f>IF($I$460=1,$M$460+$H$460/$Z$453*$L$27,NA())</f>
        <v>#N/A</v>
      </c>
      <c r="BJ477" s="144" t="e">
        <f>IF($S$460=1,$N$460+$H$460/$Z$453*$M$27,NA())</f>
        <v>#N/A</v>
      </c>
      <c r="BK477" s="144" t="e">
        <f>IF(AND($I$460=1,$C$460=1,$S$460=0),$N$460+$H$460/$Z$453*$M$27,NA())</f>
        <v>#N/A</v>
      </c>
      <c r="BL477" s="144" t="e">
        <f>IF(AND($I$460=1,$C$460=0),$N$460+$H$460/$Z$453*$M$27,NA())</f>
        <v>#N/A</v>
      </c>
      <c r="BM477" s="144" t="e">
        <f>IF($I$461=1,$M$461+$H$461/$Z$453*$L$27,NA())</f>
        <v>#N/A</v>
      </c>
      <c r="BN477" s="144" t="e">
        <f>IF($S$461=1,$N$461+$H$461/$Z$453*$M$27,NA())</f>
        <v>#N/A</v>
      </c>
      <c r="BO477" s="144" t="e">
        <f>IF(AND($I$461=1,$C$461=1,$S$461=0),$N$461+$H$461/$Z$453*$M$27,NA())</f>
        <v>#N/A</v>
      </c>
      <c r="BP477" s="144" t="e">
        <f>IF(AND($I$461=1,$C$461=0),$N$461+$H$461/$Z$453*$M$27,NA())</f>
        <v>#N/A</v>
      </c>
    </row>
    <row r="478">
      <c r="AN478" s="146">
        <v>23</v>
      </c>
      <c r="AO478" s="144">
        <f>IF($I$455=1,$M$455+$H$455/$Z$453*$L$28,NA())</f>
        <v>0.202492830270734</v>
      </c>
      <c r="AP478" s="144" t="e">
        <f>IF($S$455=1,$N$455+$H$455/$Z$453*$M$28,NA())</f>
        <v>#N/A</v>
      </c>
      <c r="AQ478" s="144" t="e">
        <f>IF(AND($I$455=1,$C$455=1,$S$455=0),$N$455+$H$455/$Z$453*$M$28,NA())</f>
        <v>#N/A</v>
      </c>
      <c r="AR478" s="144">
        <f>IF(AND($I$455=1,$C$455=0),$N$455+$H$455/$Z$453*$M$28,NA())</f>
        <v>-0.235146911168852</v>
      </c>
      <c r="AS478" s="144">
        <f>IF($I$456=1,$M$456+$H$456/$Z$453*$L$28,NA())</f>
        <v>0.729554233262548</v>
      </c>
      <c r="AT478" s="144" t="e">
        <f>IF($S$456=1,$N$456+$H$456/$Z$453*$M$28,NA())</f>
        <v>#N/A</v>
      </c>
      <c r="AU478" s="144" t="e">
        <f>IF(AND($I$456=1,$C$456=1,$S$456=0),$N$456+$H$456/$Z$453*$M$28,NA())</f>
        <v>#N/A</v>
      </c>
      <c r="AV478" s="144">
        <f>IF(AND($I$456=1,$C$456=0),$N$456+$H$456/$Z$453*$M$28,NA())</f>
        <v>-0.48248126074477</v>
      </c>
      <c r="AW478" s="144" t="e">
        <f>IF($I$457=1,$M$457+$H$457/$Z$453*$L$28,NA())</f>
        <v>#N/A</v>
      </c>
      <c r="AX478" s="144" t="e">
        <f>IF($S$457=1,$N$457+$H$457/$Z$453*$M$28,NA())</f>
        <v>#N/A</v>
      </c>
      <c r="AY478" s="144" t="e">
        <f>IF(AND($I$457=1,$C$457=1,$S$457=0),$N$457+$H$457/$Z$453*$M$28,NA())</f>
        <v>#N/A</v>
      </c>
      <c r="AZ478" s="144" t="e">
        <f>IF(AND($I$457=1,$C$457=0),$N$457+$H$457/$Z$453*$M$28,NA())</f>
        <v>#N/A</v>
      </c>
      <c r="BA478" s="144">
        <f>IF($I$458=1,$M$458+$H$458/$Z$453*$L$28,NA())</f>
        <v>0.475443572824149</v>
      </c>
      <c r="BB478" s="144" t="e">
        <f>IF($S$458=1,$N$458+$H$458/$Z$453*$M$28,NA())</f>
        <v>#N/A</v>
      </c>
      <c r="BC478" s="144">
        <f>IF(AND($I$458=1,$C$458=1,$S$458=0),$N$458+$H$458/$Z$453*$M$28,NA())</f>
        <v>0.0308992062265095</v>
      </c>
      <c r="BD478" s="144" t="e">
        <f>IF(AND($I$458=1,$C$458=0),$N$458+$H$458/$Z$453*$M$28,NA())</f>
        <v>#N/A</v>
      </c>
      <c r="BE478" s="144">
        <f>IF($I$459=1,$M$459+$H$459/$Z$453*$L$28,NA())</f>
        <v>0.230119153924776</v>
      </c>
      <c r="BF478" s="144" t="e">
        <f>IF($S$459=1,$N$459+$H$459/$Z$453*$M$28,NA())</f>
        <v>#N/A</v>
      </c>
      <c r="BG478" s="144" t="e">
        <f>IF(AND($I$459=1,$C$459=1,$S$459=0),$N$459+$H$459/$Z$453*$M$28,NA())</f>
        <v>#N/A</v>
      </c>
      <c r="BH478" s="144">
        <f>IF(AND($I$459=1,$C$459=0),$N$459+$H$459/$Z$453*$M$28,NA())</f>
        <v>0.243673725744638</v>
      </c>
      <c r="BI478" s="144" t="e">
        <f>IF($I$460=1,$M$460+$H$460/$Z$453*$L$28,NA())</f>
        <v>#N/A</v>
      </c>
      <c r="BJ478" s="144" t="e">
        <f>IF($S$460=1,$N$460+$H$460/$Z$453*$M$28,NA())</f>
        <v>#N/A</v>
      </c>
      <c r="BK478" s="144" t="e">
        <f>IF(AND($I$460=1,$C$460=1,$S$460=0),$N$460+$H$460/$Z$453*$M$28,NA())</f>
        <v>#N/A</v>
      </c>
      <c r="BL478" s="144" t="e">
        <f>IF(AND($I$460=1,$C$460=0),$N$460+$H$460/$Z$453*$M$28,NA())</f>
        <v>#N/A</v>
      </c>
      <c r="BM478" s="144" t="e">
        <f>IF($I$461=1,$M$461+$H$461/$Z$453*$L$28,NA())</f>
        <v>#N/A</v>
      </c>
      <c r="BN478" s="144" t="e">
        <f>IF($S$461=1,$N$461+$H$461/$Z$453*$M$28,NA())</f>
        <v>#N/A</v>
      </c>
      <c r="BO478" s="144" t="e">
        <f>IF(AND($I$461=1,$C$461=1,$S$461=0),$N$461+$H$461/$Z$453*$M$28,NA())</f>
        <v>#N/A</v>
      </c>
      <c r="BP478" s="144" t="e">
        <f>IF(AND($I$461=1,$C$461=0),$N$461+$H$461/$Z$453*$M$28,NA())</f>
        <v>#N/A</v>
      </c>
    </row>
    <row r="479">
      <c r="AN479" s="146">
        <v>24</v>
      </c>
      <c r="AO479" s="144">
        <f>IF($I$455=1,$M$455+$H$455/$Z$453*$L$29,NA())</f>
        <v>0.215850300096653</v>
      </c>
      <c r="AP479" s="144" t="e">
        <f>IF($S$455=1,$N$455+$H$455/$Z$453*$M$29,NA())</f>
        <v>#N/A</v>
      </c>
      <c r="AQ479" s="144" t="e">
        <f>IF(AND($I$455=1,$C$455=1,$S$455=0),$N$455+$H$455/$Z$453*$M$29,NA())</f>
        <v>#N/A</v>
      </c>
      <c r="AR479" s="144">
        <f>IF(AND($I$455=1,$C$455=0),$N$455+$H$455/$Z$453*$M$29,NA())</f>
        <v>-0.133686854803028</v>
      </c>
      <c r="AS479" s="144">
        <f>IF($I$456=1,$M$456+$H$456/$Z$453*$L$29,NA())</f>
        <v>0.747349571758953</v>
      </c>
      <c r="AT479" s="144" t="e">
        <f>IF($S$456=1,$N$456+$H$456/$Z$453*$M$29,NA())</f>
        <v>#N/A</v>
      </c>
      <c r="AU479" s="144" t="e">
        <f>IF(AND($I$456=1,$C$456=1,$S$456=0),$N$456+$H$456/$Z$453*$M$29,NA())</f>
        <v>#N/A</v>
      </c>
      <c r="AV479" s="144">
        <f>IF(AND($I$456=1,$C$456=0),$N$456+$H$456/$Z$453*$M$29,NA())</f>
        <v>-0.34731224517337</v>
      </c>
      <c r="AW479" s="144" t="e">
        <f>IF($I$457=1,$M$457+$H$457/$Z$453*$L$29,NA())</f>
        <v>#N/A</v>
      </c>
      <c r="AX479" s="144" t="e">
        <f>IF($S$457=1,$N$457+$H$457/$Z$453*$M$29,NA())</f>
        <v>#N/A</v>
      </c>
      <c r="AY479" s="144" t="e">
        <f>IF(AND($I$457=1,$C$457=1,$S$457=0),$N$457+$H$457/$Z$453*$M$29,NA())</f>
        <v>#N/A</v>
      </c>
      <c r="AZ479" s="144" t="e">
        <f>IF(AND($I$457=1,$C$457=0),$N$457+$H$457/$Z$453*$M$29,NA())</f>
        <v>#N/A</v>
      </c>
      <c r="BA479" s="144">
        <f>IF($I$458=1,$M$458+$H$458/$Z$453*$L$29,NA())</f>
        <v>0.484274857818803</v>
      </c>
      <c r="BB479" s="144" t="e">
        <f>IF($S$458=1,$N$458+$H$458/$Z$453*$M$29,NA())</f>
        <v>#N/A</v>
      </c>
      <c r="BC479" s="144">
        <f>IF(AND($I$458=1,$C$458=1,$S$458=0),$N$458+$H$458/$Z$453*$M$29,NA())</f>
        <v>0.0979794755453005</v>
      </c>
      <c r="BD479" s="144" t="e">
        <f>IF(AND($I$458=1,$C$458=0),$N$458+$H$458/$Z$453*$M$29,NA())</f>
        <v>#N/A</v>
      </c>
      <c r="BE479" s="144">
        <f>IF($I$459=1,$M$459+$H$459/$Z$453*$L$29,NA())</f>
        <v>0.247061013434715</v>
      </c>
      <c r="BF479" s="144" t="e">
        <f>IF($S$459=1,$N$459+$H$459/$Z$453*$M$29,NA())</f>
        <v>#N/A</v>
      </c>
      <c r="BG479" s="144" t="e">
        <f>IF(AND($I$459=1,$C$459=1,$S$459=0),$N$459+$H$459/$Z$453*$M$29,NA())</f>
        <v>#N/A</v>
      </c>
      <c r="BH479" s="144">
        <f>IF(AND($I$459=1,$C$459=0),$N$459+$H$459/$Z$453*$M$29,NA())</f>
        <v>0.37235992479447</v>
      </c>
      <c r="BI479" s="144" t="e">
        <f>IF($I$460=1,$M$460+$H$460/$Z$453*$L$29,NA())</f>
        <v>#N/A</v>
      </c>
      <c r="BJ479" s="144" t="e">
        <f>IF($S$460=1,$N$460+$H$460/$Z$453*$M$29,NA())</f>
        <v>#N/A</v>
      </c>
      <c r="BK479" s="144" t="e">
        <f>IF(AND($I$460=1,$C$460=1,$S$460=0),$N$460+$H$460/$Z$453*$M$29,NA())</f>
        <v>#N/A</v>
      </c>
      <c r="BL479" s="144" t="e">
        <f>IF(AND($I$460=1,$C$460=0),$N$460+$H$460/$Z$453*$M$29,NA())</f>
        <v>#N/A</v>
      </c>
      <c r="BM479" s="144" t="e">
        <f>IF($I$461=1,$M$461+$H$461/$Z$453*$L$29,NA())</f>
        <v>#N/A</v>
      </c>
      <c r="BN479" s="144" t="e">
        <f>IF($S$461=1,$N$461+$H$461/$Z$453*$M$29,NA())</f>
        <v>#N/A</v>
      </c>
      <c r="BO479" s="144" t="e">
        <f>IF(AND($I$461=1,$C$461=1,$S$461=0),$N$461+$H$461/$Z$453*$M$29,NA())</f>
        <v>#N/A</v>
      </c>
      <c r="BP479" s="144" t="e">
        <f>IF(AND($I$461=1,$C$461=0),$N$461+$H$461/$Z$453*$M$29,NA())</f>
        <v>#N/A</v>
      </c>
    </row>
    <row r="480"/>
    <row r="481">
      <c r="A481" s="59" t="inlineStr">
        <is>
          <t xml:space="preserve">Iteration 7 · diagram on “Hyperspheres (Iterations)” — centre = the selected Sᵢ; every own-class object carries its enemy sphere (radius r(Sⱼ)) around its own position</t>
        </is>
      </c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  <c r="AF481" s="59"/>
      <c r="AG481" s="59"/>
      <c r="AH481" s="59"/>
      <c r="AI481" s="59"/>
      <c r="AJ481" s="59"/>
      <c r="AK481" s="59"/>
      <c r="AL481" s="59"/>
      <c r="AM481" s="59"/>
      <c r="AN481" s="59"/>
      <c r="AO481" s="59"/>
      <c r="AP481" s="59"/>
      <c r="AQ481" s="59"/>
      <c r="AR481" s="59"/>
      <c r="AS481" s="59"/>
      <c r="AT481" s="59"/>
      <c r="AU481" s="59"/>
      <c r="AV481" s="59"/>
      <c r="AW481" s="59"/>
      <c r="AX481" s="59"/>
      <c r="AY481" s="59"/>
      <c r="AZ481" s="59"/>
      <c r="BA481" s="59"/>
      <c r="BB481" s="59"/>
      <c r="BC481" s="59"/>
      <c r="BD481" s="59"/>
      <c r="BE481" s="59"/>
      <c r="BF481" s="59"/>
      <c r="BG481" s="59"/>
      <c r="BH481" s="59"/>
      <c r="BI481" s="59"/>
      <c r="BJ481" s="59"/>
      <c r="BK481" s="59"/>
      <c r="BL481" s="59"/>
      <c r="BM481" s="59"/>
      <c r="BN481" s="59"/>
      <c r="BO481" s="59"/>
      <c r="BP481" s="59"/>
    </row>
    <row r="482">
      <c r="A482" s="63" t="inlineStr">
        <is>
          <t xml:space="preserve">Chart title</t>
        </is>
      </c>
      <c r="B482" s="145" t="str">
        <f>IF($Q$482=0,"Iteration 7  ·  queue empty → Step 6 (stop)","Iteration 7  ·  Sᵢ = "&amp;'ERDR Iterations'!$K$166&amp;"  ·  L = "&amp;'ERDR Iterations'!$K$169&amp;"  ·  "&amp;'ERDR Iterations'!$K$171)</f>
        <v>Iteration 7  ·  queue empty → Step 6 (stop)</v>
      </c>
      <c r="P482" s="63" t="inlineStr">
        <is>
          <t xml:space="preserve">Selected</t>
        </is>
      </c>
      <c r="Q482" s="146">
        <f>'ERDR Iterations'!$K$165</f>
        <v>0</v>
      </c>
      <c r="S482" s="63" t="inlineStr">
        <is>
          <t xml:space="preserve">Box centre x</t>
        </is>
      </c>
      <c r="T482" s="144">
        <f>IF($Q$482=0,0,(MIN(O484:O490)+MAX(P484:P490))/2)</f>
        <v>0</v>
      </c>
      <c r="V482" s="63" t="inlineStr">
        <is>
          <t xml:space="preserve">Box centre y</t>
        </is>
      </c>
      <c r="W482" s="144">
        <f>IF($Q$482=0,0,(MIN(Q484:Q490)+MAX(R484:R490))/2)</f>
        <v>0</v>
      </c>
      <c r="Y482" s="63" t="inlineStr">
        <is>
          <t xml:space="preserve">Half side</t>
        </is>
      </c>
      <c r="Z482" s="144">
        <f>IF($Q$482=0,1,$B$8*MAX(MAX(P484:P490)-MIN(O484:O490),MAX(R484:R490)-MIN(Q484:Q490))/2)</f>
        <v>1</v>
      </c>
    </row>
    <row r="483" ht="44" customHeight="1">
      <c r="A483" s="147" t="inlineStr">
        <is>
          <t xml:space="preserve">Sⱼ</t>
        </is>
      </c>
      <c r="B483" s="147" t="inlineStr">
        <is>
          <t xml:space="preserve">Class</t>
        </is>
      </c>
      <c r="C483" s="147" t="inlineStr">
        <is>
          <t xml:space="preserve">In F before</t>
        </is>
      </c>
      <c r="D483" s="147" t="inlineStr">
        <is>
          <t xml:space="preserve">Own class of Sᵢ</t>
        </is>
      </c>
      <c r="E483" s="147" t="inlineStr">
        <is>
          <t xml:space="preserve">Centre (= Sᵢ)</t>
        </is>
      </c>
      <c r="F483" s="147" t="inlineStr">
        <is>
          <t xml:space="preserve">Rank around Sᵢ</t>
        </is>
      </c>
      <c r="G483" s="147" t="inlineStr">
        <is>
          <t xml:space="preserve">ρ(Sⱼ, Sᵢ)</t>
        </is>
      </c>
      <c r="H483" s="147" t="inlineStr">
        <is>
          <t xml:space="preserve">r(Sⱼ)</t>
        </is>
      </c>
      <c r="I483" s="147" t="inlineStr">
        <is>
          <t xml:space="preserve">Own-class sphere drawn</t>
        </is>
      </c>
      <c r="J483" s="147" t="inlineStr">
        <is>
          <t xml:space="preserve">Angle θ</t>
        </is>
      </c>
      <c r="K483" s="147" t="inlineStr">
        <is>
          <t xml:space="preserve">px = ρ·cos θ</t>
        </is>
      </c>
      <c r="L483" s="147" t="inlineStr">
        <is>
          <t xml:space="preserve">py = ρ·sin θ</t>
        </is>
      </c>
      <c r="M483" s="147" t="inlineStr">
        <is>
          <t xml:space="preserve">x (fitted)</t>
        </is>
      </c>
      <c r="N483" s="147" t="inlineStr">
        <is>
          <t xml:space="preserve">y (fitted)</t>
        </is>
      </c>
      <c r="O483" s="147" t="inlineStr">
        <is>
          <t xml:space="preserve">Box x min</t>
        </is>
      </c>
      <c r="P483" s="147" t="inlineStr">
        <is>
          <t xml:space="preserve">Box x max</t>
        </is>
      </c>
      <c r="Q483" s="147" t="inlineStr">
        <is>
          <t xml:space="preserve">Box y min</t>
        </is>
      </c>
      <c r="R483" s="147" t="inlineStr">
        <is>
          <t xml:space="preserve">Box y max</t>
        </is>
      </c>
      <c r="S483" s="147" t="inlineStr">
        <is>
          <t xml:space="preserve">Sⱼ ∈ L</t>
        </is>
      </c>
      <c r="T483" s="147" t="inlineStr">
        <is>
          <t xml:space="preserve">g before</t>
        </is>
      </c>
      <c r="U483" s="147" t="inlineStr">
        <is>
          <t xml:space="preserve">g after</t>
        </is>
      </c>
      <c r="V483" s="147" t="inlineStr">
        <is>
          <t xml:space="preserve">Counter decreased</t>
        </is>
      </c>
      <c r="W483" s="147" t="inlineStr">
        <is>
          <t xml:space="preserve">Moves to D</t>
        </is>
      </c>
      <c r="X483" s="147" t="inlineStr">
        <is>
          <t xml:space="preserve">K1 in F · x</t>
        </is>
      </c>
      <c r="Y483" s="147" t="inlineStr">
        <is>
          <t xml:space="preserve">y</t>
        </is>
      </c>
      <c r="Z483" s="147" t="inlineStr">
        <is>
          <t xml:space="preserve">K1 in D · x</t>
        </is>
      </c>
      <c r="AA483" s="147" t="inlineStr">
        <is>
          <t xml:space="preserve">y</t>
        </is>
      </c>
      <c r="AB483" s="147" t="inlineStr">
        <is>
          <t xml:space="preserve">K2 in F · x</t>
        </is>
      </c>
      <c r="AC483" s="147" t="inlineStr">
        <is>
          <t xml:space="preserve">y</t>
        </is>
      </c>
      <c r="AD483" s="147" t="inlineStr">
        <is>
          <t xml:space="preserve">K2 in D · x</t>
        </is>
      </c>
      <c r="AE483" s="147" t="inlineStr">
        <is>
          <t xml:space="preserve">y</t>
        </is>
      </c>
      <c r="AF483" s="147" t="inlineStr">
        <is>
          <t xml:space="preserve">Centre K1 · x</t>
        </is>
      </c>
      <c r="AG483" s="147" t="inlineStr">
        <is>
          <t xml:space="preserve">y</t>
        </is>
      </c>
      <c r="AH483" s="147" t="inlineStr">
        <is>
          <t xml:space="preserve">Centre K2 · x</t>
        </is>
      </c>
      <c r="AI483" s="147" t="inlineStr">
        <is>
          <t xml:space="preserve">y</t>
        </is>
      </c>
      <c r="AJ483" s="147" t="inlineStr">
        <is>
          <t xml:space="preserve">Label text</t>
        </is>
      </c>
      <c r="AN483" s="147" t="inlineStr">
        <is>
          <t xml:space="preserve">k</t>
        </is>
      </c>
      <c r="AO483" s="147" t="inlineStr">
        <is>
          <t xml:space="preserve">S₁ sphere · x</t>
        </is>
      </c>
      <c r="AP483" s="147" t="inlineStr">
        <is>
          <t xml:space="preserve">y · in L</t>
        </is>
      </c>
      <c r="AQ483" s="147" t="inlineStr">
        <is>
          <t xml:space="preserve">y · in F, not in L</t>
        </is>
      </c>
      <c r="AR483" s="147" t="inlineStr">
        <is>
          <t xml:space="preserve">y · in D</t>
        </is>
      </c>
      <c r="AS483" s="147" t="inlineStr">
        <is>
          <t xml:space="preserve">S₂ sphere · x</t>
        </is>
      </c>
      <c r="AT483" s="147" t="inlineStr">
        <is>
          <t xml:space="preserve">y · in L</t>
        </is>
      </c>
      <c r="AU483" s="147" t="inlineStr">
        <is>
          <t xml:space="preserve">y · in F, not in L</t>
        </is>
      </c>
      <c r="AV483" s="147" t="inlineStr">
        <is>
          <t xml:space="preserve">y · in D</t>
        </is>
      </c>
      <c r="AW483" s="147" t="inlineStr">
        <is>
          <t xml:space="preserve">S₃ sphere · x</t>
        </is>
      </c>
      <c r="AX483" s="147" t="inlineStr">
        <is>
          <t xml:space="preserve">y · in L</t>
        </is>
      </c>
      <c r="AY483" s="147" t="inlineStr">
        <is>
          <t xml:space="preserve">y · in F, not in L</t>
        </is>
      </c>
      <c r="AZ483" s="147" t="inlineStr">
        <is>
          <t xml:space="preserve">y · in D</t>
        </is>
      </c>
      <c r="BA483" s="147" t="inlineStr">
        <is>
          <t xml:space="preserve">S₄ sphere · x</t>
        </is>
      </c>
      <c r="BB483" s="147" t="inlineStr">
        <is>
          <t xml:space="preserve">y · in L</t>
        </is>
      </c>
      <c r="BC483" s="147" t="inlineStr">
        <is>
          <t xml:space="preserve">y · in F, not in L</t>
        </is>
      </c>
      <c r="BD483" s="147" t="inlineStr">
        <is>
          <t xml:space="preserve">y · in D</t>
        </is>
      </c>
      <c r="BE483" s="147" t="inlineStr">
        <is>
          <t xml:space="preserve">S₅ sphere · x</t>
        </is>
      </c>
      <c r="BF483" s="147" t="inlineStr">
        <is>
          <t xml:space="preserve">y · in L</t>
        </is>
      </c>
      <c r="BG483" s="147" t="inlineStr">
        <is>
          <t xml:space="preserve">y · in F, not in L</t>
        </is>
      </c>
      <c r="BH483" s="147" t="inlineStr">
        <is>
          <t xml:space="preserve">y · in D</t>
        </is>
      </c>
      <c r="BI483" s="147" t="inlineStr">
        <is>
          <t xml:space="preserve">S₆ sphere · x</t>
        </is>
      </c>
      <c r="BJ483" s="147" t="inlineStr">
        <is>
          <t xml:space="preserve">y · in L</t>
        </is>
      </c>
      <c r="BK483" s="147" t="inlineStr">
        <is>
          <t xml:space="preserve">y · in F, not in L</t>
        </is>
      </c>
      <c r="BL483" s="147" t="inlineStr">
        <is>
          <t xml:space="preserve">y · in D</t>
        </is>
      </c>
      <c r="BM483" s="147" t="inlineStr">
        <is>
          <t xml:space="preserve">S₇ sphere · x</t>
        </is>
      </c>
      <c r="BN483" s="147" t="inlineStr">
        <is>
          <t xml:space="preserve">y · in L</t>
        </is>
      </c>
      <c r="BO483" s="147" t="inlineStr">
        <is>
          <t xml:space="preserve">y · in F, not in L</t>
        </is>
      </c>
      <c r="BP483" s="147" t="inlineStr">
        <is>
          <t xml:space="preserve">y · in D</t>
        </is>
      </c>
    </row>
    <row r="484">
      <c r="A484" s="62" t="inlineStr">
        <is>
          <t xml:space="preserve">S₁</t>
        </is>
      </c>
      <c r="B484" s="68">
        <f>'ERDR Iterations'!B$163</f>
        <v>2</v>
      </c>
      <c r="C484" s="146">
        <f>'ERDR Iterations'!B$164</f>
        <v>0</v>
      </c>
      <c r="D484" s="146">
        <f>'ERDR Iterations'!B$170</f>
        <v>0</v>
      </c>
      <c r="E484" s="146">
        <f>IF($Q$482=1,1,0)</f>
        <v>0</v>
      </c>
      <c r="F484" s="146">
        <f>IF(OR($Q$482=0,E484=1),0,INDEX('Sorted Neighbors'!$B$5:$H$11,$Q$482,1))</f>
        <v>0</v>
      </c>
      <c r="G484" s="144">
        <f>IF($Q$482=0,0,INDEX('Zhuravlev Distances'!$B$5:$H$11,$Q$482,1))</f>
        <v>0</v>
      </c>
      <c r="H484" s="144">
        <f>'ERDR Characteristics'!$D$5</f>
        <v>5.60708061</v>
      </c>
      <c r="I484" s="146">
        <f>D484</f>
        <v>0</v>
      </c>
      <c r="J484" s="144">
        <f>IF(F484=0,0,PI()/2-(F484-1)*$B$6)</f>
        <v>0</v>
      </c>
      <c r="K484" s="144">
        <f>G484*COS(J484)</f>
        <v>0</v>
      </c>
      <c r="L484" s="144">
        <f>G484*SIN(J484)</f>
        <v>0</v>
      </c>
      <c r="M484" s="144" t="e">
        <f>IF($Q$482=0,NA(),(K484-$T$482)/$Z$482)</f>
        <v>#N/A</v>
      </c>
      <c r="N484" s="144" t="e">
        <f>IF($Q$482=0,NA(),(L484-$W$482)/$Z$482)</f>
        <v>#N/A</v>
      </c>
      <c r="O484" s="144">
        <f>K484-I484*H484</f>
        <v>0</v>
      </c>
      <c r="P484" s="144">
        <f>K484+I484*H484</f>
        <v>0</v>
      </c>
      <c r="Q484" s="144">
        <f>L484-I484*H484</f>
        <v>0</v>
      </c>
      <c r="R484" s="144">
        <f>L484+I484*H484</f>
        <v>0</v>
      </c>
      <c r="S484" s="146">
        <f>'ERDR Iterations'!B$176</f>
        <v>0</v>
      </c>
      <c r="T484" s="146">
        <f>'ERDR Iterations'!B$166</f>
        <v>1</v>
      </c>
      <c r="U484" s="146">
        <f>'ERDR Iterations'!B$179</f>
        <v>1</v>
      </c>
      <c r="V484" s="146">
        <f>'ERDR Iterations'!B$178</f>
        <v>0</v>
      </c>
      <c r="W484" s="146">
        <f>'ERDR Iterations'!B$181</f>
        <v>0</v>
      </c>
      <c r="X484" s="144" t="e">
        <f>IF(AND($Q$482&gt;0,E484=0,B484=1,C484=1),M484,NA())</f>
        <v>#N/A</v>
      </c>
      <c r="Y484" s="144" t="e">
        <f>IF(AND($Q$482&gt;0,E484=0,B484=1,C484=1),N484,NA())</f>
        <v>#N/A</v>
      </c>
      <c r="Z484" s="144" t="e">
        <f>IF(AND($Q$482&gt;0,E484=0,B484=1,C484=0),M484,NA())</f>
        <v>#N/A</v>
      </c>
      <c r="AA484" s="144" t="e">
        <f>IF(AND($Q$482&gt;0,E484=0,B484=1,C484=0),N484,NA())</f>
        <v>#N/A</v>
      </c>
      <c r="AB484" s="144" t="e">
        <f>IF(AND($Q$482&gt;0,E484=0,B484=2,C484=1),M484,NA())</f>
        <v>#N/A</v>
      </c>
      <c r="AC484" s="144" t="e">
        <f>IF(AND($Q$482&gt;0,E484=0,B484=2,C484=1),N484,NA())</f>
        <v>#N/A</v>
      </c>
      <c r="AD484" s="144" t="e">
        <f>IF(AND($Q$482&gt;0,E484=0,B484=2,C484=0),M484,NA())</f>
        <v>#N/A</v>
      </c>
      <c r="AE484" s="144" t="e">
        <f>IF(AND($Q$482&gt;0,E484=0,B484=2,C484=0),N484,NA())</f>
        <v>#N/A</v>
      </c>
      <c r="AF484" s="144" t="e">
        <f>IF(AND(E484=1,B484=1),M484,NA())</f>
        <v>#N/A</v>
      </c>
      <c r="AG484" s="144" t="e">
        <f>IF(AND(E484=1,B484=1),N484,NA())</f>
        <v>#N/A</v>
      </c>
      <c r="AH484" s="144" t="e">
        <f>IF(AND(E484=1,B484=2),M484,NA())</f>
        <v>#N/A</v>
      </c>
      <c r="AI484" s="144" t="e">
        <f>IF(AND(E484=1,B484=2),N484,NA())</f>
        <v>#N/A</v>
      </c>
      <c r="AJ484" s="145" t="str">
        <f>A484&amp;IF(E484=1," = Sᵢ",IF(C484=0," (in D)",""))&amp;IF(V484=1,"  ·  g "&amp;T484&amp;"→"&amp;U484,"")&amp;IF(W484=1,"  → D","")</f>
        <v>S₁ (in D)</v>
      </c>
      <c r="AN484" s="146">
        <v>0</v>
      </c>
      <c r="AO484" s="144" t="e">
        <f>IF($I$484=1,$M$484+$H$484/$Z$482*$L$5,NA())</f>
        <v>#N/A</v>
      </c>
      <c r="AP484" s="144" t="e">
        <f>IF($S$484=1,$N$484+$H$484/$Z$482*$M$5,NA())</f>
        <v>#N/A</v>
      </c>
      <c r="AQ484" s="144" t="e">
        <f>IF(AND($I$484=1,$C$484=1,$S$484=0),$N$484+$H$484/$Z$482*$M$5,NA())</f>
        <v>#N/A</v>
      </c>
      <c r="AR484" s="144" t="e">
        <f>IF(AND($I$484=1,$C$484=0),$N$484+$H$484/$Z$482*$M$5,NA())</f>
        <v>#N/A</v>
      </c>
      <c r="AS484" s="144" t="e">
        <f>IF($I$485=1,$M$485+$H$485/$Z$482*$L$5,NA())</f>
        <v>#N/A</v>
      </c>
      <c r="AT484" s="144" t="e">
        <f>IF($S$485=1,$N$485+$H$485/$Z$482*$M$5,NA())</f>
        <v>#N/A</v>
      </c>
      <c r="AU484" s="144" t="e">
        <f>IF(AND($I$485=1,$C$485=1,$S$485=0),$N$485+$H$485/$Z$482*$M$5,NA())</f>
        <v>#N/A</v>
      </c>
      <c r="AV484" s="144" t="e">
        <f>IF(AND($I$485=1,$C$485=0),$N$485+$H$485/$Z$482*$M$5,NA())</f>
        <v>#N/A</v>
      </c>
      <c r="AW484" s="144" t="e">
        <f>IF($I$486=1,$M$486+$H$486/$Z$482*$L$5,NA())</f>
        <v>#N/A</v>
      </c>
      <c r="AX484" s="144" t="e">
        <f>IF($S$486=1,$N$486+$H$486/$Z$482*$M$5,NA())</f>
        <v>#N/A</v>
      </c>
      <c r="AY484" s="144" t="e">
        <f>IF(AND($I$486=1,$C$486=1,$S$486=0),$N$486+$H$486/$Z$482*$M$5,NA())</f>
        <v>#N/A</v>
      </c>
      <c r="AZ484" s="144" t="e">
        <f>IF(AND($I$486=1,$C$486=0),$N$486+$H$486/$Z$482*$M$5,NA())</f>
        <v>#N/A</v>
      </c>
      <c r="BA484" s="144" t="e">
        <f>IF($I$487=1,$M$487+$H$487/$Z$482*$L$5,NA())</f>
        <v>#N/A</v>
      </c>
      <c r="BB484" s="144" t="e">
        <f>IF($S$487=1,$N$487+$H$487/$Z$482*$M$5,NA())</f>
        <v>#N/A</v>
      </c>
      <c r="BC484" s="144" t="e">
        <f>IF(AND($I$487=1,$C$487=1,$S$487=0),$N$487+$H$487/$Z$482*$M$5,NA())</f>
        <v>#N/A</v>
      </c>
      <c r="BD484" s="144" t="e">
        <f>IF(AND($I$487=1,$C$487=0),$N$487+$H$487/$Z$482*$M$5,NA())</f>
        <v>#N/A</v>
      </c>
      <c r="BE484" s="144" t="e">
        <f>IF($I$488=1,$M$488+$H$488/$Z$482*$L$5,NA())</f>
        <v>#N/A</v>
      </c>
      <c r="BF484" s="144" t="e">
        <f>IF($S$488=1,$N$488+$H$488/$Z$482*$M$5,NA())</f>
        <v>#N/A</v>
      </c>
      <c r="BG484" s="144" t="e">
        <f>IF(AND($I$488=1,$C$488=1,$S$488=0),$N$488+$H$488/$Z$482*$M$5,NA())</f>
        <v>#N/A</v>
      </c>
      <c r="BH484" s="144" t="e">
        <f>IF(AND($I$488=1,$C$488=0),$N$488+$H$488/$Z$482*$M$5,NA())</f>
        <v>#N/A</v>
      </c>
      <c r="BI484" s="144" t="e">
        <f>IF($I$489=1,$M$489+$H$489/$Z$482*$L$5,NA())</f>
        <v>#N/A</v>
      </c>
      <c r="BJ484" s="144" t="e">
        <f>IF($S$489=1,$N$489+$H$489/$Z$482*$M$5,NA())</f>
        <v>#N/A</v>
      </c>
      <c r="BK484" s="144" t="e">
        <f>IF(AND($I$489=1,$C$489=1,$S$489=0),$N$489+$H$489/$Z$482*$M$5,NA())</f>
        <v>#N/A</v>
      </c>
      <c r="BL484" s="144" t="e">
        <f>IF(AND($I$489=1,$C$489=0),$N$489+$H$489/$Z$482*$M$5,NA())</f>
        <v>#N/A</v>
      </c>
      <c r="BM484" s="144" t="e">
        <f>IF($I$490=1,$M$490+$H$490/$Z$482*$L$5,NA())</f>
        <v>#N/A</v>
      </c>
      <c r="BN484" s="144" t="e">
        <f>IF($S$490=1,$N$490+$H$490/$Z$482*$M$5,NA())</f>
        <v>#N/A</v>
      </c>
      <c r="BO484" s="144" t="e">
        <f>IF(AND($I$490=1,$C$490=1,$S$490=0),$N$490+$H$490/$Z$482*$M$5,NA())</f>
        <v>#N/A</v>
      </c>
      <c r="BP484" s="144" t="e">
        <f>IF(AND($I$490=1,$C$490=0),$N$490+$H$490/$Z$482*$M$5,NA())</f>
        <v>#N/A</v>
      </c>
    </row>
    <row r="485">
      <c r="A485" s="62" t="inlineStr">
        <is>
          <t xml:space="preserve">S₂</t>
        </is>
      </c>
      <c r="B485" s="68">
        <f>'ERDR Iterations'!C$163</f>
        <v>2</v>
      </c>
      <c r="C485" s="146">
        <f>'ERDR Iterations'!C$164</f>
        <v>0</v>
      </c>
      <c r="D485" s="146">
        <f>'ERDR Iterations'!C$170</f>
        <v>0</v>
      </c>
      <c r="E485" s="146">
        <f>IF($Q$482=2,1,0)</f>
        <v>0</v>
      </c>
      <c r="F485" s="146">
        <f>IF(OR($Q$482=0,E485=1),0,INDEX('Sorted Neighbors'!$B$5:$H$11,$Q$482,2))</f>
        <v>0</v>
      </c>
      <c r="G485" s="144">
        <f>IF($Q$482=0,0,INDEX('Zhuravlev Distances'!$B$5:$H$11,$Q$482,2))</f>
        <v>0</v>
      </c>
      <c r="H485" s="144">
        <f>'ERDR Characteristics'!$D$6</f>
        <v>7.4699698919</v>
      </c>
      <c r="I485" s="146">
        <f>D485</f>
        <v>0</v>
      </c>
      <c r="J485" s="144">
        <f>IF(F485=0,0,PI()/2-(F485-1)*$B$6)</f>
        <v>0</v>
      </c>
      <c r="K485" s="144">
        <f>G485*COS(J485)</f>
        <v>0</v>
      </c>
      <c r="L485" s="144">
        <f>G485*SIN(J485)</f>
        <v>0</v>
      </c>
      <c r="M485" s="144" t="e">
        <f>IF($Q$482=0,NA(),(K485-$T$482)/$Z$482)</f>
        <v>#N/A</v>
      </c>
      <c r="N485" s="144" t="e">
        <f>IF($Q$482=0,NA(),(L485-$W$482)/$Z$482)</f>
        <v>#N/A</v>
      </c>
      <c r="O485" s="144">
        <f>K485-I485*H485</f>
        <v>0</v>
      </c>
      <c r="P485" s="144">
        <f>K485+I485*H485</f>
        <v>0</v>
      </c>
      <c r="Q485" s="144">
        <f>L485-I485*H485</f>
        <v>0</v>
      </c>
      <c r="R485" s="144">
        <f>L485+I485*H485</f>
        <v>0</v>
      </c>
      <c r="S485" s="146">
        <f>'ERDR Iterations'!C$176</f>
        <v>0</v>
      </c>
      <c r="T485" s="146">
        <f>'ERDR Iterations'!C$166</f>
        <v>2</v>
      </c>
      <c r="U485" s="146">
        <f>'ERDR Iterations'!C$179</f>
        <v>2</v>
      </c>
      <c r="V485" s="146">
        <f>'ERDR Iterations'!C$178</f>
        <v>0</v>
      </c>
      <c r="W485" s="146">
        <f>'ERDR Iterations'!C$181</f>
        <v>0</v>
      </c>
      <c r="X485" s="144" t="e">
        <f>IF(AND($Q$482&gt;0,E485=0,B485=1,C485=1),M485,NA())</f>
        <v>#N/A</v>
      </c>
      <c r="Y485" s="144" t="e">
        <f>IF(AND($Q$482&gt;0,E485=0,B485=1,C485=1),N485,NA())</f>
        <v>#N/A</v>
      </c>
      <c r="Z485" s="144" t="e">
        <f>IF(AND($Q$482&gt;0,E485=0,B485=1,C485=0),M485,NA())</f>
        <v>#N/A</v>
      </c>
      <c r="AA485" s="144" t="e">
        <f>IF(AND($Q$482&gt;0,E485=0,B485=1,C485=0),N485,NA())</f>
        <v>#N/A</v>
      </c>
      <c r="AB485" s="144" t="e">
        <f>IF(AND($Q$482&gt;0,E485=0,B485=2,C485=1),M485,NA())</f>
        <v>#N/A</v>
      </c>
      <c r="AC485" s="144" t="e">
        <f>IF(AND($Q$482&gt;0,E485=0,B485=2,C485=1),N485,NA())</f>
        <v>#N/A</v>
      </c>
      <c r="AD485" s="144" t="e">
        <f>IF(AND($Q$482&gt;0,E485=0,B485=2,C485=0),M485,NA())</f>
        <v>#N/A</v>
      </c>
      <c r="AE485" s="144" t="e">
        <f>IF(AND($Q$482&gt;0,E485=0,B485=2,C485=0),N485,NA())</f>
        <v>#N/A</v>
      </c>
      <c r="AF485" s="144" t="e">
        <f>IF(AND(E485=1,B485=1),M485,NA())</f>
        <v>#N/A</v>
      </c>
      <c r="AG485" s="144" t="e">
        <f>IF(AND(E485=1,B485=1),N485,NA())</f>
        <v>#N/A</v>
      </c>
      <c r="AH485" s="144" t="e">
        <f>IF(AND(E485=1,B485=2),M485,NA())</f>
        <v>#N/A</v>
      </c>
      <c r="AI485" s="144" t="e">
        <f>IF(AND(E485=1,B485=2),N485,NA())</f>
        <v>#N/A</v>
      </c>
      <c r="AJ485" s="145" t="str">
        <f>A485&amp;IF(E485=1," = Sᵢ",IF(C485=0," (in D)",""))&amp;IF(V485=1,"  ·  g "&amp;T485&amp;"→"&amp;U485,"")&amp;IF(W485=1,"  → D","")</f>
        <v>S₂ (in D)</v>
      </c>
      <c r="AN485" s="146">
        <v>1</v>
      </c>
      <c r="AO485" s="144" t="e">
        <f>IF($I$484=1,$M$484+$H$484/$Z$482*$L$6,NA())</f>
        <v>#N/A</v>
      </c>
      <c r="AP485" s="144" t="e">
        <f>IF($S$484=1,$N$484+$H$484/$Z$482*$M$6,NA())</f>
        <v>#N/A</v>
      </c>
      <c r="AQ485" s="144" t="e">
        <f>IF(AND($I$484=1,$C$484=1,$S$484=0),$N$484+$H$484/$Z$482*$M$6,NA())</f>
        <v>#N/A</v>
      </c>
      <c r="AR485" s="144" t="e">
        <f>IF(AND($I$484=1,$C$484=0),$N$484+$H$484/$Z$482*$M$6,NA())</f>
        <v>#N/A</v>
      </c>
      <c r="AS485" s="144" t="e">
        <f>IF($I$485=1,$M$485+$H$485/$Z$482*$L$6,NA())</f>
        <v>#N/A</v>
      </c>
      <c r="AT485" s="144" t="e">
        <f>IF($S$485=1,$N$485+$H$485/$Z$482*$M$6,NA())</f>
        <v>#N/A</v>
      </c>
      <c r="AU485" s="144" t="e">
        <f>IF(AND($I$485=1,$C$485=1,$S$485=0),$N$485+$H$485/$Z$482*$M$6,NA())</f>
        <v>#N/A</v>
      </c>
      <c r="AV485" s="144" t="e">
        <f>IF(AND($I$485=1,$C$485=0),$N$485+$H$485/$Z$482*$M$6,NA())</f>
        <v>#N/A</v>
      </c>
      <c r="AW485" s="144" t="e">
        <f>IF($I$486=1,$M$486+$H$486/$Z$482*$L$6,NA())</f>
        <v>#N/A</v>
      </c>
      <c r="AX485" s="144" t="e">
        <f>IF($S$486=1,$N$486+$H$486/$Z$482*$M$6,NA())</f>
        <v>#N/A</v>
      </c>
      <c r="AY485" s="144" t="e">
        <f>IF(AND($I$486=1,$C$486=1,$S$486=0),$N$486+$H$486/$Z$482*$M$6,NA())</f>
        <v>#N/A</v>
      </c>
      <c r="AZ485" s="144" t="e">
        <f>IF(AND($I$486=1,$C$486=0),$N$486+$H$486/$Z$482*$M$6,NA())</f>
        <v>#N/A</v>
      </c>
      <c r="BA485" s="144" t="e">
        <f>IF($I$487=1,$M$487+$H$487/$Z$482*$L$6,NA())</f>
        <v>#N/A</v>
      </c>
      <c r="BB485" s="144" t="e">
        <f>IF($S$487=1,$N$487+$H$487/$Z$482*$M$6,NA())</f>
        <v>#N/A</v>
      </c>
      <c r="BC485" s="144" t="e">
        <f>IF(AND($I$487=1,$C$487=1,$S$487=0),$N$487+$H$487/$Z$482*$M$6,NA())</f>
        <v>#N/A</v>
      </c>
      <c r="BD485" s="144" t="e">
        <f>IF(AND($I$487=1,$C$487=0),$N$487+$H$487/$Z$482*$M$6,NA())</f>
        <v>#N/A</v>
      </c>
      <c r="BE485" s="144" t="e">
        <f>IF($I$488=1,$M$488+$H$488/$Z$482*$L$6,NA())</f>
        <v>#N/A</v>
      </c>
      <c r="BF485" s="144" t="e">
        <f>IF($S$488=1,$N$488+$H$488/$Z$482*$M$6,NA())</f>
        <v>#N/A</v>
      </c>
      <c r="BG485" s="144" t="e">
        <f>IF(AND($I$488=1,$C$488=1,$S$488=0),$N$488+$H$488/$Z$482*$M$6,NA())</f>
        <v>#N/A</v>
      </c>
      <c r="BH485" s="144" t="e">
        <f>IF(AND($I$488=1,$C$488=0),$N$488+$H$488/$Z$482*$M$6,NA())</f>
        <v>#N/A</v>
      </c>
      <c r="BI485" s="144" t="e">
        <f>IF($I$489=1,$M$489+$H$489/$Z$482*$L$6,NA())</f>
        <v>#N/A</v>
      </c>
      <c r="BJ485" s="144" t="e">
        <f>IF($S$489=1,$N$489+$H$489/$Z$482*$M$6,NA())</f>
        <v>#N/A</v>
      </c>
      <c r="BK485" s="144" t="e">
        <f>IF(AND($I$489=1,$C$489=1,$S$489=0),$N$489+$H$489/$Z$482*$M$6,NA())</f>
        <v>#N/A</v>
      </c>
      <c r="BL485" s="144" t="e">
        <f>IF(AND($I$489=1,$C$489=0),$N$489+$H$489/$Z$482*$M$6,NA())</f>
        <v>#N/A</v>
      </c>
      <c r="BM485" s="144" t="e">
        <f>IF($I$490=1,$M$490+$H$490/$Z$482*$L$6,NA())</f>
        <v>#N/A</v>
      </c>
      <c r="BN485" s="144" t="e">
        <f>IF($S$490=1,$N$490+$H$490/$Z$482*$M$6,NA())</f>
        <v>#N/A</v>
      </c>
      <c r="BO485" s="144" t="e">
        <f>IF(AND($I$490=1,$C$490=1,$S$490=0),$N$490+$H$490/$Z$482*$M$6,NA())</f>
        <v>#N/A</v>
      </c>
      <c r="BP485" s="144" t="e">
        <f>IF(AND($I$490=1,$C$490=0),$N$490+$H$490/$Z$482*$M$6,NA())</f>
        <v>#N/A</v>
      </c>
    </row>
    <row r="486">
      <c r="A486" s="62" t="inlineStr">
        <is>
          <t xml:space="preserve">S₃</t>
        </is>
      </c>
      <c r="B486" s="68">
        <f>'ERDR Iterations'!D$163</f>
        <v>1</v>
      </c>
      <c r="C486" s="146">
        <f>'ERDR Iterations'!D$164</f>
        <v>1</v>
      </c>
      <c r="D486" s="146">
        <f>'ERDR Iterations'!D$170</f>
        <v>0</v>
      </c>
      <c r="E486" s="146">
        <f>IF($Q$482=3,1,0)</f>
        <v>0</v>
      </c>
      <c r="F486" s="146">
        <f>IF(OR($Q$482=0,E486=1),0,INDEX('Sorted Neighbors'!$B$5:$H$11,$Q$482,3))</f>
        <v>0</v>
      </c>
      <c r="G486" s="144">
        <f>IF($Q$482=0,0,INDEX('Zhuravlev Distances'!$B$5:$H$11,$Q$482,3))</f>
        <v>0</v>
      </c>
      <c r="H486" s="144">
        <f>'ERDR Characteristics'!$D$7</f>
        <v>5.60708061</v>
      </c>
      <c r="I486" s="146">
        <f>D486</f>
        <v>0</v>
      </c>
      <c r="J486" s="144">
        <f>IF(F486=0,0,PI()/2-(F486-1)*$B$6)</f>
        <v>0</v>
      </c>
      <c r="K486" s="144">
        <f>G486*COS(J486)</f>
        <v>0</v>
      </c>
      <c r="L486" s="144">
        <f>G486*SIN(J486)</f>
        <v>0</v>
      </c>
      <c r="M486" s="144" t="e">
        <f>IF($Q$482=0,NA(),(K486-$T$482)/$Z$482)</f>
        <v>#N/A</v>
      </c>
      <c r="N486" s="144" t="e">
        <f>IF($Q$482=0,NA(),(L486-$W$482)/$Z$482)</f>
        <v>#N/A</v>
      </c>
      <c r="O486" s="144">
        <f>K486-I486*H486</f>
        <v>0</v>
      </c>
      <c r="P486" s="144">
        <f>K486+I486*H486</f>
        <v>0</v>
      </c>
      <c r="Q486" s="144">
        <f>L486-I486*H486</f>
        <v>0</v>
      </c>
      <c r="R486" s="144">
        <f>L486+I486*H486</f>
        <v>0</v>
      </c>
      <c r="S486" s="146">
        <f>'ERDR Iterations'!D$176</f>
        <v>0</v>
      </c>
      <c r="T486" s="146">
        <f>'ERDR Iterations'!D$166</f>
        <v>2</v>
      </c>
      <c r="U486" s="146">
        <f>'ERDR Iterations'!D$179</f>
        <v>2</v>
      </c>
      <c r="V486" s="146">
        <f>'ERDR Iterations'!D$178</f>
        <v>0</v>
      </c>
      <c r="W486" s="146">
        <f>'ERDR Iterations'!D$181</f>
        <v>0</v>
      </c>
      <c r="X486" s="144" t="e">
        <f>IF(AND($Q$482&gt;0,E486=0,B486=1,C486=1),M486,NA())</f>
        <v>#N/A</v>
      </c>
      <c r="Y486" s="144" t="e">
        <f>IF(AND($Q$482&gt;0,E486=0,B486=1,C486=1),N486,NA())</f>
        <v>#N/A</v>
      </c>
      <c r="Z486" s="144" t="e">
        <f>IF(AND($Q$482&gt;0,E486=0,B486=1,C486=0),M486,NA())</f>
        <v>#N/A</v>
      </c>
      <c r="AA486" s="144" t="e">
        <f>IF(AND($Q$482&gt;0,E486=0,B486=1,C486=0),N486,NA())</f>
        <v>#N/A</v>
      </c>
      <c r="AB486" s="144" t="e">
        <f>IF(AND($Q$482&gt;0,E486=0,B486=2,C486=1),M486,NA())</f>
        <v>#N/A</v>
      </c>
      <c r="AC486" s="144" t="e">
        <f>IF(AND($Q$482&gt;0,E486=0,B486=2,C486=1),N486,NA())</f>
        <v>#N/A</v>
      </c>
      <c r="AD486" s="144" t="e">
        <f>IF(AND($Q$482&gt;0,E486=0,B486=2,C486=0),M486,NA())</f>
        <v>#N/A</v>
      </c>
      <c r="AE486" s="144" t="e">
        <f>IF(AND($Q$482&gt;0,E486=0,B486=2,C486=0),N486,NA())</f>
        <v>#N/A</v>
      </c>
      <c r="AF486" s="144" t="e">
        <f>IF(AND(E486=1,B486=1),M486,NA())</f>
        <v>#N/A</v>
      </c>
      <c r="AG486" s="144" t="e">
        <f>IF(AND(E486=1,B486=1),N486,NA())</f>
        <v>#N/A</v>
      </c>
      <c r="AH486" s="144" t="e">
        <f>IF(AND(E486=1,B486=2),M486,NA())</f>
        <v>#N/A</v>
      </c>
      <c r="AI486" s="144" t="e">
        <f>IF(AND(E486=1,B486=2),N486,NA())</f>
        <v>#N/A</v>
      </c>
      <c r="AJ486" s="145" t="str">
        <f>A486&amp;IF(E486=1," = Sᵢ",IF(C486=0," (in D)",""))&amp;IF(V486=1,"  ·  g "&amp;T486&amp;"→"&amp;U486,"")&amp;IF(W486=1,"  → D","")</f>
        <v>S₃</v>
      </c>
      <c r="AN486" s="146">
        <v>2</v>
      </c>
      <c r="AO486" s="144" t="e">
        <f>IF($I$484=1,$M$484+$H$484/$Z$482*$L$7,NA())</f>
        <v>#N/A</v>
      </c>
      <c r="AP486" s="144" t="e">
        <f>IF($S$484=1,$N$484+$H$484/$Z$482*$M$7,NA())</f>
        <v>#N/A</v>
      </c>
      <c r="AQ486" s="144" t="e">
        <f>IF(AND($I$484=1,$C$484=1,$S$484=0),$N$484+$H$484/$Z$482*$M$7,NA())</f>
        <v>#N/A</v>
      </c>
      <c r="AR486" s="144" t="e">
        <f>IF(AND($I$484=1,$C$484=0),$N$484+$H$484/$Z$482*$M$7,NA())</f>
        <v>#N/A</v>
      </c>
      <c r="AS486" s="144" t="e">
        <f>IF($I$485=1,$M$485+$H$485/$Z$482*$L$7,NA())</f>
        <v>#N/A</v>
      </c>
      <c r="AT486" s="144" t="e">
        <f>IF($S$485=1,$N$485+$H$485/$Z$482*$M$7,NA())</f>
        <v>#N/A</v>
      </c>
      <c r="AU486" s="144" t="e">
        <f>IF(AND($I$485=1,$C$485=1,$S$485=0),$N$485+$H$485/$Z$482*$M$7,NA())</f>
        <v>#N/A</v>
      </c>
      <c r="AV486" s="144" t="e">
        <f>IF(AND($I$485=1,$C$485=0),$N$485+$H$485/$Z$482*$M$7,NA())</f>
        <v>#N/A</v>
      </c>
      <c r="AW486" s="144" t="e">
        <f>IF($I$486=1,$M$486+$H$486/$Z$482*$L$7,NA())</f>
        <v>#N/A</v>
      </c>
      <c r="AX486" s="144" t="e">
        <f>IF($S$486=1,$N$486+$H$486/$Z$482*$M$7,NA())</f>
        <v>#N/A</v>
      </c>
      <c r="AY486" s="144" t="e">
        <f>IF(AND($I$486=1,$C$486=1,$S$486=0),$N$486+$H$486/$Z$482*$M$7,NA())</f>
        <v>#N/A</v>
      </c>
      <c r="AZ486" s="144" t="e">
        <f>IF(AND($I$486=1,$C$486=0),$N$486+$H$486/$Z$482*$M$7,NA())</f>
        <v>#N/A</v>
      </c>
      <c r="BA486" s="144" t="e">
        <f>IF($I$487=1,$M$487+$H$487/$Z$482*$L$7,NA())</f>
        <v>#N/A</v>
      </c>
      <c r="BB486" s="144" t="e">
        <f>IF($S$487=1,$N$487+$H$487/$Z$482*$M$7,NA())</f>
        <v>#N/A</v>
      </c>
      <c r="BC486" s="144" t="e">
        <f>IF(AND($I$487=1,$C$487=1,$S$487=0),$N$487+$H$487/$Z$482*$M$7,NA())</f>
        <v>#N/A</v>
      </c>
      <c r="BD486" s="144" t="e">
        <f>IF(AND($I$487=1,$C$487=0),$N$487+$H$487/$Z$482*$M$7,NA())</f>
        <v>#N/A</v>
      </c>
      <c r="BE486" s="144" t="e">
        <f>IF($I$488=1,$M$488+$H$488/$Z$482*$L$7,NA())</f>
        <v>#N/A</v>
      </c>
      <c r="BF486" s="144" t="e">
        <f>IF($S$488=1,$N$488+$H$488/$Z$482*$M$7,NA())</f>
        <v>#N/A</v>
      </c>
      <c r="BG486" s="144" t="e">
        <f>IF(AND($I$488=1,$C$488=1,$S$488=0),$N$488+$H$488/$Z$482*$M$7,NA())</f>
        <v>#N/A</v>
      </c>
      <c r="BH486" s="144" t="e">
        <f>IF(AND($I$488=1,$C$488=0),$N$488+$H$488/$Z$482*$M$7,NA())</f>
        <v>#N/A</v>
      </c>
      <c r="BI486" s="144" t="e">
        <f>IF($I$489=1,$M$489+$H$489/$Z$482*$L$7,NA())</f>
        <v>#N/A</v>
      </c>
      <c r="BJ486" s="144" t="e">
        <f>IF($S$489=1,$N$489+$H$489/$Z$482*$M$7,NA())</f>
        <v>#N/A</v>
      </c>
      <c r="BK486" s="144" t="e">
        <f>IF(AND($I$489=1,$C$489=1,$S$489=0),$N$489+$H$489/$Z$482*$M$7,NA())</f>
        <v>#N/A</v>
      </c>
      <c r="BL486" s="144" t="e">
        <f>IF(AND($I$489=1,$C$489=0),$N$489+$H$489/$Z$482*$M$7,NA())</f>
        <v>#N/A</v>
      </c>
      <c r="BM486" s="144" t="e">
        <f>IF($I$490=1,$M$490+$H$490/$Z$482*$L$7,NA())</f>
        <v>#N/A</v>
      </c>
      <c r="BN486" s="144" t="e">
        <f>IF($S$490=1,$N$490+$H$490/$Z$482*$M$7,NA())</f>
        <v>#N/A</v>
      </c>
      <c r="BO486" s="144" t="e">
        <f>IF(AND($I$490=1,$C$490=1,$S$490=0),$N$490+$H$490/$Z$482*$M$7,NA())</f>
        <v>#N/A</v>
      </c>
      <c r="BP486" s="144" t="e">
        <f>IF(AND($I$490=1,$C$490=0),$N$490+$H$490/$Z$482*$M$7,NA())</f>
        <v>#N/A</v>
      </c>
    </row>
    <row r="487">
      <c r="A487" s="62" t="inlineStr">
        <is>
          <t xml:space="preserve">S₄</t>
        </is>
      </c>
      <c r="B487" s="68">
        <f>'ERDR Iterations'!E$163</f>
        <v>2</v>
      </c>
      <c r="C487" s="146">
        <f>'ERDR Iterations'!E$164</f>
        <v>1</v>
      </c>
      <c r="D487" s="146">
        <f>'ERDR Iterations'!E$170</f>
        <v>0</v>
      </c>
      <c r="E487" s="146">
        <f>IF($Q$482=4,1,0)</f>
        <v>0</v>
      </c>
      <c r="F487" s="146">
        <f>IF(OR($Q$482=0,E487=1),0,INDEX('Sorted Neighbors'!$B$5:$H$11,$Q$482,4))</f>
        <v>0</v>
      </c>
      <c r="G487" s="144">
        <f>IF($Q$482=0,0,INDEX('Zhuravlev Distances'!$B$5:$H$11,$Q$482,4))</f>
        <v>0</v>
      </c>
      <c r="H487" s="144">
        <f>'ERDR Characteristics'!$D$8</f>
        <v>3.7071187508</v>
      </c>
      <c r="I487" s="146">
        <f>D487</f>
        <v>0</v>
      </c>
      <c r="J487" s="144">
        <f>IF(F487=0,0,PI()/2-(F487-1)*$B$6)</f>
        <v>0</v>
      </c>
      <c r="K487" s="144">
        <f>G487*COS(J487)</f>
        <v>0</v>
      </c>
      <c r="L487" s="144">
        <f>G487*SIN(J487)</f>
        <v>0</v>
      </c>
      <c r="M487" s="144" t="e">
        <f>IF($Q$482=0,NA(),(K487-$T$482)/$Z$482)</f>
        <v>#N/A</v>
      </c>
      <c r="N487" s="144" t="e">
        <f>IF($Q$482=0,NA(),(L487-$W$482)/$Z$482)</f>
        <v>#N/A</v>
      </c>
      <c r="O487" s="144">
        <f>K487-I487*H487</f>
        <v>0</v>
      </c>
      <c r="P487" s="144">
        <f>K487+I487*H487</f>
        <v>0</v>
      </c>
      <c r="Q487" s="144">
        <f>L487-I487*H487</f>
        <v>0</v>
      </c>
      <c r="R487" s="144">
        <f>L487+I487*H487</f>
        <v>0</v>
      </c>
      <c r="S487" s="146">
        <f>'ERDR Iterations'!E$176</f>
        <v>0</v>
      </c>
      <c r="T487" s="146">
        <f>'ERDR Iterations'!E$166</f>
        <v>1</v>
      </c>
      <c r="U487" s="146">
        <f>'ERDR Iterations'!E$179</f>
        <v>1</v>
      </c>
      <c r="V487" s="146">
        <f>'ERDR Iterations'!E$178</f>
        <v>0</v>
      </c>
      <c r="W487" s="146">
        <f>'ERDR Iterations'!E$181</f>
        <v>0</v>
      </c>
      <c r="X487" s="144" t="e">
        <f>IF(AND($Q$482&gt;0,E487=0,B487=1,C487=1),M487,NA())</f>
        <v>#N/A</v>
      </c>
      <c r="Y487" s="144" t="e">
        <f>IF(AND($Q$482&gt;0,E487=0,B487=1,C487=1),N487,NA())</f>
        <v>#N/A</v>
      </c>
      <c r="Z487" s="144" t="e">
        <f>IF(AND($Q$482&gt;0,E487=0,B487=1,C487=0),M487,NA())</f>
        <v>#N/A</v>
      </c>
      <c r="AA487" s="144" t="e">
        <f>IF(AND($Q$482&gt;0,E487=0,B487=1,C487=0),N487,NA())</f>
        <v>#N/A</v>
      </c>
      <c r="AB487" s="144" t="e">
        <f>IF(AND($Q$482&gt;0,E487=0,B487=2,C487=1),M487,NA())</f>
        <v>#N/A</v>
      </c>
      <c r="AC487" s="144" t="e">
        <f>IF(AND($Q$482&gt;0,E487=0,B487=2,C487=1),N487,NA())</f>
        <v>#N/A</v>
      </c>
      <c r="AD487" s="144" t="e">
        <f>IF(AND($Q$482&gt;0,E487=0,B487=2,C487=0),M487,NA())</f>
        <v>#N/A</v>
      </c>
      <c r="AE487" s="144" t="e">
        <f>IF(AND($Q$482&gt;0,E487=0,B487=2,C487=0),N487,NA())</f>
        <v>#N/A</v>
      </c>
      <c r="AF487" s="144" t="e">
        <f>IF(AND(E487=1,B487=1),M487,NA())</f>
        <v>#N/A</v>
      </c>
      <c r="AG487" s="144" t="e">
        <f>IF(AND(E487=1,B487=1),N487,NA())</f>
        <v>#N/A</v>
      </c>
      <c r="AH487" s="144" t="e">
        <f>IF(AND(E487=1,B487=2),M487,NA())</f>
        <v>#N/A</v>
      </c>
      <c r="AI487" s="144" t="e">
        <f>IF(AND(E487=1,B487=2),N487,NA())</f>
        <v>#N/A</v>
      </c>
      <c r="AJ487" s="145" t="str">
        <f>A487&amp;IF(E487=1," = Sᵢ",IF(C487=0," (in D)",""))&amp;IF(V487=1,"  ·  g "&amp;T487&amp;"→"&amp;U487,"")&amp;IF(W487=1,"  → D","")</f>
        <v>S₄</v>
      </c>
      <c r="AN487" s="146">
        <v>3</v>
      </c>
      <c r="AO487" s="144" t="e">
        <f>IF($I$484=1,$M$484+$H$484/$Z$482*$L$8,NA())</f>
        <v>#N/A</v>
      </c>
      <c r="AP487" s="144" t="e">
        <f>IF($S$484=1,$N$484+$H$484/$Z$482*$M$8,NA())</f>
        <v>#N/A</v>
      </c>
      <c r="AQ487" s="144" t="e">
        <f>IF(AND($I$484=1,$C$484=1,$S$484=0),$N$484+$H$484/$Z$482*$M$8,NA())</f>
        <v>#N/A</v>
      </c>
      <c r="AR487" s="144" t="e">
        <f>IF(AND($I$484=1,$C$484=0),$N$484+$H$484/$Z$482*$M$8,NA())</f>
        <v>#N/A</v>
      </c>
      <c r="AS487" s="144" t="e">
        <f>IF($I$485=1,$M$485+$H$485/$Z$482*$L$8,NA())</f>
        <v>#N/A</v>
      </c>
      <c r="AT487" s="144" t="e">
        <f>IF($S$485=1,$N$485+$H$485/$Z$482*$M$8,NA())</f>
        <v>#N/A</v>
      </c>
      <c r="AU487" s="144" t="e">
        <f>IF(AND($I$485=1,$C$485=1,$S$485=0),$N$485+$H$485/$Z$482*$M$8,NA())</f>
        <v>#N/A</v>
      </c>
      <c r="AV487" s="144" t="e">
        <f>IF(AND($I$485=1,$C$485=0),$N$485+$H$485/$Z$482*$M$8,NA())</f>
        <v>#N/A</v>
      </c>
      <c r="AW487" s="144" t="e">
        <f>IF($I$486=1,$M$486+$H$486/$Z$482*$L$8,NA())</f>
        <v>#N/A</v>
      </c>
      <c r="AX487" s="144" t="e">
        <f>IF($S$486=1,$N$486+$H$486/$Z$482*$M$8,NA())</f>
        <v>#N/A</v>
      </c>
      <c r="AY487" s="144" t="e">
        <f>IF(AND($I$486=1,$C$486=1,$S$486=0),$N$486+$H$486/$Z$482*$M$8,NA())</f>
        <v>#N/A</v>
      </c>
      <c r="AZ487" s="144" t="e">
        <f>IF(AND($I$486=1,$C$486=0),$N$486+$H$486/$Z$482*$M$8,NA())</f>
        <v>#N/A</v>
      </c>
      <c r="BA487" s="144" t="e">
        <f>IF($I$487=1,$M$487+$H$487/$Z$482*$L$8,NA())</f>
        <v>#N/A</v>
      </c>
      <c r="BB487" s="144" t="e">
        <f>IF($S$487=1,$N$487+$H$487/$Z$482*$M$8,NA())</f>
        <v>#N/A</v>
      </c>
      <c r="BC487" s="144" t="e">
        <f>IF(AND($I$487=1,$C$487=1,$S$487=0),$N$487+$H$487/$Z$482*$M$8,NA())</f>
        <v>#N/A</v>
      </c>
      <c r="BD487" s="144" t="e">
        <f>IF(AND($I$487=1,$C$487=0),$N$487+$H$487/$Z$482*$M$8,NA())</f>
        <v>#N/A</v>
      </c>
      <c r="BE487" s="144" t="e">
        <f>IF($I$488=1,$M$488+$H$488/$Z$482*$L$8,NA())</f>
        <v>#N/A</v>
      </c>
      <c r="BF487" s="144" t="e">
        <f>IF($S$488=1,$N$488+$H$488/$Z$482*$M$8,NA())</f>
        <v>#N/A</v>
      </c>
      <c r="BG487" s="144" t="e">
        <f>IF(AND($I$488=1,$C$488=1,$S$488=0),$N$488+$H$488/$Z$482*$M$8,NA())</f>
        <v>#N/A</v>
      </c>
      <c r="BH487" s="144" t="e">
        <f>IF(AND($I$488=1,$C$488=0),$N$488+$H$488/$Z$482*$M$8,NA())</f>
        <v>#N/A</v>
      </c>
      <c r="BI487" s="144" t="e">
        <f>IF($I$489=1,$M$489+$H$489/$Z$482*$L$8,NA())</f>
        <v>#N/A</v>
      </c>
      <c r="BJ487" s="144" t="e">
        <f>IF($S$489=1,$N$489+$H$489/$Z$482*$M$8,NA())</f>
        <v>#N/A</v>
      </c>
      <c r="BK487" s="144" t="e">
        <f>IF(AND($I$489=1,$C$489=1,$S$489=0),$N$489+$H$489/$Z$482*$M$8,NA())</f>
        <v>#N/A</v>
      </c>
      <c r="BL487" s="144" t="e">
        <f>IF(AND($I$489=1,$C$489=0),$N$489+$H$489/$Z$482*$M$8,NA())</f>
        <v>#N/A</v>
      </c>
      <c r="BM487" s="144" t="e">
        <f>IF($I$490=1,$M$490+$H$490/$Z$482*$L$8,NA())</f>
        <v>#N/A</v>
      </c>
      <c r="BN487" s="144" t="e">
        <f>IF($S$490=1,$N$490+$H$490/$Z$482*$M$8,NA())</f>
        <v>#N/A</v>
      </c>
      <c r="BO487" s="144" t="e">
        <f>IF(AND($I$490=1,$C$490=1,$S$490=0),$N$490+$H$490/$Z$482*$M$8,NA())</f>
        <v>#N/A</v>
      </c>
      <c r="BP487" s="144" t="e">
        <f>IF(AND($I$490=1,$C$490=0),$N$490+$H$490/$Z$482*$M$8,NA())</f>
        <v>#N/A</v>
      </c>
    </row>
    <row r="488">
      <c r="A488" s="62" t="inlineStr">
        <is>
          <t xml:space="preserve">S₅</t>
        </is>
      </c>
      <c r="B488" s="68">
        <f>'ERDR Iterations'!F$163</f>
        <v>2</v>
      </c>
      <c r="C488" s="146">
        <f>'ERDR Iterations'!F$164</f>
        <v>0</v>
      </c>
      <c r="D488" s="146">
        <f>'ERDR Iterations'!F$170</f>
        <v>0</v>
      </c>
      <c r="E488" s="146">
        <f>IF($Q$482=5,1,0)</f>
        <v>0</v>
      </c>
      <c r="F488" s="146">
        <f>IF(OR($Q$482=0,E488=1),0,INDEX('Sorted Neighbors'!$B$5:$H$11,$Q$482,5))</f>
        <v>0</v>
      </c>
      <c r="G488" s="144">
        <f>IF($Q$482=0,0,INDEX('Zhuravlev Distances'!$B$5:$H$11,$Q$482,5))</f>
        <v>0</v>
      </c>
      <c r="H488" s="144">
        <f>'ERDR Characteristics'!$D$9</f>
        <v>7.1117040273</v>
      </c>
      <c r="I488" s="146">
        <f>D488</f>
        <v>0</v>
      </c>
      <c r="J488" s="144">
        <f>IF(F488=0,0,PI()/2-(F488-1)*$B$6)</f>
        <v>0</v>
      </c>
      <c r="K488" s="144">
        <f>G488*COS(J488)</f>
        <v>0</v>
      </c>
      <c r="L488" s="144">
        <f>G488*SIN(J488)</f>
        <v>0</v>
      </c>
      <c r="M488" s="144" t="e">
        <f>IF($Q$482=0,NA(),(K488-$T$482)/$Z$482)</f>
        <v>#N/A</v>
      </c>
      <c r="N488" s="144" t="e">
        <f>IF($Q$482=0,NA(),(L488-$W$482)/$Z$482)</f>
        <v>#N/A</v>
      </c>
      <c r="O488" s="144">
        <f>K488-I488*H488</f>
        <v>0</v>
      </c>
      <c r="P488" s="144">
        <f>K488+I488*H488</f>
        <v>0</v>
      </c>
      <c r="Q488" s="144">
        <f>L488-I488*H488</f>
        <v>0</v>
      </c>
      <c r="R488" s="144">
        <f>L488+I488*H488</f>
        <v>0</v>
      </c>
      <c r="S488" s="146">
        <f>'ERDR Iterations'!F$176</f>
        <v>0</v>
      </c>
      <c r="T488" s="146">
        <f>'ERDR Iterations'!F$166</f>
        <v>1</v>
      </c>
      <c r="U488" s="146">
        <f>'ERDR Iterations'!F$179</f>
        <v>1</v>
      </c>
      <c r="V488" s="146">
        <f>'ERDR Iterations'!F$178</f>
        <v>0</v>
      </c>
      <c r="W488" s="146">
        <f>'ERDR Iterations'!F$181</f>
        <v>0</v>
      </c>
      <c r="X488" s="144" t="e">
        <f>IF(AND($Q$482&gt;0,E488=0,B488=1,C488=1),M488,NA())</f>
        <v>#N/A</v>
      </c>
      <c r="Y488" s="144" t="e">
        <f>IF(AND($Q$482&gt;0,E488=0,B488=1,C488=1),N488,NA())</f>
        <v>#N/A</v>
      </c>
      <c r="Z488" s="144" t="e">
        <f>IF(AND($Q$482&gt;0,E488=0,B488=1,C488=0),M488,NA())</f>
        <v>#N/A</v>
      </c>
      <c r="AA488" s="144" t="e">
        <f>IF(AND($Q$482&gt;0,E488=0,B488=1,C488=0),N488,NA())</f>
        <v>#N/A</v>
      </c>
      <c r="AB488" s="144" t="e">
        <f>IF(AND($Q$482&gt;0,E488=0,B488=2,C488=1),M488,NA())</f>
        <v>#N/A</v>
      </c>
      <c r="AC488" s="144" t="e">
        <f>IF(AND($Q$482&gt;0,E488=0,B488=2,C488=1),N488,NA())</f>
        <v>#N/A</v>
      </c>
      <c r="AD488" s="144" t="e">
        <f>IF(AND($Q$482&gt;0,E488=0,B488=2,C488=0),M488,NA())</f>
        <v>#N/A</v>
      </c>
      <c r="AE488" s="144" t="e">
        <f>IF(AND($Q$482&gt;0,E488=0,B488=2,C488=0),N488,NA())</f>
        <v>#N/A</v>
      </c>
      <c r="AF488" s="144" t="e">
        <f>IF(AND(E488=1,B488=1),M488,NA())</f>
        <v>#N/A</v>
      </c>
      <c r="AG488" s="144" t="e">
        <f>IF(AND(E488=1,B488=1),N488,NA())</f>
        <v>#N/A</v>
      </c>
      <c r="AH488" s="144" t="e">
        <f>IF(AND(E488=1,B488=2),M488,NA())</f>
        <v>#N/A</v>
      </c>
      <c r="AI488" s="144" t="e">
        <f>IF(AND(E488=1,B488=2),N488,NA())</f>
        <v>#N/A</v>
      </c>
      <c r="AJ488" s="145" t="str">
        <f>A488&amp;IF(E488=1," = Sᵢ",IF(C488=0," (in D)",""))&amp;IF(V488=1,"  ·  g "&amp;T488&amp;"→"&amp;U488,"")&amp;IF(W488=1,"  → D","")</f>
        <v>S₅ (in D)</v>
      </c>
      <c r="AN488" s="146">
        <v>4</v>
      </c>
      <c r="AO488" s="144" t="e">
        <f>IF($I$484=1,$M$484+$H$484/$Z$482*$L$9,NA())</f>
        <v>#N/A</v>
      </c>
      <c r="AP488" s="144" t="e">
        <f>IF($S$484=1,$N$484+$H$484/$Z$482*$M$9,NA())</f>
        <v>#N/A</v>
      </c>
      <c r="AQ488" s="144" t="e">
        <f>IF(AND($I$484=1,$C$484=1,$S$484=0),$N$484+$H$484/$Z$482*$M$9,NA())</f>
        <v>#N/A</v>
      </c>
      <c r="AR488" s="144" t="e">
        <f>IF(AND($I$484=1,$C$484=0),$N$484+$H$484/$Z$482*$M$9,NA())</f>
        <v>#N/A</v>
      </c>
      <c r="AS488" s="144" t="e">
        <f>IF($I$485=1,$M$485+$H$485/$Z$482*$L$9,NA())</f>
        <v>#N/A</v>
      </c>
      <c r="AT488" s="144" t="e">
        <f>IF($S$485=1,$N$485+$H$485/$Z$482*$M$9,NA())</f>
        <v>#N/A</v>
      </c>
      <c r="AU488" s="144" t="e">
        <f>IF(AND($I$485=1,$C$485=1,$S$485=0),$N$485+$H$485/$Z$482*$M$9,NA())</f>
        <v>#N/A</v>
      </c>
      <c r="AV488" s="144" t="e">
        <f>IF(AND($I$485=1,$C$485=0),$N$485+$H$485/$Z$482*$M$9,NA())</f>
        <v>#N/A</v>
      </c>
      <c r="AW488" s="144" t="e">
        <f>IF($I$486=1,$M$486+$H$486/$Z$482*$L$9,NA())</f>
        <v>#N/A</v>
      </c>
      <c r="AX488" s="144" t="e">
        <f>IF($S$486=1,$N$486+$H$486/$Z$482*$M$9,NA())</f>
        <v>#N/A</v>
      </c>
      <c r="AY488" s="144" t="e">
        <f>IF(AND($I$486=1,$C$486=1,$S$486=0),$N$486+$H$486/$Z$482*$M$9,NA())</f>
        <v>#N/A</v>
      </c>
      <c r="AZ488" s="144" t="e">
        <f>IF(AND($I$486=1,$C$486=0),$N$486+$H$486/$Z$482*$M$9,NA())</f>
        <v>#N/A</v>
      </c>
      <c r="BA488" s="144" t="e">
        <f>IF($I$487=1,$M$487+$H$487/$Z$482*$L$9,NA())</f>
        <v>#N/A</v>
      </c>
      <c r="BB488" s="144" t="e">
        <f>IF($S$487=1,$N$487+$H$487/$Z$482*$M$9,NA())</f>
        <v>#N/A</v>
      </c>
      <c r="BC488" s="144" t="e">
        <f>IF(AND($I$487=1,$C$487=1,$S$487=0),$N$487+$H$487/$Z$482*$M$9,NA())</f>
        <v>#N/A</v>
      </c>
      <c r="BD488" s="144" t="e">
        <f>IF(AND($I$487=1,$C$487=0),$N$487+$H$487/$Z$482*$M$9,NA())</f>
        <v>#N/A</v>
      </c>
      <c r="BE488" s="144" t="e">
        <f>IF($I$488=1,$M$488+$H$488/$Z$482*$L$9,NA())</f>
        <v>#N/A</v>
      </c>
      <c r="BF488" s="144" t="e">
        <f>IF($S$488=1,$N$488+$H$488/$Z$482*$M$9,NA())</f>
        <v>#N/A</v>
      </c>
      <c r="BG488" s="144" t="e">
        <f>IF(AND($I$488=1,$C$488=1,$S$488=0),$N$488+$H$488/$Z$482*$M$9,NA())</f>
        <v>#N/A</v>
      </c>
      <c r="BH488" s="144" t="e">
        <f>IF(AND($I$488=1,$C$488=0),$N$488+$H$488/$Z$482*$M$9,NA())</f>
        <v>#N/A</v>
      </c>
      <c r="BI488" s="144" t="e">
        <f>IF($I$489=1,$M$489+$H$489/$Z$482*$L$9,NA())</f>
        <v>#N/A</v>
      </c>
      <c r="BJ488" s="144" t="e">
        <f>IF($S$489=1,$N$489+$H$489/$Z$482*$M$9,NA())</f>
        <v>#N/A</v>
      </c>
      <c r="BK488" s="144" t="e">
        <f>IF(AND($I$489=1,$C$489=1,$S$489=0),$N$489+$H$489/$Z$482*$M$9,NA())</f>
        <v>#N/A</v>
      </c>
      <c r="BL488" s="144" t="e">
        <f>IF(AND($I$489=1,$C$489=0),$N$489+$H$489/$Z$482*$M$9,NA())</f>
        <v>#N/A</v>
      </c>
      <c r="BM488" s="144" t="e">
        <f>IF($I$490=1,$M$490+$H$490/$Z$482*$L$9,NA())</f>
        <v>#N/A</v>
      </c>
      <c r="BN488" s="144" t="e">
        <f>IF($S$490=1,$N$490+$H$490/$Z$482*$M$9,NA())</f>
        <v>#N/A</v>
      </c>
      <c r="BO488" s="144" t="e">
        <f>IF(AND($I$490=1,$C$490=1,$S$490=0),$N$490+$H$490/$Z$482*$M$9,NA())</f>
        <v>#N/A</v>
      </c>
      <c r="BP488" s="144" t="e">
        <f>IF(AND($I$490=1,$C$490=0),$N$490+$H$490/$Z$482*$M$9,NA())</f>
        <v>#N/A</v>
      </c>
    </row>
    <row r="489">
      <c r="A489" s="62" t="inlineStr">
        <is>
          <t xml:space="preserve">S₆</t>
        </is>
      </c>
      <c r="B489" s="68">
        <f>'ERDR Iterations'!G$163</f>
        <v>1</v>
      </c>
      <c r="C489" s="146">
        <f>'ERDR Iterations'!G$164</f>
        <v>0</v>
      </c>
      <c r="D489" s="146">
        <f>'ERDR Iterations'!G$170</f>
        <v>0</v>
      </c>
      <c r="E489" s="146">
        <f>IF($Q$482=6,1,0)</f>
        <v>0</v>
      </c>
      <c r="F489" s="146">
        <f>IF(OR($Q$482=0,E489=1),0,INDEX('Sorted Neighbors'!$B$5:$H$11,$Q$482,6))</f>
        <v>0</v>
      </c>
      <c r="G489" s="144">
        <f>IF($Q$482=0,0,INDEX('Zhuravlev Distances'!$B$5:$H$11,$Q$482,6))</f>
        <v>0</v>
      </c>
      <c r="H489" s="144">
        <f>'ERDR Characteristics'!$D$10</f>
        <v>3.7071187508</v>
      </c>
      <c r="I489" s="146">
        <f>D489</f>
        <v>0</v>
      </c>
      <c r="J489" s="144">
        <f>IF(F489=0,0,PI()/2-(F489-1)*$B$6)</f>
        <v>0</v>
      </c>
      <c r="K489" s="144">
        <f>G489*COS(J489)</f>
        <v>0</v>
      </c>
      <c r="L489" s="144">
        <f>G489*SIN(J489)</f>
        <v>0</v>
      </c>
      <c r="M489" s="144" t="e">
        <f>IF($Q$482=0,NA(),(K489-$T$482)/$Z$482)</f>
        <v>#N/A</v>
      </c>
      <c r="N489" s="144" t="e">
        <f>IF($Q$482=0,NA(),(L489-$W$482)/$Z$482)</f>
        <v>#N/A</v>
      </c>
      <c r="O489" s="144">
        <f>K489-I489*H489</f>
        <v>0</v>
      </c>
      <c r="P489" s="144">
        <f>K489+I489*H489</f>
        <v>0</v>
      </c>
      <c r="Q489" s="144">
        <f>L489-I489*H489</f>
        <v>0</v>
      </c>
      <c r="R489" s="144">
        <f>L489+I489*H489</f>
        <v>0</v>
      </c>
      <c r="S489" s="146">
        <f>'ERDR Iterations'!G$176</f>
        <v>0</v>
      </c>
      <c r="T489" s="146">
        <f>'ERDR Iterations'!G$166</f>
        <v>1</v>
      </c>
      <c r="U489" s="146">
        <f>'ERDR Iterations'!G$179</f>
        <v>1</v>
      </c>
      <c r="V489" s="146">
        <f>'ERDR Iterations'!G$178</f>
        <v>0</v>
      </c>
      <c r="W489" s="146">
        <f>'ERDR Iterations'!G$181</f>
        <v>0</v>
      </c>
      <c r="X489" s="144" t="e">
        <f>IF(AND($Q$482&gt;0,E489=0,B489=1,C489=1),M489,NA())</f>
        <v>#N/A</v>
      </c>
      <c r="Y489" s="144" t="e">
        <f>IF(AND($Q$482&gt;0,E489=0,B489=1,C489=1),N489,NA())</f>
        <v>#N/A</v>
      </c>
      <c r="Z489" s="144" t="e">
        <f>IF(AND($Q$482&gt;0,E489=0,B489=1,C489=0),M489,NA())</f>
        <v>#N/A</v>
      </c>
      <c r="AA489" s="144" t="e">
        <f>IF(AND($Q$482&gt;0,E489=0,B489=1,C489=0),N489,NA())</f>
        <v>#N/A</v>
      </c>
      <c r="AB489" s="144" t="e">
        <f>IF(AND($Q$482&gt;0,E489=0,B489=2,C489=1),M489,NA())</f>
        <v>#N/A</v>
      </c>
      <c r="AC489" s="144" t="e">
        <f>IF(AND($Q$482&gt;0,E489=0,B489=2,C489=1),N489,NA())</f>
        <v>#N/A</v>
      </c>
      <c r="AD489" s="144" t="e">
        <f>IF(AND($Q$482&gt;0,E489=0,B489=2,C489=0),M489,NA())</f>
        <v>#N/A</v>
      </c>
      <c r="AE489" s="144" t="e">
        <f>IF(AND($Q$482&gt;0,E489=0,B489=2,C489=0),N489,NA())</f>
        <v>#N/A</v>
      </c>
      <c r="AF489" s="144" t="e">
        <f>IF(AND(E489=1,B489=1),M489,NA())</f>
        <v>#N/A</v>
      </c>
      <c r="AG489" s="144" t="e">
        <f>IF(AND(E489=1,B489=1),N489,NA())</f>
        <v>#N/A</v>
      </c>
      <c r="AH489" s="144" t="e">
        <f>IF(AND(E489=1,B489=2),M489,NA())</f>
        <v>#N/A</v>
      </c>
      <c r="AI489" s="144" t="e">
        <f>IF(AND(E489=1,B489=2),N489,NA())</f>
        <v>#N/A</v>
      </c>
      <c r="AJ489" s="145" t="str">
        <f>A489&amp;IF(E489=1," = Sᵢ",IF(C489=0," (in D)",""))&amp;IF(V489=1,"  ·  g "&amp;T489&amp;"→"&amp;U489,"")&amp;IF(W489=1,"  → D","")</f>
        <v>S₆ (in D)</v>
      </c>
      <c r="AN489" s="146">
        <v>5</v>
      </c>
      <c r="AO489" s="144" t="e">
        <f>IF($I$484=1,$M$484+$H$484/$Z$482*$L$10,NA())</f>
        <v>#N/A</v>
      </c>
      <c r="AP489" s="144" t="e">
        <f>IF($S$484=1,$N$484+$H$484/$Z$482*$M$10,NA())</f>
        <v>#N/A</v>
      </c>
      <c r="AQ489" s="144" t="e">
        <f>IF(AND($I$484=1,$C$484=1,$S$484=0),$N$484+$H$484/$Z$482*$M$10,NA())</f>
        <v>#N/A</v>
      </c>
      <c r="AR489" s="144" t="e">
        <f>IF(AND($I$484=1,$C$484=0),$N$484+$H$484/$Z$482*$M$10,NA())</f>
        <v>#N/A</v>
      </c>
      <c r="AS489" s="144" t="e">
        <f>IF($I$485=1,$M$485+$H$485/$Z$482*$L$10,NA())</f>
        <v>#N/A</v>
      </c>
      <c r="AT489" s="144" t="e">
        <f>IF($S$485=1,$N$485+$H$485/$Z$482*$M$10,NA())</f>
        <v>#N/A</v>
      </c>
      <c r="AU489" s="144" t="e">
        <f>IF(AND($I$485=1,$C$485=1,$S$485=0),$N$485+$H$485/$Z$482*$M$10,NA())</f>
        <v>#N/A</v>
      </c>
      <c r="AV489" s="144" t="e">
        <f>IF(AND($I$485=1,$C$485=0),$N$485+$H$485/$Z$482*$M$10,NA())</f>
        <v>#N/A</v>
      </c>
      <c r="AW489" s="144" t="e">
        <f>IF($I$486=1,$M$486+$H$486/$Z$482*$L$10,NA())</f>
        <v>#N/A</v>
      </c>
      <c r="AX489" s="144" t="e">
        <f>IF($S$486=1,$N$486+$H$486/$Z$482*$M$10,NA())</f>
        <v>#N/A</v>
      </c>
      <c r="AY489" s="144" t="e">
        <f>IF(AND($I$486=1,$C$486=1,$S$486=0),$N$486+$H$486/$Z$482*$M$10,NA())</f>
        <v>#N/A</v>
      </c>
      <c r="AZ489" s="144" t="e">
        <f>IF(AND($I$486=1,$C$486=0),$N$486+$H$486/$Z$482*$M$10,NA())</f>
        <v>#N/A</v>
      </c>
      <c r="BA489" s="144" t="e">
        <f>IF($I$487=1,$M$487+$H$487/$Z$482*$L$10,NA())</f>
        <v>#N/A</v>
      </c>
      <c r="BB489" s="144" t="e">
        <f>IF($S$487=1,$N$487+$H$487/$Z$482*$M$10,NA())</f>
        <v>#N/A</v>
      </c>
      <c r="BC489" s="144" t="e">
        <f>IF(AND($I$487=1,$C$487=1,$S$487=0),$N$487+$H$487/$Z$482*$M$10,NA())</f>
        <v>#N/A</v>
      </c>
      <c r="BD489" s="144" t="e">
        <f>IF(AND($I$487=1,$C$487=0),$N$487+$H$487/$Z$482*$M$10,NA())</f>
        <v>#N/A</v>
      </c>
      <c r="BE489" s="144" t="e">
        <f>IF($I$488=1,$M$488+$H$488/$Z$482*$L$10,NA())</f>
        <v>#N/A</v>
      </c>
      <c r="BF489" s="144" t="e">
        <f>IF($S$488=1,$N$488+$H$488/$Z$482*$M$10,NA())</f>
        <v>#N/A</v>
      </c>
      <c r="BG489" s="144" t="e">
        <f>IF(AND($I$488=1,$C$488=1,$S$488=0),$N$488+$H$488/$Z$482*$M$10,NA())</f>
        <v>#N/A</v>
      </c>
      <c r="BH489" s="144" t="e">
        <f>IF(AND($I$488=1,$C$488=0),$N$488+$H$488/$Z$482*$M$10,NA())</f>
        <v>#N/A</v>
      </c>
      <c r="BI489" s="144" t="e">
        <f>IF($I$489=1,$M$489+$H$489/$Z$482*$L$10,NA())</f>
        <v>#N/A</v>
      </c>
      <c r="BJ489" s="144" t="e">
        <f>IF($S$489=1,$N$489+$H$489/$Z$482*$M$10,NA())</f>
        <v>#N/A</v>
      </c>
      <c r="BK489" s="144" t="e">
        <f>IF(AND($I$489=1,$C$489=1,$S$489=0),$N$489+$H$489/$Z$482*$M$10,NA())</f>
        <v>#N/A</v>
      </c>
      <c r="BL489" s="144" t="e">
        <f>IF(AND($I$489=1,$C$489=0),$N$489+$H$489/$Z$482*$M$10,NA())</f>
        <v>#N/A</v>
      </c>
      <c r="BM489" s="144" t="e">
        <f>IF($I$490=1,$M$490+$H$490/$Z$482*$L$10,NA())</f>
        <v>#N/A</v>
      </c>
      <c r="BN489" s="144" t="e">
        <f>IF($S$490=1,$N$490+$H$490/$Z$482*$M$10,NA())</f>
        <v>#N/A</v>
      </c>
      <c r="BO489" s="144" t="e">
        <f>IF(AND($I$490=1,$C$490=1,$S$490=0),$N$490+$H$490/$Z$482*$M$10,NA())</f>
        <v>#N/A</v>
      </c>
      <c r="BP489" s="144" t="e">
        <f>IF(AND($I$490=1,$C$490=0),$N$490+$H$490/$Z$482*$M$10,NA())</f>
        <v>#N/A</v>
      </c>
    </row>
    <row r="490">
      <c r="A490" s="62" t="inlineStr">
        <is>
          <t xml:space="preserve">S₇</t>
        </is>
      </c>
      <c r="B490" s="68">
        <f>'ERDR Iterations'!H$163</f>
        <v>1</v>
      </c>
      <c r="C490" s="146">
        <f>'ERDR Iterations'!H$164</f>
        <v>0</v>
      </c>
      <c r="D490" s="146">
        <f>'ERDR Iterations'!H$170</f>
        <v>0</v>
      </c>
      <c r="E490" s="146">
        <f>IF($Q$482=7,1,0)</f>
        <v>0</v>
      </c>
      <c r="F490" s="146">
        <f>IF(OR($Q$482=0,E490=1),0,INDEX('Sorted Neighbors'!$B$5:$H$11,$Q$482,7))</f>
        <v>0</v>
      </c>
      <c r="G490" s="144">
        <f>IF($Q$482=0,0,INDEX('Zhuravlev Distances'!$B$5:$H$11,$Q$482,7))</f>
        <v>0</v>
      </c>
      <c r="H490" s="144">
        <f>'ERDR Characteristics'!$D$11</f>
        <v>3.9109813746</v>
      </c>
      <c r="I490" s="146">
        <f>D490</f>
        <v>0</v>
      </c>
      <c r="J490" s="144">
        <f>IF(F490=0,0,PI()/2-(F490-1)*$B$6)</f>
        <v>0</v>
      </c>
      <c r="K490" s="144">
        <f>G490*COS(J490)</f>
        <v>0</v>
      </c>
      <c r="L490" s="144">
        <f>G490*SIN(J490)</f>
        <v>0</v>
      </c>
      <c r="M490" s="144" t="e">
        <f>IF($Q$482=0,NA(),(K490-$T$482)/$Z$482)</f>
        <v>#N/A</v>
      </c>
      <c r="N490" s="144" t="e">
        <f>IF($Q$482=0,NA(),(L490-$W$482)/$Z$482)</f>
        <v>#N/A</v>
      </c>
      <c r="O490" s="144">
        <f>K490-I490*H490</f>
        <v>0</v>
      </c>
      <c r="P490" s="144">
        <f>K490+I490*H490</f>
        <v>0</v>
      </c>
      <c r="Q490" s="144">
        <f>L490-I490*H490</f>
        <v>0</v>
      </c>
      <c r="R490" s="144">
        <f>L490+I490*H490</f>
        <v>0</v>
      </c>
      <c r="S490" s="146">
        <f>'ERDR Iterations'!H$176</f>
        <v>0</v>
      </c>
      <c r="T490" s="146">
        <f>'ERDR Iterations'!H$166</f>
        <v>1</v>
      </c>
      <c r="U490" s="146">
        <f>'ERDR Iterations'!H$179</f>
        <v>1</v>
      </c>
      <c r="V490" s="146">
        <f>'ERDR Iterations'!H$178</f>
        <v>0</v>
      </c>
      <c r="W490" s="146">
        <f>'ERDR Iterations'!H$181</f>
        <v>0</v>
      </c>
      <c r="X490" s="144" t="e">
        <f>IF(AND($Q$482&gt;0,E490=0,B490=1,C490=1),M490,NA())</f>
        <v>#N/A</v>
      </c>
      <c r="Y490" s="144" t="e">
        <f>IF(AND($Q$482&gt;0,E490=0,B490=1,C490=1),N490,NA())</f>
        <v>#N/A</v>
      </c>
      <c r="Z490" s="144" t="e">
        <f>IF(AND($Q$482&gt;0,E490=0,B490=1,C490=0),M490,NA())</f>
        <v>#N/A</v>
      </c>
      <c r="AA490" s="144" t="e">
        <f>IF(AND($Q$482&gt;0,E490=0,B490=1,C490=0),N490,NA())</f>
        <v>#N/A</v>
      </c>
      <c r="AB490" s="144" t="e">
        <f>IF(AND($Q$482&gt;0,E490=0,B490=2,C490=1),M490,NA())</f>
        <v>#N/A</v>
      </c>
      <c r="AC490" s="144" t="e">
        <f>IF(AND($Q$482&gt;0,E490=0,B490=2,C490=1),N490,NA())</f>
        <v>#N/A</v>
      </c>
      <c r="AD490" s="144" t="e">
        <f>IF(AND($Q$482&gt;0,E490=0,B490=2,C490=0),M490,NA())</f>
        <v>#N/A</v>
      </c>
      <c r="AE490" s="144" t="e">
        <f>IF(AND($Q$482&gt;0,E490=0,B490=2,C490=0),N490,NA())</f>
        <v>#N/A</v>
      </c>
      <c r="AF490" s="144" t="e">
        <f>IF(AND(E490=1,B490=1),M490,NA())</f>
        <v>#N/A</v>
      </c>
      <c r="AG490" s="144" t="e">
        <f>IF(AND(E490=1,B490=1),N490,NA())</f>
        <v>#N/A</v>
      </c>
      <c r="AH490" s="144" t="e">
        <f>IF(AND(E490=1,B490=2),M490,NA())</f>
        <v>#N/A</v>
      </c>
      <c r="AI490" s="144" t="e">
        <f>IF(AND(E490=1,B490=2),N490,NA())</f>
        <v>#N/A</v>
      </c>
      <c r="AJ490" s="145" t="str">
        <f>A490&amp;IF(E490=1," = Sᵢ",IF(C490=0," (in D)",""))&amp;IF(V490=1,"  ·  g "&amp;T490&amp;"→"&amp;U490,"")&amp;IF(W490=1,"  → D","")</f>
        <v>S₇ (in D)</v>
      </c>
      <c r="AN490" s="146">
        <v>6</v>
      </c>
      <c r="AO490" s="144" t="e">
        <f>IF($I$484=1,$M$484+$H$484/$Z$482*$L$11,NA())</f>
        <v>#N/A</v>
      </c>
      <c r="AP490" s="144" t="e">
        <f>IF($S$484=1,$N$484+$H$484/$Z$482*$M$11,NA())</f>
        <v>#N/A</v>
      </c>
      <c r="AQ490" s="144" t="e">
        <f>IF(AND($I$484=1,$C$484=1,$S$484=0),$N$484+$H$484/$Z$482*$M$11,NA())</f>
        <v>#N/A</v>
      </c>
      <c r="AR490" s="144" t="e">
        <f>IF(AND($I$484=1,$C$484=0),$N$484+$H$484/$Z$482*$M$11,NA())</f>
        <v>#N/A</v>
      </c>
      <c r="AS490" s="144" t="e">
        <f>IF($I$485=1,$M$485+$H$485/$Z$482*$L$11,NA())</f>
        <v>#N/A</v>
      </c>
      <c r="AT490" s="144" t="e">
        <f>IF($S$485=1,$N$485+$H$485/$Z$482*$M$11,NA())</f>
        <v>#N/A</v>
      </c>
      <c r="AU490" s="144" t="e">
        <f>IF(AND($I$485=1,$C$485=1,$S$485=0),$N$485+$H$485/$Z$482*$M$11,NA())</f>
        <v>#N/A</v>
      </c>
      <c r="AV490" s="144" t="e">
        <f>IF(AND($I$485=1,$C$485=0),$N$485+$H$485/$Z$482*$M$11,NA())</f>
        <v>#N/A</v>
      </c>
      <c r="AW490" s="144" t="e">
        <f>IF($I$486=1,$M$486+$H$486/$Z$482*$L$11,NA())</f>
        <v>#N/A</v>
      </c>
      <c r="AX490" s="144" t="e">
        <f>IF($S$486=1,$N$486+$H$486/$Z$482*$M$11,NA())</f>
        <v>#N/A</v>
      </c>
      <c r="AY490" s="144" t="e">
        <f>IF(AND($I$486=1,$C$486=1,$S$486=0),$N$486+$H$486/$Z$482*$M$11,NA())</f>
        <v>#N/A</v>
      </c>
      <c r="AZ490" s="144" t="e">
        <f>IF(AND($I$486=1,$C$486=0),$N$486+$H$486/$Z$482*$M$11,NA())</f>
        <v>#N/A</v>
      </c>
      <c r="BA490" s="144" t="e">
        <f>IF($I$487=1,$M$487+$H$487/$Z$482*$L$11,NA())</f>
        <v>#N/A</v>
      </c>
      <c r="BB490" s="144" t="e">
        <f>IF($S$487=1,$N$487+$H$487/$Z$482*$M$11,NA())</f>
        <v>#N/A</v>
      </c>
      <c r="BC490" s="144" t="e">
        <f>IF(AND($I$487=1,$C$487=1,$S$487=0),$N$487+$H$487/$Z$482*$M$11,NA())</f>
        <v>#N/A</v>
      </c>
      <c r="BD490" s="144" t="e">
        <f>IF(AND($I$487=1,$C$487=0),$N$487+$H$487/$Z$482*$M$11,NA())</f>
        <v>#N/A</v>
      </c>
      <c r="BE490" s="144" t="e">
        <f>IF($I$488=1,$M$488+$H$488/$Z$482*$L$11,NA())</f>
        <v>#N/A</v>
      </c>
      <c r="BF490" s="144" t="e">
        <f>IF($S$488=1,$N$488+$H$488/$Z$482*$M$11,NA())</f>
        <v>#N/A</v>
      </c>
      <c r="BG490" s="144" t="e">
        <f>IF(AND($I$488=1,$C$488=1,$S$488=0),$N$488+$H$488/$Z$482*$M$11,NA())</f>
        <v>#N/A</v>
      </c>
      <c r="BH490" s="144" t="e">
        <f>IF(AND($I$488=1,$C$488=0),$N$488+$H$488/$Z$482*$M$11,NA())</f>
        <v>#N/A</v>
      </c>
      <c r="BI490" s="144" t="e">
        <f>IF($I$489=1,$M$489+$H$489/$Z$482*$L$11,NA())</f>
        <v>#N/A</v>
      </c>
      <c r="BJ490" s="144" t="e">
        <f>IF($S$489=1,$N$489+$H$489/$Z$482*$M$11,NA())</f>
        <v>#N/A</v>
      </c>
      <c r="BK490" s="144" t="e">
        <f>IF(AND($I$489=1,$C$489=1,$S$489=0),$N$489+$H$489/$Z$482*$M$11,NA())</f>
        <v>#N/A</v>
      </c>
      <c r="BL490" s="144" t="e">
        <f>IF(AND($I$489=1,$C$489=0),$N$489+$H$489/$Z$482*$M$11,NA())</f>
        <v>#N/A</v>
      </c>
      <c r="BM490" s="144" t="e">
        <f>IF($I$490=1,$M$490+$H$490/$Z$482*$L$11,NA())</f>
        <v>#N/A</v>
      </c>
      <c r="BN490" s="144" t="e">
        <f>IF($S$490=1,$N$490+$H$490/$Z$482*$M$11,NA())</f>
        <v>#N/A</v>
      </c>
      <c r="BO490" s="144" t="e">
        <f>IF(AND($I$490=1,$C$490=1,$S$490=0),$N$490+$H$490/$Z$482*$M$11,NA())</f>
        <v>#N/A</v>
      </c>
      <c r="BP490" s="144" t="e">
        <f>IF(AND($I$490=1,$C$490=0),$N$490+$H$490/$Z$482*$M$11,NA())</f>
        <v>#N/A</v>
      </c>
    </row>
    <row r="491">
      <c r="A491" s="63" t="inlineStr">
        <is>
          <t xml:space="preserve">Message</t>
        </is>
      </c>
      <c r="D491" s="145" t="str">
        <f>"Queue empty → Step 6:   D = "&amp;'Training &amp; Validation'!$B$19&amp;"   ·   F = "&amp;'Training &amp; Validation'!$B$20</f>
        <v>Queue empty → Step 6:   D = {S₁, S₂, S₅, S₆, S₇}   ·   F = {S₃, S₄}</v>
      </c>
      <c r="E491" s="144">
        <f>IF($Q$482=0,0,NA())</f>
        <v>0</v>
      </c>
      <c r="F491" s="144">
        <f>IF($Q$482=0,0,NA())</f>
        <v>0</v>
      </c>
      <c r="AN491" s="146">
        <v>7</v>
      </c>
      <c r="AO491" s="144" t="e">
        <f>IF($I$484=1,$M$484+$H$484/$Z$482*$L$12,NA())</f>
        <v>#N/A</v>
      </c>
      <c r="AP491" s="144" t="e">
        <f>IF($S$484=1,$N$484+$H$484/$Z$482*$M$12,NA())</f>
        <v>#N/A</v>
      </c>
      <c r="AQ491" s="144" t="e">
        <f>IF(AND($I$484=1,$C$484=1,$S$484=0),$N$484+$H$484/$Z$482*$M$12,NA())</f>
        <v>#N/A</v>
      </c>
      <c r="AR491" s="144" t="e">
        <f>IF(AND($I$484=1,$C$484=0),$N$484+$H$484/$Z$482*$M$12,NA())</f>
        <v>#N/A</v>
      </c>
      <c r="AS491" s="144" t="e">
        <f>IF($I$485=1,$M$485+$H$485/$Z$482*$L$12,NA())</f>
        <v>#N/A</v>
      </c>
      <c r="AT491" s="144" t="e">
        <f>IF($S$485=1,$N$485+$H$485/$Z$482*$M$12,NA())</f>
        <v>#N/A</v>
      </c>
      <c r="AU491" s="144" t="e">
        <f>IF(AND($I$485=1,$C$485=1,$S$485=0),$N$485+$H$485/$Z$482*$M$12,NA())</f>
        <v>#N/A</v>
      </c>
      <c r="AV491" s="144" t="e">
        <f>IF(AND($I$485=1,$C$485=0),$N$485+$H$485/$Z$482*$M$12,NA())</f>
        <v>#N/A</v>
      </c>
      <c r="AW491" s="144" t="e">
        <f>IF($I$486=1,$M$486+$H$486/$Z$482*$L$12,NA())</f>
        <v>#N/A</v>
      </c>
      <c r="AX491" s="144" t="e">
        <f>IF($S$486=1,$N$486+$H$486/$Z$482*$M$12,NA())</f>
        <v>#N/A</v>
      </c>
      <c r="AY491" s="144" t="e">
        <f>IF(AND($I$486=1,$C$486=1,$S$486=0),$N$486+$H$486/$Z$482*$M$12,NA())</f>
        <v>#N/A</v>
      </c>
      <c r="AZ491" s="144" t="e">
        <f>IF(AND($I$486=1,$C$486=0),$N$486+$H$486/$Z$482*$M$12,NA())</f>
        <v>#N/A</v>
      </c>
      <c r="BA491" s="144" t="e">
        <f>IF($I$487=1,$M$487+$H$487/$Z$482*$L$12,NA())</f>
        <v>#N/A</v>
      </c>
      <c r="BB491" s="144" t="e">
        <f>IF($S$487=1,$N$487+$H$487/$Z$482*$M$12,NA())</f>
        <v>#N/A</v>
      </c>
      <c r="BC491" s="144" t="e">
        <f>IF(AND($I$487=1,$C$487=1,$S$487=0),$N$487+$H$487/$Z$482*$M$12,NA())</f>
        <v>#N/A</v>
      </c>
      <c r="BD491" s="144" t="e">
        <f>IF(AND($I$487=1,$C$487=0),$N$487+$H$487/$Z$482*$M$12,NA())</f>
        <v>#N/A</v>
      </c>
      <c r="BE491" s="144" t="e">
        <f>IF($I$488=1,$M$488+$H$488/$Z$482*$L$12,NA())</f>
        <v>#N/A</v>
      </c>
      <c r="BF491" s="144" t="e">
        <f>IF($S$488=1,$N$488+$H$488/$Z$482*$M$12,NA())</f>
        <v>#N/A</v>
      </c>
      <c r="BG491" s="144" t="e">
        <f>IF(AND($I$488=1,$C$488=1,$S$488=0),$N$488+$H$488/$Z$482*$M$12,NA())</f>
        <v>#N/A</v>
      </c>
      <c r="BH491" s="144" t="e">
        <f>IF(AND($I$488=1,$C$488=0),$N$488+$H$488/$Z$482*$M$12,NA())</f>
        <v>#N/A</v>
      </c>
      <c r="BI491" s="144" t="e">
        <f>IF($I$489=1,$M$489+$H$489/$Z$482*$L$12,NA())</f>
        <v>#N/A</v>
      </c>
      <c r="BJ491" s="144" t="e">
        <f>IF($S$489=1,$N$489+$H$489/$Z$482*$M$12,NA())</f>
        <v>#N/A</v>
      </c>
      <c r="BK491" s="144" t="e">
        <f>IF(AND($I$489=1,$C$489=1,$S$489=0),$N$489+$H$489/$Z$482*$M$12,NA())</f>
        <v>#N/A</v>
      </c>
      <c r="BL491" s="144" t="e">
        <f>IF(AND($I$489=1,$C$489=0),$N$489+$H$489/$Z$482*$M$12,NA())</f>
        <v>#N/A</v>
      </c>
      <c r="BM491" s="144" t="e">
        <f>IF($I$490=1,$M$490+$H$490/$Z$482*$L$12,NA())</f>
        <v>#N/A</v>
      </c>
      <c r="BN491" s="144" t="e">
        <f>IF($S$490=1,$N$490+$H$490/$Z$482*$M$12,NA())</f>
        <v>#N/A</v>
      </c>
      <c r="BO491" s="144" t="e">
        <f>IF(AND($I$490=1,$C$490=1,$S$490=0),$N$490+$H$490/$Z$482*$M$12,NA())</f>
        <v>#N/A</v>
      </c>
      <c r="BP491" s="144" t="e">
        <f>IF(AND($I$490=1,$C$490=0),$N$490+$H$490/$Z$482*$M$12,NA())</f>
        <v>#N/A</v>
      </c>
    </row>
    <row r="492">
      <c r="A492" s="147" t="inlineStr">
        <is>
          <t xml:space="preserve">Label slot</t>
        </is>
      </c>
      <c r="B492" s="147" t="inlineStr">
        <is>
          <t xml:space="preserve">Rank t</t>
        </is>
      </c>
      <c r="C492" s="147" t="inlineStr">
        <is>
          <t xml:space="preserve">Object</t>
        </is>
      </c>
      <c r="D492" s="147" t="inlineStr">
        <is>
          <t xml:space="preserve">Label</t>
        </is>
      </c>
      <c r="E492" s="147" t="inlineStr">
        <is>
          <t xml:space="preserve">x</t>
        </is>
      </c>
      <c r="F492" s="147" t="inlineStr">
        <is>
          <t xml:space="preserve">y</t>
        </is>
      </c>
      <c r="AN492" s="146">
        <v>8</v>
      </c>
      <c r="AO492" s="144" t="e">
        <f>IF($I$484=1,$M$484+$H$484/$Z$482*$L$13,NA())</f>
        <v>#N/A</v>
      </c>
      <c r="AP492" s="144" t="e">
        <f>IF($S$484=1,$N$484+$H$484/$Z$482*$M$13,NA())</f>
        <v>#N/A</v>
      </c>
      <c r="AQ492" s="144" t="e">
        <f>IF(AND($I$484=1,$C$484=1,$S$484=0),$N$484+$H$484/$Z$482*$M$13,NA())</f>
        <v>#N/A</v>
      </c>
      <c r="AR492" s="144" t="e">
        <f>IF(AND($I$484=1,$C$484=0),$N$484+$H$484/$Z$482*$M$13,NA())</f>
        <v>#N/A</v>
      </c>
      <c r="AS492" s="144" t="e">
        <f>IF($I$485=1,$M$485+$H$485/$Z$482*$L$13,NA())</f>
        <v>#N/A</v>
      </c>
      <c r="AT492" s="144" t="e">
        <f>IF($S$485=1,$N$485+$H$485/$Z$482*$M$13,NA())</f>
        <v>#N/A</v>
      </c>
      <c r="AU492" s="144" t="e">
        <f>IF(AND($I$485=1,$C$485=1,$S$485=0),$N$485+$H$485/$Z$482*$M$13,NA())</f>
        <v>#N/A</v>
      </c>
      <c r="AV492" s="144" t="e">
        <f>IF(AND($I$485=1,$C$485=0),$N$485+$H$485/$Z$482*$M$13,NA())</f>
        <v>#N/A</v>
      </c>
      <c r="AW492" s="144" t="e">
        <f>IF($I$486=1,$M$486+$H$486/$Z$482*$L$13,NA())</f>
        <v>#N/A</v>
      </c>
      <c r="AX492" s="144" t="e">
        <f>IF($S$486=1,$N$486+$H$486/$Z$482*$M$13,NA())</f>
        <v>#N/A</v>
      </c>
      <c r="AY492" s="144" t="e">
        <f>IF(AND($I$486=1,$C$486=1,$S$486=0),$N$486+$H$486/$Z$482*$M$13,NA())</f>
        <v>#N/A</v>
      </c>
      <c r="AZ492" s="144" t="e">
        <f>IF(AND($I$486=1,$C$486=0),$N$486+$H$486/$Z$482*$M$13,NA())</f>
        <v>#N/A</v>
      </c>
      <c r="BA492" s="144" t="e">
        <f>IF($I$487=1,$M$487+$H$487/$Z$482*$L$13,NA())</f>
        <v>#N/A</v>
      </c>
      <c r="BB492" s="144" t="e">
        <f>IF($S$487=1,$N$487+$H$487/$Z$482*$M$13,NA())</f>
        <v>#N/A</v>
      </c>
      <c r="BC492" s="144" t="e">
        <f>IF(AND($I$487=1,$C$487=1,$S$487=0),$N$487+$H$487/$Z$482*$M$13,NA())</f>
        <v>#N/A</v>
      </c>
      <c r="BD492" s="144" t="e">
        <f>IF(AND($I$487=1,$C$487=0),$N$487+$H$487/$Z$482*$M$13,NA())</f>
        <v>#N/A</v>
      </c>
      <c r="BE492" s="144" t="e">
        <f>IF($I$488=1,$M$488+$H$488/$Z$482*$L$13,NA())</f>
        <v>#N/A</v>
      </c>
      <c r="BF492" s="144" t="e">
        <f>IF($S$488=1,$N$488+$H$488/$Z$482*$M$13,NA())</f>
        <v>#N/A</v>
      </c>
      <c r="BG492" s="144" t="e">
        <f>IF(AND($I$488=1,$C$488=1,$S$488=0),$N$488+$H$488/$Z$482*$M$13,NA())</f>
        <v>#N/A</v>
      </c>
      <c r="BH492" s="144" t="e">
        <f>IF(AND($I$488=1,$C$488=0),$N$488+$H$488/$Z$482*$M$13,NA())</f>
        <v>#N/A</v>
      </c>
      <c r="BI492" s="144" t="e">
        <f>IF($I$489=1,$M$489+$H$489/$Z$482*$L$13,NA())</f>
        <v>#N/A</v>
      </c>
      <c r="BJ492" s="144" t="e">
        <f>IF($S$489=1,$N$489+$H$489/$Z$482*$M$13,NA())</f>
        <v>#N/A</v>
      </c>
      <c r="BK492" s="144" t="e">
        <f>IF(AND($I$489=1,$C$489=1,$S$489=0),$N$489+$H$489/$Z$482*$M$13,NA())</f>
        <v>#N/A</v>
      </c>
      <c r="BL492" s="144" t="e">
        <f>IF(AND($I$489=1,$C$489=0),$N$489+$H$489/$Z$482*$M$13,NA())</f>
        <v>#N/A</v>
      </c>
      <c r="BM492" s="144" t="e">
        <f>IF($I$490=1,$M$490+$H$490/$Z$482*$L$13,NA())</f>
        <v>#N/A</v>
      </c>
      <c r="BN492" s="144" t="e">
        <f>IF($S$490=1,$N$490+$H$490/$Z$482*$M$13,NA())</f>
        <v>#N/A</v>
      </c>
      <c r="BO492" s="144" t="e">
        <f>IF(AND($I$490=1,$C$490=1,$S$490=0),$N$490+$H$490/$Z$482*$M$13,NA())</f>
        <v>#N/A</v>
      </c>
      <c r="BP492" s="144" t="e">
        <f>IF(AND($I$490=1,$C$490=0),$N$490+$H$490/$Z$482*$M$13,NA())</f>
        <v>#N/A</v>
      </c>
    </row>
    <row r="493">
      <c r="A493" s="63" t="inlineStr">
        <is>
          <t xml:space="preserve">slot 1 (t)</t>
        </is>
      </c>
      <c r="B493" s="146">
        <v>1</v>
      </c>
      <c r="C493" s="146" t="e">
        <f>IFERROR(MATCH(B493,$F$484:$F$490,0),NA())</f>
        <v>#N/A</v>
      </c>
      <c r="D493" s="145" t="str">
        <f>IFERROR(INDEX($AJ$484:$AJ$490,C493),"")</f>
        <v/>
      </c>
      <c r="E493" s="144" t="e">
        <f>IFERROR(INDEX($M$484:$M$490,C493),NA())</f>
        <v>#N/A</v>
      </c>
      <c r="F493" s="144" t="e">
        <f>IFERROR(INDEX($N$484:$N$490,C493),NA())</f>
        <v>#N/A</v>
      </c>
      <c r="AN493" s="146">
        <v>9</v>
      </c>
      <c r="AO493" s="144" t="e">
        <f>IF($I$484=1,$M$484+$H$484/$Z$482*$L$14,NA())</f>
        <v>#N/A</v>
      </c>
      <c r="AP493" s="144" t="e">
        <f>IF($S$484=1,$N$484+$H$484/$Z$482*$M$14,NA())</f>
        <v>#N/A</v>
      </c>
      <c r="AQ493" s="144" t="e">
        <f>IF(AND($I$484=1,$C$484=1,$S$484=0),$N$484+$H$484/$Z$482*$M$14,NA())</f>
        <v>#N/A</v>
      </c>
      <c r="AR493" s="144" t="e">
        <f>IF(AND($I$484=1,$C$484=0),$N$484+$H$484/$Z$482*$M$14,NA())</f>
        <v>#N/A</v>
      </c>
      <c r="AS493" s="144" t="e">
        <f>IF($I$485=1,$M$485+$H$485/$Z$482*$L$14,NA())</f>
        <v>#N/A</v>
      </c>
      <c r="AT493" s="144" t="e">
        <f>IF($S$485=1,$N$485+$H$485/$Z$482*$M$14,NA())</f>
        <v>#N/A</v>
      </c>
      <c r="AU493" s="144" t="e">
        <f>IF(AND($I$485=1,$C$485=1,$S$485=0),$N$485+$H$485/$Z$482*$M$14,NA())</f>
        <v>#N/A</v>
      </c>
      <c r="AV493" s="144" t="e">
        <f>IF(AND($I$485=1,$C$485=0),$N$485+$H$485/$Z$482*$M$14,NA())</f>
        <v>#N/A</v>
      </c>
      <c r="AW493" s="144" t="e">
        <f>IF($I$486=1,$M$486+$H$486/$Z$482*$L$14,NA())</f>
        <v>#N/A</v>
      </c>
      <c r="AX493" s="144" t="e">
        <f>IF($S$486=1,$N$486+$H$486/$Z$482*$M$14,NA())</f>
        <v>#N/A</v>
      </c>
      <c r="AY493" s="144" t="e">
        <f>IF(AND($I$486=1,$C$486=1,$S$486=0),$N$486+$H$486/$Z$482*$M$14,NA())</f>
        <v>#N/A</v>
      </c>
      <c r="AZ493" s="144" t="e">
        <f>IF(AND($I$486=1,$C$486=0),$N$486+$H$486/$Z$482*$M$14,NA())</f>
        <v>#N/A</v>
      </c>
      <c r="BA493" s="144" t="e">
        <f>IF($I$487=1,$M$487+$H$487/$Z$482*$L$14,NA())</f>
        <v>#N/A</v>
      </c>
      <c r="BB493" s="144" t="e">
        <f>IF($S$487=1,$N$487+$H$487/$Z$482*$M$14,NA())</f>
        <v>#N/A</v>
      </c>
      <c r="BC493" s="144" t="e">
        <f>IF(AND($I$487=1,$C$487=1,$S$487=0),$N$487+$H$487/$Z$482*$M$14,NA())</f>
        <v>#N/A</v>
      </c>
      <c r="BD493" s="144" t="e">
        <f>IF(AND($I$487=1,$C$487=0),$N$487+$H$487/$Z$482*$M$14,NA())</f>
        <v>#N/A</v>
      </c>
      <c r="BE493" s="144" t="e">
        <f>IF($I$488=1,$M$488+$H$488/$Z$482*$L$14,NA())</f>
        <v>#N/A</v>
      </c>
      <c r="BF493" s="144" t="e">
        <f>IF($S$488=1,$N$488+$H$488/$Z$482*$M$14,NA())</f>
        <v>#N/A</v>
      </c>
      <c r="BG493" s="144" t="e">
        <f>IF(AND($I$488=1,$C$488=1,$S$488=0),$N$488+$H$488/$Z$482*$M$14,NA())</f>
        <v>#N/A</v>
      </c>
      <c r="BH493" s="144" t="e">
        <f>IF(AND($I$488=1,$C$488=0),$N$488+$H$488/$Z$482*$M$14,NA())</f>
        <v>#N/A</v>
      </c>
      <c r="BI493" s="144" t="e">
        <f>IF($I$489=1,$M$489+$H$489/$Z$482*$L$14,NA())</f>
        <v>#N/A</v>
      </c>
      <c r="BJ493" s="144" t="e">
        <f>IF($S$489=1,$N$489+$H$489/$Z$482*$M$14,NA())</f>
        <v>#N/A</v>
      </c>
      <c r="BK493" s="144" t="e">
        <f>IF(AND($I$489=1,$C$489=1,$S$489=0),$N$489+$H$489/$Z$482*$M$14,NA())</f>
        <v>#N/A</v>
      </c>
      <c r="BL493" s="144" t="e">
        <f>IF(AND($I$489=1,$C$489=0),$N$489+$H$489/$Z$482*$M$14,NA())</f>
        <v>#N/A</v>
      </c>
      <c r="BM493" s="144" t="e">
        <f>IF($I$490=1,$M$490+$H$490/$Z$482*$L$14,NA())</f>
        <v>#N/A</v>
      </c>
      <c r="BN493" s="144" t="e">
        <f>IF($S$490=1,$N$490+$H$490/$Z$482*$M$14,NA())</f>
        <v>#N/A</v>
      </c>
      <c r="BO493" s="144" t="e">
        <f>IF(AND($I$490=1,$C$490=1,$S$490=0),$N$490+$H$490/$Z$482*$M$14,NA())</f>
        <v>#N/A</v>
      </c>
      <c r="BP493" s="144" t="e">
        <f>IF(AND($I$490=1,$C$490=0),$N$490+$H$490/$Z$482*$M$14,NA())</f>
        <v>#N/A</v>
      </c>
    </row>
    <row r="494">
      <c r="A494" s="63" t="inlineStr">
        <is>
          <t xml:space="preserve">slot 2 (r)</t>
        </is>
      </c>
      <c r="B494" s="146">
        <v>2</v>
      </c>
      <c r="C494" s="146" t="e">
        <f>IFERROR(MATCH(B494,$F$484:$F$490,0),NA())</f>
        <v>#N/A</v>
      </c>
      <c r="D494" s="145" t="str">
        <f>IFERROR(INDEX($AJ$484:$AJ$490,C494),"")</f>
        <v/>
      </c>
      <c r="E494" s="144" t="e">
        <f>IFERROR(INDEX($M$484:$M$490,C494),NA())</f>
        <v>#N/A</v>
      </c>
      <c r="F494" s="144" t="e">
        <f>IFERROR(INDEX($N$484:$N$490,C494),NA())</f>
        <v>#N/A</v>
      </c>
      <c r="AN494" s="146">
        <v>10</v>
      </c>
      <c r="AO494" s="144" t="e">
        <f>IF($I$484=1,$M$484+$H$484/$Z$482*$L$15,NA())</f>
        <v>#N/A</v>
      </c>
      <c r="AP494" s="144" t="e">
        <f>IF($S$484=1,$N$484+$H$484/$Z$482*$M$15,NA())</f>
        <v>#N/A</v>
      </c>
      <c r="AQ494" s="144" t="e">
        <f>IF(AND($I$484=1,$C$484=1,$S$484=0),$N$484+$H$484/$Z$482*$M$15,NA())</f>
        <v>#N/A</v>
      </c>
      <c r="AR494" s="144" t="e">
        <f>IF(AND($I$484=1,$C$484=0),$N$484+$H$484/$Z$482*$M$15,NA())</f>
        <v>#N/A</v>
      </c>
      <c r="AS494" s="144" t="e">
        <f>IF($I$485=1,$M$485+$H$485/$Z$482*$L$15,NA())</f>
        <v>#N/A</v>
      </c>
      <c r="AT494" s="144" t="e">
        <f>IF($S$485=1,$N$485+$H$485/$Z$482*$M$15,NA())</f>
        <v>#N/A</v>
      </c>
      <c r="AU494" s="144" t="e">
        <f>IF(AND($I$485=1,$C$485=1,$S$485=0),$N$485+$H$485/$Z$482*$M$15,NA())</f>
        <v>#N/A</v>
      </c>
      <c r="AV494" s="144" t="e">
        <f>IF(AND($I$485=1,$C$485=0),$N$485+$H$485/$Z$482*$M$15,NA())</f>
        <v>#N/A</v>
      </c>
      <c r="AW494" s="144" t="e">
        <f>IF($I$486=1,$M$486+$H$486/$Z$482*$L$15,NA())</f>
        <v>#N/A</v>
      </c>
      <c r="AX494" s="144" t="e">
        <f>IF($S$486=1,$N$486+$H$486/$Z$482*$M$15,NA())</f>
        <v>#N/A</v>
      </c>
      <c r="AY494" s="144" t="e">
        <f>IF(AND($I$486=1,$C$486=1,$S$486=0),$N$486+$H$486/$Z$482*$M$15,NA())</f>
        <v>#N/A</v>
      </c>
      <c r="AZ494" s="144" t="e">
        <f>IF(AND($I$486=1,$C$486=0),$N$486+$H$486/$Z$482*$M$15,NA())</f>
        <v>#N/A</v>
      </c>
      <c r="BA494" s="144" t="e">
        <f>IF($I$487=1,$M$487+$H$487/$Z$482*$L$15,NA())</f>
        <v>#N/A</v>
      </c>
      <c r="BB494" s="144" t="e">
        <f>IF($S$487=1,$N$487+$H$487/$Z$482*$M$15,NA())</f>
        <v>#N/A</v>
      </c>
      <c r="BC494" s="144" t="e">
        <f>IF(AND($I$487=1,$C$487=1,$S$487=0),$N$487+$H$487/$Z$482*$M$15,NA())</f>
        <v>#N/A</v>
      </c>
      <c r="BD494" s="144" t="e">
        <f>IF(AND($I$487=1,$C$487=0),$N$487+$H$487/$Z$482*$M$15,NA())</f>
        <v>#N/A</v>
      </c>
      <c r="BE494" s="144" t="e">
        <f>IF($I$488=1,$M$488+$H$488/$Z$482*$L$15,NA())</f>
        <v>#N/A</v>
      </c>
      <c r="BF494" s="144" t="e">
        <f>IF($S$488=1,$N$488+$H$488/$Z$482*$M$15,NA())</f>
        <v>#N/A</v>
      </c>
      <c r="BG494" s="144" t="e">
        <f>IF(AND($I$488=1,$C$488=1,$S$488=0),$N$488+$H$488/$Z$482*$M$15,NA())</f>
        <v>#N/A</v>
      </c>
      <c r="BH494" s="144" t="e">
        <f>IF(AND($I$488=1,$C$488=0),$N$488+$H$488/$Z$482*$M$15,NA())</f>
        <v>#N/A</v>
      </c>
      <c r="BI494" s="144" t="e">
        <f>IF($I$489=1,$M$489+$H$489/$Z$482*$L$15,NA())</f>
        <v>#N/A</v>
      </c>
      <c r="BJ494" s="144" t="e">
        <f>IF($S$489=1,$N$489+$H$489/$Z$482*$M$15,NA())</f>
        <v>#N/A</v>
      </c>
      <c r="BK494" s="144" t="e">
        <f>IF(AND($I$489=1,$C$489=1,$S$489=0),$N$489+$H$489/$Z$482*$M$15,NA())</f>
        <v>#N/A</v>
      </c>
      <c r="BL494" s="144" t="e">
        <f>IF(AND($I$489=1,$C$489=0),$N$489+$H$489/$Z$482*$M$15,NA())</f>
        <v>#N/A</v>
      </c>
      <c r="BM494" s="144" t="e">
        <f>IF($I$490=1,$M$490+$H$490/$Z$482*$L$15,NA())</f>
        <v>#N/A</v>
      </c>
      <c r="BN494" s="144" t="e">
        <f>IF($S$490=1,$N$490+$H$490/$Z$482*$M$15,NA())</f>
        <v>#N/A</v>
      </c>
      <c r="BO494" s="144" t="e">
        <f>IF(AND($I$490=1,$C$490=1,$S$490=0),$N$490+$H$490/$Z$482*$M$15,NA())</f>
        <v>#N/A</v>
      </c>
      <c r="BP494" s="144" t="e">
        <f>IF(AND($I$490=1,$C$490=0),$N$490+$H$490/$Z$482*$M$15,NA())</f>
        <v>#N/A</v>
      </c>
    </row>
    <row r="495">
      <c r="A495" s="63" t="inlineStr">
        <is>
          <t xml:space="preserve">slot 3 (r)</t>
        </is>
      </c>
      <c r="B495" s="146">
        <v>3</v>
      </c>
      <c r="C495" s="146" t="e">
        <f>IFERROR(MATCH(B495,$F$484:$F$490,0),NA())</f>
        <v>#N/A</v>
      </c>
      <c r="D495" s="145" t="str">
        <f>IFERROR(INDEX($AJ$484:$AJ$490,C495),"")</f>
        <v/>
      </c>
      <c r="E495" s="144" t="e">
        <f>IFERROR(INDEX($M$484:$M$490,C495),NA())</f>
        <v>#N/A</v>
      </c>
      <c r="F495" s="144" t="e">
        <f>IFERROR(INDEX($N$484:$N$490,C495),NA())</f>
        <v>#N/A</v>
      </c>
      <c r="AN495" s="146">
        <v>11</v>
      </c>
      <c r="AO495" s="144" t="e">
        <f>IF($I$484=1,$M$484+$H$484/$Z$482*$L$16,NA())</f>
        <v>#N/A</v>
      </c>
      <c r="AP495" s="144" t="e">
        <f>IF($S$484=1,$N$484+$H$484/$Z$482*$M$16,NA())</f>
        <v>#N/A</v>
      </c>
      <c r="AQ495" s="144" t="e">
        <f>IF(AND($I$484=1,$C$484=1,$S$484=0),$N$484+$H$484/$Z$482*$M$16,NA())</f>
        <v>#N/A</v>
      </c>
      <c r="AR495" s="144" t="e">
        <f>IF(AND($I$484=1,$C$484=0),$N$484+$H$484/$Z$482*$M$16,NA())</f>
        <v>#N/A</v>
      </c>
      <c r="AS495" s="144" t="e">
        <f>IF($I$485=1,$M$485+$H$485/$Z$482*$L$16,NA())</f>
        <v>#N/A</v>
      </c>
      <c r="AT495" s="144" t="e">
        <f>IF($S$485=1,$N$485+$H$485/$Z$482*$M$16,NA())</f>
        <v>#N/A</v>
      </c>
      <c r="AU495" s="144" t="e">
        <f>IF(AND($I$485=1,$C$485=1,$S$485=0),$N$485+$H$485/$Z$482*$M$16,NA())</f>
        <v>#N/A</v>
      </c>
      <c r="AV495" s="144" t="e">
        <f>IF(AND($I$485=1,$C$485=0),$N$485+$H$485/$Z$482*$M$16,NA())</f>
        <v>#N/A</v>
      </c>
      <c r="AW495" s="144" t="e">
        <f>IF($I$486=1,$M$486+$H$486/$Z$482*$L$16,NA())</f>
        <v>#N/A</v>
      </c>
      <c r="AX495" s="144" t="e">
        <f>IF($S$486=1,$N$486+$H$486/$Z$482*$M$16,NA())</f>
        <v>#N/A</v>
      </c>
      <c r="AY495" s="144" t="e">
        <f>IF(AND($I$486=1,$C$486=1,$S$486=0),$N$486+$H$486/$Z$482*$M$16,NA())</f>
        <v>#N/A</v>
      </c>
      <c r="AZ495" s="144" t="e">
        <f>IF(AND($I$486=1,$C$486=0),$N$486+$H$486/$Z$482*$M$16,NA())</f>
        <v>#N/A</v>
      </c>
      <c r="BA495" s="144" t="e">
        <f>IF($I$487=1,$M$487+$H$487/$Z$482*$L$16,NA())</f>
        <v>#N/A</v>
      </c>
      <c r="BB495" s="144" t="e">
        <f>IF($S$487=1,$N$487+$H$487/$Z$482*$M$16,NA())</f>
        <v>#N/A</v>
      </c>
      <c r="BC495" s="144" t="e">
        <f>IF(AND($I$487=1,$C$487=1,$S$487=0),$N$487+$H$487/$Z$482*$M$16,NA())</f>
        <v>#N/A</v>
      </c>
      <c r="BD495" s="144" t="e">
        <f>IF(AND($I$487=1,$C$487=0),$N$487+$H$487/$Z$482*$M$16,NA())</f>
        <v>#N/A</v>
      </c>
      <c r="BE495" s="144" t="e">
        <f>IF($I$488=1,$M$488+$H$488/$Z$482*$L$16,NA())</f>
        <v>#N/A</v>
      </c>
      <c r="BF495" s="144" t="e">
        <f>IF($S$488=1,$N$488+$H$488/$Z$482*$M$16,NA())</f>
        <v>#N/A</v>
      </c>
      <c r="BG495" s="144" t="e">
        <f>IF(AND($I$488=1,$C$488=1,$S$488=0),$N$488+$H$488/$Z$482*$M$16,NA())</f>
        <v>#N/A</v>
      </c>
      <c r="BH495" s="144" t="e">
        <f>IF(AND($I$488=1,$C$488=0),$N$488+$H$488/$Z$482*$M$16,NA())</f>
        <v>#N/A</v>
      </c>
      <c r="BI495" s="144" t="e">
        <f>IF($I$489=1,$M$489+$H$489/$Z$482*$L$16,NA())</f>
        <v>#N/A</v>
      </c>
      <c r="BJ495" s="144" t="e">
        <f>IF($S$489=1,$N$489+$H$489/$Z$482*$M$16,NA())</f>
        <v>#N/A</v>
      </c>
      <c r="BK495" s="144" t="e">
        <f>IF(AND($I$489=1,$C$489=1,$S$489=0),$N$489+$H$489/$Z$482*$M$16,NA())</f>
        <v>#N/A</v>
      </c>
      <c r="BL495" s="144" t="e">
        <f>IF(AND($I$489=1,$C$489=0),$N$489+$H$489/$Z$482*$M$16,NA())</f>
        <v>#N/A</v>
      </c>
      <c r="BM495" s="144" t="e">
        <f>IF($I$490=1,$M$490+$H$490/$Z$482*$L$16,NA())</f>
        <v>#N/A</v>
      </c>
      <c r="BN495" s="144" t="e">
        <f>IF($S$490=1,$N$490+$H$490/$Z$482*$M$16,NA())</f>
        <v>#N/A</v>
      </c>
      <c r="BO495" s="144" t="e">
        <f>IF(AND($I$490=1,$C$490=1,$S$490=0),$N$490+$H$490/$Z$482*$M$16,NA())</f>
        <v>#N/A</v>
      </c>
      <c r="BP495" s="144" t="e">
        <f>IF(AND($I$490=1,$C$490=0),$N$490+$H$490/$Z$482*$M$16,NA())</f>
        <v>#N/A</v>
      </c>
    </row>
    <row r="496">
      <c r="A496" s="63" t="inlineStr">
        <is>
          <t xml:space="preserve">slot 4 (b)</t>
        </is>
      </c>
      <c r="B496" s="146">
        <v>4</v>
      </c>
      <c r="C496" s="146" t="e">
        <f>IFERROR(MATCH(B496,$F$484:$F$490,0),NA())</f>
        <v>#N/A</v>
      </c>
      <c r="D496" s="145" t="str">
        <f>IFERROR(INDEX($AJ$484:$AJ$490,C496),"")</f>
        <v/>
      </c>
      <c r="E496" s="144" t="e">
        <f>IFERROR(INDEX($M$484:$M$490,C496),NA())</f>
        <v>#N/A</v>
      </c>
      <c r="F496" s="144" t="e">
        <f>IFERROR(INDEX($N$484:$N$490,C496),NA())</f>
        <v>#N/A</v>
      </c>
      <c r="AN496" s="146">
        <v>12</v>
      </c>
      <c r="AO496" s="144" t="e">
        <f>IF($I$484=1,$M$484+$H$484/$Z$482*$L$17,NA())</f>
        <v>#N/A</v>
      </c>
      <c r="AP496" s="144" t="e">
        <f>IF($S$484=1,$N$484+$H$484/$Z$482*$M$17,NA())</f>
        <v>#N/A</v>
      </c>
      <c r="AQ496" s="144" t="e">
        <f>IF(AND($I$484=1,$C$484=1,$S$484=0),$N$484+$H$484/$Z$482*$M$17,NA())</f>
        <v>#N/A</v>
      </c>
      <c r="AR496" s="144" t="e">
        <f>IF(AND($I$484=1,$C$484=0),$N$484+$H$484/$Z$482*$M$17,NA())</f>
        <v>#N/A</v>
      </c>
      <c r="AS496" s="144" t="e">
        <f>IF($I$485=1,$M$485+$H$485/$Z$482*$L$17,NA())</f>
        <v>#N/A</v>
      </c>
      <c r="AT496" s="144" t="e">
        <f>IF($S$485=1,$N$485+$H$485/$Z$482*$M$17,NA())</f>
        <v>#N/A</v>
      </c>
      <c r="AU496" s="144" t="e">
        <f>IF(AND($I$485=1,$C$485=1,$S$485=0),$N$485+$H$485/$Z$482*$M$17,NA())</f>
        <v>#N/A</v>
      </c>
      <c r="AV496" s="144" t="e">
        <f>IF(AND($I$485=1,$C$485=0),$N$485+$H$485/$Z$482*$M$17,NA())</f>
        <v>#N/A</v>
      </c>
      <c r="AW496" s="144" t="e">
        <f>IF($I$486=1,$M$486+$H$486/$Z$482*$L$17,NA())</f>
        <v>#N/A</v>
      </c>
      <c r="AX496" s="144" t="e">
        <f>IF($S$486=1,$N$486+$H$486/$Z$482*$M$17,NA())</f>
        <v>#N/A</v>
      </c>
      <c r="AY496" s="144" t="e">
        <f>IF(AND($I$486=1,$C$486=1,$S$486=0),$N$486+$H$486/$Z$482*$M$17,NA())</f>
        <v>#N/A</v>
      </c>
      <c r="AZ496" s="144" t="e">
        <f>IF(AND($I$486=1,$C$486=0),$N$486+$H$486/$Z$482*$M$17,NA())</f>
        <v>#N/A</v>
      </c>
      <c r="BA496" s="144" t="e">
        <f>IF($I$487=1,$M$487+$H$487/$Z$482*$L$17,NA())</f>
        <v>#N/A</v>
      </c>
      <c r="BB496" s="144" t="e">
        <f>IF($S$487=1,$N$487+$H$487/$Z$482*$M$17,NA())</f>
        <v>#N/A</v>
      </c>
      <c r="BC496" s="144" t="e">
        <f>IF(AND($I$487=1,$C$487=1,$S$487=0),$N$487+$H$487/$Z$482*$M$17,NA())</f>
        <v>#N/A</v>
      </c>
      <c r="BD496" s="144" t="e">
        <f>IF(AND($I$487=1,$C$487=0),$N$487+$H$487/$Z$482*$M$17,NA())</f>
        <v>#N/A</v>
      </c>
      <c r="BE496" s="144" t="e">
        <f>IF($I$488=1,$M$488+$H$488/$Z$482*$L$17,NA())</f>
        <v>#N/A</v>
      </c>
      <c r="BF496" s="144" t="e">
        <f>IF($S$488=1,$N$488+$H$488/$Z$482*$M$17,NA())</f>
        <v>#N/A</v>
      </c>
      <c r="BG496" s="144" t="e">
        <f>IF(AND($I$488=1,$C$488=1,$S$488=0),$N$488+$H$488/$Z$482*$M$17,NA())</f>
        <v>#N/A</v>
      </c>
      <c r="BH496" s="144" t="e">
        <f>IF(AND($I$488=1,$C$488=0),$N$488+$H$488/$Z$482*$M$17,NA())</f>
        <v>#N/A</v>
      </c>
      <c r="BI496" s="144" t="e">
        <f>IF($I$489=1,$M$489+$H$489/$Z$482*$L$17,NA())</f>
        <v>#N/A</v>
      </c>
      <c r="BJ496" s="144" t="e">
        <f>IF($S$489=1,$N$489+$H$489/$Z$482*$M$17,NA())</f>
        <v>#N/A</v>
      </c>
      <c r="BK496" s="144" t="e">
        <f>IF(AND($I$489=1,$C$489=1,$S$489=0),$N$489+$H$489/$Z$482*$M$17,NA())</f>
        <v>#N/A</v>
      </c>
      <c r="BL496" s="144" t="e">
        <f>IF(AND($I$489=1,$C$489=0),$N$489+$H$489/$Z$482*$M$17,NA())</f>
        <v>#N/A</v>
      </c>
      <c r="BM496" s="144" t="e">
        <f>IF($I$490=1,$M$490+$H$490/$Z$482*$L$17,NA())</f>
        <v>#N/A</v>
      </c>
      <c r="BN496" s="144" t="e">
        <f>IF($S$490=1,$N$490+$H$490/$Z$482*$M$17,NA())</f>
        <v>#N/A</v>
      </c>
      <c r="BO496" s="144" t="e">
        <f>IF(AND($I$490=1,$C$490=1,$S$490=0),$N$490+$H$490/$Z$482*$M$17,NA())</f>
        <v>#N/A</v>
      </c>
      <c r="BP496" s="144" t="e">
        <f>IF(AND($I$490=1,$C$490=0),$N$490+$H$490/$Z$482*$M$17,NA())</f>
        <v>#N/A</v>
      </c>
    </row>
    <row r="497">
      <c r="A497" s="63" t="inlineStr">
        <is>
          <t xml:space="preserve">slot 5 (l)</t>
        </is>
      </c>
      <c r="B497" s="146">
        <v>5</v>
      </c>
      <c r="C497" s="146" t="e">
        <f>IFERROR(MATCH(B497,$F$484:$F$490,0),NA())</f>
        <v>#N/A</v>
      </c>
      <c r="D497" s="145" t="str">
        <f>IFERROR(INDEX($AJ$484:$AJ$490,C497),"")</f>
        <v/>
      </c>
      <c r="E497" s="144" t="e">
        <f>IFERROR(INDEX($M$484:$M$490,C497),NA())</f>
        <v>#N/A</v>
      </c>
      <c r="F497" s="144" t="e">
        <f>IFERROR(INDEX($N$484:$N$490,C497),NA())</f>
        <v>#N/A</v>
      </c>
      <c r="AN497" s="146">
        <v>13</v>
      </c>
      <c r="AO497" s="144" t="e">
        <f>IF($I$484=1,$M$484+$H$484/$Z$482*$L$18,NA())</f>
        <v>#N/A</v>
      </c>
      <c r="AP497" s="144" t="e">
        <f>IF($S$484=1,$N$484+$H$484/$Z$482*$M$18,NA())</f>
        <v>#N/A</v>
      </c>
      <c r="AQ497" s="144" t="e">
        <f>IF(AND($I$484=1,$C$484=1,$S$484=0),$N$484+$H$484/$Z$482*$M$18,NA())</f>
        <v>#N/A</v>
      </c>
      <c r="AR497" s="144" t="e">
        <f>IF(AND($I$484=1,$C$484=0),$N$484+$H$484/$Z$482*$M$18,NA())</f>
        <v>#N/A</v>
      </c>
      <c r="AS497" s="144" t="e">
        <f>IF($I$485=1,$M$485+$H$485/$Z$482*$L$18,NA())</f>
        <v>#N/A</v>
      </c>
      <c r="AT497" s="144" t="e">
        <f>IF($S$485=1,$N$485+$H$485/$Z$482*$M$18,NA())</f>
        <v>#N/A</v>
      </c>
      <c r="AU497" s="144" t="e">
        <f>IF(AND($I$485=1,$C$485=1,$S$485=0),$N$485+$H$485/$Z$482*$M$18,NA())</f>
        <v>#N/A</v>
      </c>
      <c r="AV497" s="144" t="e">
        <f>IF(AND($I$485=1,$C$485=0),$N$485+$H$485/$Z$482*$M$18,NA())</f>
        <v>#N/A</v>
      </c>
      <c r="AW497" s="144" t="e">
        <f>IF($I$486=1,$M$486+$H$486/$Z$482*$L$18,NA())</f>
        <v>#N/A</v>
      </c>
      <c r="AX497" s="144" t="e">
        <f>IF($S$486=1,$N$486+$H$486/$Z$482*$M$18,NA())</f>
        <v>#N/A</v>
      </c>
      <c r="AY497" s="144" t="e">
        <f>IF(AND($I$486=1,$C$486=1,$S$486=0),$N$486+$H$486/$Z$482*$M$18,NA())</f>
        <v>#N/A</v>
      </c>
      <c r="AZ497" s="144" t="e">
        <f>IF(AND($I$486=1,$C$486=0),$N$486+$H$486/$Z$482*$M$18,NA())</f>
        <v>#N/A</v>
      </c>
      <c r="BA497" s="144" t="e">
        <f>IF($I$487=1,$M$487+$H$487/$Z$482*$L$18,NA())</f>
        <v>#N/A</v>
      </c>
      <c r="BB497" s="144" t="e">
        <f>IF($S$487=1,$N$487+$H$487/$Z$482*$M$18,NA())</f>
        <v>#N/A</v>
      </c>
      <c r="BC497" s="144" t="e">
        <f>IF(AND($I$487=1,$C$487=1,$S$487=0),$N$487+$H$487/$Z$482*$M$18,NA())</f>
        <v>#N/A</v>
      </c>
      <c r="BD497" s="144" t="e">
        <f>IF(AND($I$487=1,$C$487=0),$N$487+$H$487/$Z$482*$M$18,NA())</f>
        <v>#N/A</v>
      </c>
      <c r="BE497" s="144" t="e">
        <f>IF($I$488=1,$M$488+$H$488/$Z$482*$L$18,NA())</f>
        <v>#N/A</v>
      </c>
      <c r="BF497" s="144" t="e">
        <f>IF($S$488=1,$N$488+$H$488/$Z$482*$M$18,NA())</f>
        <v>#N/A</v>
      </c>
      <c r="BG497" s="144" t="e">
        <f>IF(AND($I$488=1,$C$488=1,$S$488=0),$N$488+$H$488/$Z$482*$M$18,NA())</f>
        <v>#N/A</v>
      </c>
      <c r="BH497" s="144" t="e">
        <f>IF(AND($I$488=1,$C$488=0),$N$488+$H$488/$Z$482*$M$18,NA())</f>
        <v>#N/A</v>
      </c>
      <c r="BI497" s="144" t="e">
        <f>IF($I$489=1,$M$489+$H$489/$Z$482*$L$18,NA())</f>
        <v>#N/A</v>
      </c>
      <c r="BJ497" s="144" t="e">
        <f>IF($S$489=1,$N$489+$H$489/$Z$482*$M$18,NA())</f>
        <v>#N/A</v>
      </c>
      <c r="BK497" s="144" t="e">
        <f>IF(AND($I$489=1,$C$489=1,$S$489=0),$N$489+$H$489/$Z$482*$M$18,NA())</f>
        <v>#N/A</v>
      </c>
      <c r="BL497" s="144" t="e">
        <f>IF(AND($I$489=1,$C$489=0),$N$489+$H$489/$Z$482*$M$18,NA())</f>
        <v>#N/A</v>
      </c>
      <c r="BM497" s="144" t="e">
        <f>IF($I$490=1,$M$490+$H$490/$Z$482*$L$18,NA())</f>
        <v>#N/A</v>
      </c>
      <c r="BN497" s="144" t="e">
        <f>IF($S$490=1,$N$490+$H$490/$Z$482*$M$18,NA())</f>
        <v>#N/A</v>
      </c>
      <c r="BO497" s="144" t="e">
        <f>IF(AND($I$490=1,$C$490=1,$S$490=0),$N$490+$H$490/$Z$482*$M$18,NA())</f>
        <v>#N/A</v>
      </c>
      <c r="BP497" s="144" t="e">
        <f>IF(AND($I$490=1,$C$490=0),$N$490+$H$490/$Z$482*$M$18,NA())</f>
        <v>#N/A</v>
      </c>
    </row>
    <row r="498">
      <c r="A498" s="63" t="inlineStr">
        <is>
          <t xml:space="preserve">slot 6 (l)</t>
        </is>
      </c>
      <c r="B498" s="146">
        <v>6</v>
      </c>
      <c r="C498" s="146" t="e">
        <f>IFERROR(MATCH(B498,$F$484:$F$490,0),NA())</f>
        <v>#N/A</v>
      </c>
      <c r="D498" s="145" t="str">
        <f>IFERROR(INDEX($AJ$484:$AJ$490,C498),"")</f>
        <v/>
      </c>
      <c r="E498" s="144" t="e">
        <f>IFERROR(INDEX($M$484:$M$490,C498),NA())</f>
        <v>#N/A</v>
      </c>
      <c r="F498" s="144" t="e">
        <f>IFERROR(INDEX($N$484:$N$490,C498),NA())</f>
        <v>#N/A</v>
      </c>
      <c r="AN498" s="146">
        <v>14</v>
      </c>
      <c r="AO498" s="144" t="e">
        <f>IF($I$484=1,$M$484+$H$484/$Z$482*$L$19,NA())</f>
        <v>#N/A</v>
      </c>
      <c r="AP498" s="144" t="e">
        <f>IF($S$484=1,$N$484+$H$484/$Z$482*$M$19,NA())</f>
        <v>#N/A</v>
      </c>
      <c r="AQ498" s="144" t="e">
        <f>IF(AND($I$484=1,$C$484=1,$S$484=0),$N$484+$H$484/$Z$482*$M$19,NA())</f>
        <v>#N/A</v>
      </c>
      <c r="AR498" s="144" t="e">
        <f>IF(AND($I$484=1,$C$484=0),$N$484+$H$484/$Z$482*$M$19,NA())</f>
        <v>#N/A</v>
      </c>
      <c r="AS498" s="144" t="e">
        <f>IF($I$485=1,$M$485+$H$485/$Z$482*$L$19,NA())</f>
        <v>#N/A</v>
      </c>
      <c r="AT498" s="144" t="e">
        <f>IF($S$485=1,$N$485+$H$485/$Z$482*$M$19,NA())</f>
        <v>#N/A</v>
      </c>
      <c r="AU498" s="144" t="e">
        <f>IF(AND($I$485=1,$C$485=1,$S$485=0),$N$485+$H$485/$Z$482*$M$19,NA())</f>
        <v>#N/A</v>
      </c>
      <c r="AV498" s="144" t="e">
        <f>IF(AND($I$485=1,$C$485=0),$N$485+$H$485/$Z$482*$M$19,NA())</f>
        <v>#N/A</v>
      </c>
      <c r="AW498" s="144" t="e">
        <f>IF($I$486=1,$M$486+$H$486/$Z$482*$L$19,NA())</f>
        <v>#N/A</v>
      </c>
      <c r="AX498" s="144" t="e">
        <f>IF($S$486=1,$N$486+$H$486/$Z$482*$M$19,NA())</f>
        <v>#N/A</v>
      </c>
      <c r="AY498" s="144" t="e">
        <f>IF(AND($I$486=1,$C$486=1,$S$486=0),$N$486+$H$486/$Z$482*$M$19,NA())</f>
        <v>#N/A</v>
      </c>
      <c r="AZ498" s="144" t="e">
        <f>IF(AND($I$486=1,$C$486=0),$N$486+$H$486/$Z$482*$M$19,NA())</f>
        <v>#N/A</v>
      </c>
      <c r="BA498" s="144" t="e">
        <f>IF($I$487=1,$M$487+$H$487/$Z$482*$L$19,NA())</f>
        <v>#N/A</v>
      </c>
      <c r="BB498" s="144" t="e">
        <f>IF($S$487=1,$N$487+$H$487/$Z$482*$M$19,NA())</f>
        <v>#N/A</v>
      </c>
      <c r="BC498" s="144" t="e">
        <f>IF(AND($I$487=1,$C$487=1,$S$487=0),$N$487+$H$487/$Z$482*$M$19,NA())</f>
        <v>#N/A</v>
      </c>
      <c r="BD498" s="144" t="e">
        <f>IF(AND($I$487=1,$C$487=0),$N$487+$H$487/$Z$482*$M$19,NA())</f>
        <v>#N/A</v>
      </c>
      <c r="BE498" s="144" t="e">
        <f>IF($I$488=1,$M$488+$H$488/$Z$482*$L$19,NA())</f>
        <v>#N/A</v>
      </c>
      <c r="BF498" s="144" t="e">
        <f>IF($S$488=1,$N$488+$H$488/$Z$482*$M$19,NA())</f>
        <v>#N/A</v>
      </c>
      <c r="BG498" s="144" t="e">
        <f>IF(AND($I$488=1,$C$488=1,$S$488=0),$N$488+$H$488/$Z$482*$M$19,NA())</f>
        <v>#N/A</v>
      </c>
      <c r="BH498" s="144" t="e">
        <f>IF(AND($I$488=1,$C$488=0),$N$488+$H$488/$Z$482*$M$19,NA())</f>
        <v>#N/A</v>
      </c>
      <c r="BI498" s="144" t="e">
        <f>IF($I$489=1,$M$489+$H$489/$Z$482*$L$19,NA())</f>
        <v>#N/A</v>
      </c>
      <c r="BJ498" s="144" t="e">
        <f>IF($S$489=1,$N$489+$H$489/$Z$482*$M$19,NA())</f>
        <v>#N/A</v>
      </c>
      <c r="BK498" s="144" t="e">
        <f>IF(AND($I$489=1,$C$489=1,$S$489=0),$N$489+$H$489/$Z$482*$M$19,NA())</f>
        <v>#N/A</v>
      </c>
      <c r="BL498" s="144" t="e">
        <f>IF(AND($I$489=1,$C$489=0),$N$489+$H$489/$Z$482*$M$19,NA())</f>
        <v>#N/A</v>
      </c>
      <c r="BM498" s="144" t="e">
        <f>IF($I$490=1,$M$490+$H$490/$Z$482*$L$19,NA())</f>
        <v>#N/A</v>
      </c>
      <c r="BN498" s="144" t="e">
        <f>IF($S$490=1,$N$490+$H$490/$Z$482*$M$19,NA())</f>
        <v>#N/A</v>
      </c>
      <c r="BO498" s="144" t="e">
        <f>IF(AND($I$490=1,$C$490=1,$S$490=0),$N$490+$H$490/$Z$482*$M$19,NA())</f>
        <v>#N/A</v>
      </c>
      <c r="BP498" s="144" t="e">
        <f>IF(AND($I$490=1,$C$490=0),$N$490+$H$490/$Z$482*$M$19,NA())</f>
        <v>#N/A</v>
      </c>
    </row>
    <row r="499">
      <c r="A499" s="63" t="inlineStr">
        <is>
          <t xml:space="preserve">centre (b)</t>
        </is>
      </c>
      <c r="C499" s="146" t="e">
        <f>IF($Q$482=0,NA(),$Q$482)</f>
        <v>#N/A</v>
      </c>
      <c r="D499" s="145" t="str">
        <f>IF($Q$482=0,"",INDEX($AJ$484:$AJ$490,$Q$482))</f>
        <v/>
      </c>
      <c r="E499" s="144" t="e">
        <f>IF($Q$482=0,NA(),INDEX($M$484:$M$490,$Q$482))</f>
        <v>#N/A</v>
      </c>
      <c r="F499" s="144" t="e">
        <f>IF($Q$482=0,NA(),INDEX($N$484:$N$490,$Q$482))</f>
        <v>#N/A</v>
      </c>
      <c r="AN499" s="146">
        <v>15</v>
      </c>
      <c r="AO499" s="144" t="e">
        <f>IF($I$484=1,$M$484+$H$484/$Z$482*$L$20,NA())</f>
        <v>#N/A</v>
      </c>
      <c r="AP499" s="144" t="e">
        <f>IF($S$484=1,$N$484+$H$484/$Z$482*$M$20,NA())</f>
        <v>#N/A</v>
      </c>
      <c r="AQ499" s="144" t="e">
        <f>IF(AND($I$484=1,$C$484=1,$S$484=0),$N$484+$H$484/$Z$482*$M$20,NA())</f>
        <v>#N/A</v>
      </c>
      <c r="AR499" s="144" t="e">
        <f>IF(AND($I$484=1,$C$484=0),$N$484+$H$484/$Z$482*$M$20,NA())</f>
        <v>#N/A</v>
      </c>
      <c r="AS499" s="144" t="e">
        <f>IF($I$485=1,$M$485+$H$485/$Z$482*$L$20,NA())</f>
        <v>#N/A</v>
      </c>
      <c r="AT499" s="144" t="e">
        <f>IF($S$485=1,$N$485+$H$485/$Z$482*$M$20,NA())</f>
        <v>#N/A</v>
      </c>
      <c r="AU499" s="144" t="e">
        <f>IF(AND($I$485=1,$C$485=1,$S$485=0),$N$485+$H$485/$Z$482*$M$20,NA())</f>
        <v>#N/A</v>
      </c>
      <c r="AV499" s="144" t="e">
        <f>IF(AND($I$485=1,$C$485=0),$N$485+$H$485/$Z$482*$M$20,NA())</f>
        <v>#N/A</v>
      </c>
      <c r="AW499" s="144" t="e">
        <f>IF($I$486=1,$M$486+$H$486/$Z$482*$L$20,NA())</f>
        <v>#N/A</v>
      </c>
      <c r="AX499" s="144" t="e">
        <f>IF($S$486=1,$N$486+$H$486/$Z$482*$M$20,NA())</f>
        <v>#N/A</v>
      </c>
      <c r="AY499" s="144" t="e">
        <f>IF(AND($I$486=1,$C$486=1,$S$486=0),$N$486+$H$486/$Z$482*$M$20,NA())</f>
        <v>#N/A</v>
      </c>
      <c r="AZ499" s="144" t="e">
        <f>IF(AND($I$486=1,$C$486=0),$N$486+$H$486/$Z$482*$M$20,NA())</f>
        <v>#N/A</v>
      </c>
      <c r="BA499" s="144" t="e">
        <f>IF($I$487=1,$M$487+$H$487/$Z$482*$L$20,NA())</f>
        <v>#N/A</v>
      </c>
      <c r="BB499" s="144" t="e">
        <f>IF($S$487=1,$N$487+$H$487/$Z$482*$M$20,NA())</f>
        <v>#N/A</v>
      </c>
      <c r="BC499" s="144" t="e">
        <f>IF(AND($I$487=1,$C$487=1,$S$487=0),$N$487+$H$487/$Z$482*$M$20,NA())</f>
        <v>#N/A</v>
      </c>
      <c r="BD499" s="144" t="e">
        <f>IF(AND($I$487=1,$C$487=0),$N$487+$H$487/$Z$482*$M$20,NA())</f>
        <v>#N/A</v>
      </c>
      <c r="BE499" s="144" t="e">
        <f>IF($I$488=1,$M$488+$H$488/$Z$482*$L$20,NA())</f>
        <v>#N/A</v>
      </c>
      <c r="BF499" s="144" t="e">
        <f>IF($S$488=1,$N$488+$H$488/$Z$482*$M$20,NA())</f>
        <v>#N/A</v>
      </c>
      <c r="BG499" s="144" t="e">
        <f>IF(AND($I$488=1,$C$488=1,$S$488=0),$N$488+$H$488/$Z$482*$M$20,NA())</f>
        <v>#N/A</v>
      </c>
      <c r="BH499" s="144" t="e">
        <f>IF(AND($I$488=1,$C$488=0),$N$488+$H$488/$Z$482*$M$20,NA())</f>
        <v>#N/A</v>
      </c>
      <c r="BI499" s="144" t="e">
        <f>IF($I$489=1,$M$489+$H$489/$Z$482*$L$20,NA())</f>
        <v>#N/A</v>
      </c>
      <c r="BJ499" s="144" t="e">
        <f>IF($S$489=1,$N$489+$H$489/$Z$482*$M$20,NA())</f>
        <v>#N/A</v>
      </c>
      <c r="BK499" s="144" t="e">
        <f>IF(AND($I$489=1,$C$489=1,$S$489=0),$N$489+$H$489/$Z$482*$M$20,NA())</f>
        <v>#N/A</v>
      </c>
      <c r="BL499" s="144" t="e">
        <f>IF(AND($I$489=1,$C$489=0),$N$489+$H$489/$Z$482*$M$20,NA())</f>
        <v>#N/A</v>
      </c>
      <c r="BM499" s="144" t="e">
        <f>IF($I$490=1,$M$490+$H$490/$Z$482*$L$20,NA())</f>
        <v>#N/A</v>
      </c>
      <c r="BN499" s="144" t="e">
        <f>IF($S$490=1,$N$490+$H$490/$Z$482*$M$20,NA())</f>
        <v>#N/A</v>
      </c>
      <c r="BO499" s="144" t="e">
        <f>IF(AND($I$490=1,$C$490=1,$S$490=0),$N$490+$H$490/$Z$482*$M$20,NA())</f>
        <v>#N/A</v>
      </c>
      <c r="BP499" s="144" t="e">
        <f>IF(AND($I$490=1,$C$490=0),$N$490+$H$490/$Z$482*$M$20,NA())</f>
        <v>#N/A</v>
      </c>
    </row>
    <row r="500">
      <c r="A500" s="63" t="inlineStr">
        <is>
          <t xml:space="preserve">caption, top left (r)</t>
        </is>
      </c>
      <c r="D500" s="145" t="str">
        <f>IF($Q$482=0,"","Sᵢ = "&amp;'ERDR Iterations'!$K$166&amp;"   ·   L = "&amp;'ERDR Iterations'!$K$169)</f>
        <v/>
      </c>
      <c r="E500" s="144" t="e">
        <f>IF($Q$482=0,NA(),-0.97)</f>
        <v>#N/A</v>
      </c>
      <c r="F500" s="144" t="e">
        <f>IF($Q$482=0,NA(),0.955)</f>
        <v>#N/A</v>
      </c>
      <c r="AN500" s="146">
        <v>16</v>
      </c>
      <c r="AO500" s="144" t="e">
        <f>IF($I$484=1,$M$484+$H$484/$Z$482*$L$21,NA())</f>
        <v>#N/A</v>
      </c>
      <c r="AP500" s="144" t="e">
        <f>IF($S$484=1,$N$484+$H$484/$Z$482*$M$21,NA())</f>
        <v>#N/A</v>
      </c>
      <c r="AQ500" s="144" t="e">
        <f>IF(AND($I$484=1,$C$484=1,$S$484=0),$N$484+$H$484/$Z$482*$M$21,NA())</f>
        <v>#N/A</v>
      </c>
      <c r="AR500" s="144" t="e">
        <f>IF(AND($I$484=1,$C$484=0),$N$484+$H$484/$Z$482*$M$21,NA())</f>
        <v>#N/A</v>
      </c>
      <c r="AS500" s="144" t="e">
        <f>IF($I$485=1,$M$485+$H$485/$Z$482*$L$21,NA())</f>
        <v>#N/A</v>
      </c>
      <c r="AT500" s="144" t="e">
        <f>IF($S$485=1,$N$485+$H$485/$Z$482*$M$21,NA())</f>
        <v>#N/A</v>
      </c>
      <c r="AU500" s="144" t="e">
        <f>IF(AND($I$485=1,$C$485=1,$S$485=0),$N$485+$H$485/$Z$482*$M$21,NA())</f>
        <v>#N/A</v>
      </c>
      <c r="AV500" s="144" t="e">
        <f>IF(AND($I$485=1,$C$485=0),$N$485+$H$485/$Z$482*$M$21,NA())</f>
        <v>#N/A</v>
      </c>
      <c r="AW500" s="144" t="e">
        <f>IF($I$486=1,$M$486+$H$486/$Z$482*$L$21,NA())</f>
        <v>#N/A</v>
      </c>
      <c r="AX500" s="144" t="e">
        <f>IF($S$486=1,$N$486+$H$486/$Z$482*$M$21,NA())</f>
        <v>#N/A</v>
      </c>
      <c r="AY500" s="144" t="e">
        <f>IF(AND($I$486=1,$C$486=1,$S$486=0),$N$486+$H$486/$Z$482*$M$21,NA())</f>
        <v>#N/A</v>
      </c>
      <c r="AZ500" s="144" t="e">
        <f>IF(AND($I$486=1,$C$486=0),$N$486+$H$486/$Z$482*$M$21,NA())</f>
        <v>#N/A</v>
      </c>
      <c r="BA500" s="144" t="e">
        <f>IF($I$487=1,$M$487+$H$487/$Z$482*$L$21,NA())</f>
        <v>#N/A</v>
      </c>
      <c r="BB500" s="144" t="e">
        <f>IF($S$487=1,$N$487+$H$487/$Z$482*$M$21,NA())</f>
        <v>#N/A</v>
      </c>
      <c r="BC500" s="144" t="e">
        <f>IF(AND($I$487=1,$C$487=1,$S$487=0),$N$487+$H$487/$Z$482*$M$21,NA())</f>
        <v>#N/A</v>
      </c>
      <c r="BD500" s="144" t="e">
        <f>IF(AND($I$487=1,$C$487=0),$N$487+$H$487/$Z$482*$M$21,NA())</f>
        <v>#N/A</v>
      </c>
      <c r="BE500" s="144" t="e">
        <f>IF($I$488=1,$M$488+$H$488/$Z$482*$L$21,NA())</f>
        <v>#N/A</v>
      </c>
      <c r="BF500" s="144" t="e">
        <f>IF($S$488=1,$N$488+$H$488/$Z$482*$M$21,NA())</f>
        <v>#N/A</v>
      </c>
      <c r="BG500" s="144" t="e">
        <f>IF(AND($I$488=1,$C$488=1,$S$488=0),$N$488+$H$488/$Z$482*$M$21,NA())</f>
        <v>#N/A</v>
      </c>
      <c r="BH500" s="144" t="e">
        <f>IF(AND($I$488=1,$C$488=0),$N$488+$H$488/$Z$482*$M$21,NA())</f>
        <v>#N/A</v>
      </c>
      <c r="BI500" s="144" t="e">
        <f>IF($I$489=1,$M$489+$H$489/$Z$482*$L$21,NA())</f>
        <v>#N/A</v>
      </c>
      <c r="BJ500" s="144" t="e">
        <f>IF($S$489=1,$N$489+$H$489/$Z$482*$M$21,NA())</f>
        <v>#N/A</v>
      </c>
      <c r="BK500" s="144" t="e">
        <f>IF(AND($I$489=1,$C$489=1,$S$489=0),$N$489+$H$489/$Z$482*$M$21,NA())</f>
        <v>#N/A</v>
      </c>
      <c r="BL500" s="144" t="e">
        <f>IF(AND($I$489=1,$C$489=0),$N$489+$H$489/$Z$482*$M$21,NA())</f>
        <v>#N/A</v>
      </c>
      <c r="BM500" s="144" t="e">
        <f>IF($I$490=1,$M$490+$H$490/$Z$482*$L$21,NA())</f>
        <v>#N/A</v>
      </c>
      <c r="BN500" s="144" t="e">
        <f>IF($S$490=1,$N$490+$H$490/$Z$482*$M$21,NA())</f>
        <v>#N/A</v>
      </c>
      <c r="BO500" s="144" t="e">
        <f>IF(AND($I$490=1,$C$490=1,$S$490=0),$N$490+$H$490/$Z$482*$M$21,NA())</f>
        <v>#N/A</v>
      </c>
      <c r="BP500" s="144" t="e">
        <f>IF(AND($I$490=1,$C$490=0),$N$490+$H$490/$Z$482*$M$21,NA())</f>
        <v>#N/A</v>
      </c>
    </row>
    <row r="501">
      <c r="A501" s="63" t="inlineStr">
        <is>
          <t xml:space="preserve">caption, bottom left (r)</t>
        </is>
      </c>
      <c r="D501" s="145" t="str">
        <f>IF($Q$482=0,"",'ERDR Iterations'!$K$171)</f>
        <v/>
      </c>
      <c r="E501" s="144" t="e">
        <f>IF($Q$482=0,NA(),-0.97)</f>
        <v>#N/A</v>
      </c>
      <c r="F501" s="144" t="e">
        <f>IF($Q$482=0,NA(),-0.955)</f>
        <v>#N/A</v>
      </c>
      <c r="AN501" s="146">
        <v>17</v>
      </c>
      <c r="AO501" s="144" t="e">
        <f>IF($I$484=1,$M$484+$H$484/$Z$482*$L$22,NA())</f>
        <v>#N/A</v>
      </c>
      <c r="AP501" s="144" t="e">
        <f>IF($S$484=1,$N$484+$H$484/$Z$482*$M$22,NA())</f>
        <v>#N/A</v>
      </c>
      <c r="AQ501" s="144" t="e">
        <f>IF(AND($I$484=1,$C$484=1,$S$484=0),$N$484+$H$484/$Z$482*$M$22,NA())</f>
        <v>#N/A</v>
      </c>
      <c r="AR501" s="144" t="e">
        <f>IF(AND($I$484=1,$C$484=0),$N$484+$H$484/$Z$482*$M$22,NA())</f>
        <v>#N/A</v>
      </c>
      <c r="AS501" s="144" t="e">
        <f>IF($I$485=1,$M$485+$H$485/$Z$482*$L$22,NA())</f>
        <v>#N/A</v>
      </c>
      <c r="AT501" s="144" t="e">
        <f>IF($S$485=1,$N$485+$H$485/$Z$482*$M$22,NA())</f>
        <v>#N/A</v>
      </c>
      <c r="AU501" s="144" t="e">
        <f>IF(AND($I$485=1,$C$485=1,$S$485=0),$N$485+$H$485/$Z$482*$M$22,NA())</f>
        <v>#N/A</v>
      </c>
      <c r="AV501" s="144" t="e">
        <f>IF(AND($I$485=1,$C$485=0),$N$485+$H$485/$Z$482*$M$22,NA())</f>
        <v>#N/A</v>
      </c>
      <c r="AW501" s="144" t="e">
        <f>IF($I$486=1,$M$486+$H$486/$Z$482*$L$22,NA())</f>
        <v>#N/A</v>
      </c>
      <c r="AX501" s="144" t="e">
        <f>IF($S$486=1,$N$486+$H$486/$Z$482*$M$22,NA())</f>
        <v>#N/A</v>
      </c>
      <c r="AY501" s="144" t="e">
        <f>IF(AND($I$486=1,$C$486=1,$S$486=0),$N$486+$H$486/$Z$482*$M$22,NA())</f>
        <v>#N/A</v>
      </c>
      <c r="AZ501" s="144" t="e">
        <f>IF(AND($I$486=1,$C$486=0),$N$486+$H$486/$Z$482*$M$22,NA())</f>
        <v>#N/A</v>
      </c>
      <c r="BA501" s="144" t="e">
        <f>IF($I$487=1,$M$487+$H$487/$Z$482*$L$22,NA())</f>
        <v>#N/A</v>
      </c>
      <c r="BB501" s="144" t="e">
        <f>IF($S$487=1,$N$487+$H$487/$Z$482*$M$22,NA())</f>
        <v>#N/A</v>
      </c>
      <c r="BC501" s="144" t="e">
        <f>IF(AND($I$487=1,$C$487=1,$S$487=0),$N$487+$H$487/$Z$482*$M$22,NA())</f>
        <v>#N/A</v>
      </c>
      <c r="BD501" s="144" t="e">
        <f>IF(AND($I$487=1,$C$487=0),$N$487+$H$487/$Z$482*$M$22,NA())</f>
        <v>#N/A</v>
      </c>
      <c r="BE501" s="144" t="e">
        <f>IF($I$488=1,$M$488+$H$488/$Z$482*$L$22,NA())</f>
        <v>#N/A</v>
      </c>
      <c r="BF501" s="144" t="e">
        <f>IF($S$488=1,$N$488+$H$488/$Z$482*$M$22,NA())</f>
        <v>#N/A</v>
      </c>
      <c r="BG501" s="144" t="e">
        <f>IF(AND($I$488=1,$C$488=1,$S$488=0),$N$488+$H$488/$Z$482*$M$22,NA())</f>
        <v>#N/A</v>
      </c>
      <c r="BH501" s="144" t="e">
        <f>IF(AND($I$488=1,$C$488=0),$N$488+$H$488/$Z$482*$M$22,NA())</f>
        <v>#N/A</v>
      </c>
      <c r="BI501" s="144" t="e">
        <f>IF($I$489=1,$M$489+$H$489/$Z$482*$L$22,NA())</f>
        <v>#N/A</v>
      </c>
      <c r="BJ501" s="144" t="e">
        <f>IF($S$489=1,$N$489+$H$489/$Z$482*$M$22,NA())</f>
        <v>#N/A</v>
      </c>
      <c r="BK501" s="144" t="e">
        <f>IF(AND($I$489=1,$C$489=1,$S$489=0),$N$489+$H$489/$Z$482*$M$22,NA())</f>
        <v>#N/A</v>
      </c>
      <c r="BL501" s="144" t="e">
        <f>IF(AND($I$489=1,$C$489=0),$N$489+$H$489/$Z$482*$M$22,NA())</f>
        <v>#N/A</v>
      </c>
      <c r="BM501" s="144" t="e">
        <f>IF($I$490=1,$M$490+$H$490/$Z$482*$L$22,NA())</f>
        <v>#N/A</v>
      </c>
      <c r="BN501" s="144" t="e">
        <f>IF($S$490=1,$N$490+$H$490/$Z$482*$M$22,NA())</f>
        <v>#N/A</v>
      </c>
      <c r="BO501" s="144" t="e">
        <f>IF(AND($I$490=1,$C$490=1,$S$490=0),$N$490+$H$490/$Z$482*$M$22,NA())</f>
        <v>#N/A</v>
      </c>
      <c r="BP501" s="144" t="e">
        <f>IF(AND($I$490=1,$C$490=0),$N$490+$H$490/$Z$482*$M$22,NA())</f>
        <v>#N/A</v>
      </c>
    </row>
    <row r="502">
      <c r="AN502" s="146">
        <v>18</v>
      </c>
      <c r="AO502" s="144" t="e">
        <f>IF($I$484=1,$M$484+$H$484/$Z$482*$L$23,NA())</f>
        <v>#N/A</v>
      </c>
      <c r="AP502" s="144" t="e">
        <f>IF($S$484=1,$N$484+$H$484/$Z$482*$M$23,NA())</f>
        <v>#N/A</v>
      </c>
      <c r="AQ502" s="144" t="e">
        <f>IF(AND($I$484=1,$C$484=1,$S$484=0),$N$484+$H$484/$Z$482*$M$23,NA())</f>
        <v>#N/A</v>
      </c>
      <c r="AR502" s="144" t="e">
        <f>IF(AND($I$484=1,$C$484=0),$N$484+$H$484/$Z$482*$M$23,NA())</f>
        <v>#N/A</v>
      </c>
      <c r="AS502" s="144" t="e">
        <f>IF($I$485=1,$M$485+$H$485/$Z$482*$L$23,NA())</f>
        <v>#N/A</v>
      </c>
      <c r="AT502" s="144" t="e">
        <f>IF($S$485=1,$N$485+$H$485/$Z$482*$M$23,NA())</f>
        <v>#N/A</v>
      </c>
      <c r="AU502" s="144" t="e">
        <f>IF(AND($I$485=1,$C$485=1,$S$485=0),$N$485+$H$485/$Z$482*$M$23,NA())</f>
        <v>#N/A</v>
      </c>
      <c r="AV502" s="144" t="e">
        <f>IF(AND($I$485=1,$C$485=0),$N$485+$H$485/$Z$482*$M$23,NA())</f>
        <v>#N/A</v>
      </c>
      <c r="AW502" s="144" t="e">
        <f>IF($I$486=1,$M$486+$H$486/$Z$482*$L$23,NA())</f>
        <v>#N/A</v>
      </c>
      <c r="AX502" s="144" t="e">
        <f>IF($S$486=1,$N$486+$H$486/$Z$482*$M$23,NA())</f>
        <v>#N/A</v>
      </c>
      <c r="AY502" s="144" t="e">
        <f>IF(AND($I$486=1,$C$486=1,$S$486=0),$N$486+$H$486/$Z$482*$M$23,NA())</f>
        <v>#N/A</v>
      </c>
      <c r="AZ502" s="144" t="e">
        <f>IF(AND($I$486=1,$C$486=0),$N$486+$H$486/$Z$482*$M$23,NA())</f>
        <v>#N/A</v>
      </c>
      <c r="BA502" s="144" t="e">
        <f>IF($I$487=1,$M$487+$H$487/$Z$482*$L$23,NA())</f>
        <v>#N/A</v>
      </c>
      <c r="BB502" s="144" t="e">
        <f>IF($S$487=1,$N$487+$H$487/$Z$482*$M$23,NA())</f>
        <v>#N/A</v>
      </c>
      <c r="BC502" s="144" t="e">
        <f>IF(AND($I$487=1,$C$487=1,$S$487=0),$N$487+$H$487/$Z$482*$M$23,NA())</f>
        <v>#N/A</v>
      </c>
      <c r="BD502" s="144" t="e">
        <f>IF(AND($I$487=1,$C$487=0),$N$487+$H$487/$Z$482*$M$23,NA())</f>
        <v>#N/A</v>
      </c>
      <c r="BE502" s="144" t="e">
        <f>IF($I$488=1,$M$488+$H$488/$Z$482*$L$23,NA())</f>
        <v>#N/A</v>
      </c>
      <c r="BF502" s="144" t="e">
        <f>IF($S$488=1,$N$488+$H$488/$Z$482*$M$23,NA())</f>
        <v>#N/A</v>
      </c>
      <c r="BG502" s="144" t="e">
        <f>IF(AND($I$488=1,$C$488=1,$S$488=0),$N$488+$H$488/$Z$482*$M$23,NA())</f>
        <v>#N/A</v>
      </c>
      <c r="BH502" s="144" t="e">
        <f>IF(AND($I$488=1,$C$488=0),$N$488+$H$488/$Z$482*$M$23,NA())</f>
        <v>#N/A</v>
      </c>
      <c r="BI502" s="144" t="e">
        <f>IF($I$489=1,$M$489+$H$489/$Z$482*$L$23,NA())</f>
        <v>#N/A</v>
      </c>
      <c r="BJ502" s="144" t="e">
        <f>IF($S$489=1,$N$489+$H$489/$Z$482*$M$23,NA())</f>
        <v>#N/A</v>
      </c>
      <c r="BK502" s="144" t="e">
        <f>IF(AND($I$489=1,$C$489=1,$S$489=0),$N$489+$H$489/$Z$482*$M$23,NA())</f>
        <v>#N/A</v>
      </c>
      <c r="BL502" s="144" t="e">
        <f>IF(AND($I$489=1,$C$489=0),$N$489+$H$489/$Z$482*$M$23,NA())</f>
        <v>#N/A</v>
      </c>
      <c r="BM502" s="144" t="e">
        <f>IF($I$490=1,$M$490+$H$490/$Z$482*$L$23,NA())</f>
        <v>#N/A</v>
      </c>
      <c r="BN502" s="144" t="e">
        <f>IF($S$490=1,$N$490+$H$490/$Z$482*$M$23,NA())</f>
        <v>#N/A</v>
      </c>
      <c r="BO502" s="144" t="e">
        <f>IF(AND($I$490=1,$C$490=1,$S$490=0),$N$490+$H$490/$Z$482*$M$23,NA())</f>
        <v>#N/A</v>
      </c>
      <c r="BP502" s="144" t="e">
        <f>IF(AND($I$490=1,$C$490=0),$N$490+$H$490/$Z$482*$M$23,NA())</f>
        <v>#N/A</v>
      </c>
    </row>
    <row r="503">
      <c r="AN503" s="146">
        <v>19</v>
      </c>
      <c r="AO503" s="144" t="e">
        <f>IF($I$484=1,$M$484+$H$484/$Z$482*$L$24,NA())</f>
        <v>#N/A</v>
      </c>
      <c r="AP503" s="144" t="e">
        <f>IF($S$484=1,$N$484+$H$484/$Z$482*$M$24,NA())</f>
        <v>#N/A</v>
      </c>
      <c r="AQ503" s="144" t="e">
        <f>IF(AND($I$484=1,$C$484=1,$S$484=0),$N$484+$H$484/$Z$482*$M$24,NA())</f>
        <v>#N/A</v>
      </c>
      <c r="AR503" s="144" t="e">
        <f>IF(AND($I$484=1,$C$484=0),$N$484+$H$484/$Z$482*$M$24,NA())</f>
        <v>#N/A</v>
      </c>
      <c r="AS503" s="144" t="e">
        <f>IF($I$485=1,$M$485+$H$485/$Z$482*$L$24,NA())</f>
        <v>#N/A</v>
      </c>
      <c r="AT503" s="144" t="e">
        <f>IF($S$485=1,$N$485+$H$485/$Z$482*$M$24,NA())</f>
        <v>#N/A</v>
      </c>
      <c r="AU503" s="144" t="e">
        <f>IF(AND($I$485=1,$C$485=1,$S$485=0),$N$485+$H$485/$Z$482*$M$24,NA())</f>
        <v>#N/A</v>
      </c>
      <c r="AV503" s="144" t="e">
        <f>IF(AND($I$485=1,$C$485=0),$N$485+$H$485/$Z$482*$M$24,NA())</f>
        <v>#N/A</v>
      </c>
      <c r="AW503" s="144" t="e">
        <f>IF($I$486=1,$M$486+$H$486/$Z$482*$L$24,NA())</f>
        <v>#N/A</v>
      </c>
      <c r="AX503" s="144" t="e">
        <f>IF($S$486=1,$N$486+$H$486/$Z$482*$M$24,NA())</f>
        <v>#N/A</v>
      </c>
      <c r="AY503" s="144" t="e">
        <f>IF(AND($I$486=1,$C$486=1,$S$486=0),$N$486+$H$486/$Z$482*$M$24,NA())</f>
        <v>#N/A</v>
      </c>
      <c r="AZ503" s="144" t="e">
        <f>IF(AND($I$486=1,$C$486=0),$N$486+$H$486/$Z$482*$M$24,NA())</f>
        <v>#N/A</v>
      </c>
      <c r="BA503" s="144" t="e">
        <f>IF($I$487=1,$M$487+$H$487/$Z$482*$L$24,NA())</f>
        <v>#N/A</v>
      </c>
      <c r="BB503" s="144" t="e">
        <f>IF($S$487=1,$N$487+$H$487/$Z$482*$M$24,NA())</f>
        <v>#N/A</v>
      </c>
      <c r="BC503" s="144" t="e">
        <f>IF(AND($I$487=1,$C$487=1,$S$487=0),$N$487+$H$487/$Z$482*$M$24,NA())</f>
        <v>#N/A</v>
      </c>
      <c r="BD503" s="144" t="e">
        <f>IF(AND($I$487=1,$C$487=0),$N$487+$H$487/$Z$482*$M$24,NA())</f>
        <v>#N/A</v>
      </c>
      <c r="BE503" s="144" t="e">
        <f>IF($I$488=1,$M$488+$H$488/$Z$482*$L$24,NA())</f>
        <v>#N/A</v>
      </c>
      <c r="BF503" s="144" t="e">
        <f>IF($S$488=1,$N$488+$H$488/$Z$482*$M$24,NA())</f>
        <v>#N/A</v>
      </c>
      <c r="BG503" s="144" t="e">
        <f>IF(AND($I$488=1,$C$488=1,$S$488=0),$N$488+$H$488/$Z$482*$M$24,NA())</f>
        <v>#N/A</v>
      </c>
      <c r="BH503" s="144" t="e">
        <f>IF(AND($I$488=1,$C$488=0),$N$488+$H$488/$Z$482*$M$24,NA())</f>
        <v>#N/A</v>
      </c>
      <c r="BI503" s="144" t="e">
        <f>IF($I$489=1,$M$489+$H$489/$Z$482*$L$24,NA())</f>
        <v>#N/A</v>
      </c>
      <c r="BJ503" s="144" t="e">
        <f>IF($S$489=1,$N$489+$H$489/$Z$482*$M$24,NA())</f>
        <v>#N/A</v>
      </c>
      <c r="BK503" s="144" t="e">
        <f>IF(AND($I$489=1,$C$489=1,$S$489=0),$N$489+$H$489/$Z$482*$M$24,NA())</f>
        <v>#N/A</v>
      </c>
      <c r="BL503" s="144" t="e">
        <f>IF(AND($I$489=1,$C$489=0),$N$489+$H$489/$Z$482*$M$24,NA())</f>
        <v>#N/A</v>
      </c>
      <c r="BM503" s="144" t="e">
        <f>IF($I$490=1,$M$490+$H$490/$Z$482*$L$24,NA())</f>
        <v>#N/A</v>
      </c>
      <c r="BN503" s="144" t="e">
        <f>IF($S$490=1,$N$490+$H$490/$Z$482*$M$24,NA())</f>
        <v>#N/A</v>
      </c>
      <c r="BO503" s="144" t="e">
        <f>IF(AND($I$490=1,$C$490=1,$S$490=0),$N$490+$H$490/$Z$482*$M$24,NA())</f>
        <v>#N/A</v>
      </c>
      <c r="BP503" s="144" t="e">
        <f>IF(AND($I$490=1,$C$490=0),$N$490+$H$490/$Z$482*$M$24,NA())</f>
        <v>#N/A</v>
      </c>
    </row>
    <row r="504">
      <c r="AN504" s="146">
        <v>20</v>
      </c>
      <c r="AO504" s="144" t="e">
        <f>IF($I$484=1,$M$484+$H$484/$Z$482*$L$25,NA())</f>
        <v>#N/A</v>
      </c>
      <c r="AP504" s="144" t="e">
        <f>IF($S$484=1,$N$484+$H$484/$Z$482*$M$25,NA())</f>
        <v>#N/A</v>
      </c>
      <c r="AQ504" s="144" t="e">
        <f>IF(AND($I$484=1,$C$484=1,$S$484=0),$N$484+$H$484/$Z$482*$M$25,NA())</f>
        <v>#N/A</v>
      </c>
      <c r="AR504" s="144" t="e">
        <f>IF(AND($I$484=1,$C$484=0),$N$484+$H$484/$Z$482*$M$25,NA())</f>
        <v>#N/A</v>
      </c>
      <c r="AS504" s="144" t="e">
        <f>IF($I$485=1,$M$485+$H$485/$Z$482*$L$25,NA())</f>
        <v>#N/A</v>
      </c>
      <c r="AT504" s="144" t="e">
        <f>IF($S$485=1,$N$485+$H$485/$Z$482*$M$25,NA())</f>
        <v>#N/A</v>
      </c>
      <c r="AU504" s="144" t="e">
        <f>IF(AND($I$485=1,$C$485=1,$S$485=0),$N$485+$H$485/$Z$482*$M$25,NA())</f>
        <v>#N/A</v>
      </c>
      <c r="AV504" s="144" t="e">
        <f>IF(AND($I$485=1,$C$485=0),$N$485+$H$485/$Z$482*$M$25,NA())</f>
        <v>#N/A</v>
      </c>
      <c r="AW504" s="144" t="e">
        <f>IF($I$486=1,$M$486+$H$486/$Z$482*$L$25,NA())</f>
        <v>#N/A</v>
      </c>
      <c r="AX504" s="144" t="e">
        <f>IF($S$486=1,$N$486+$H$486/$Z$482*$M$25,NA())</f>
        <v>#N/A</v>
      </c>
      <c r="AY504" s="144" t="e">
        <f>IF(AND($I$486=1,$C$486=1,$S$486=0),$N$486+$H$486/$Z$482*$M$25,NA())</f>
        <v>#N/A</v>
      </c>
      <c r="AZ504" s="144" t="e">
        <f>IF(AND($I$486=1,$C$486=0),$N$486+$H$486/$Z$482*$M$25,NA())</f>
        <v>#N/A</v>
      </c>
      <c r="BA504" s="144" t="e">
        <f>IF($I$487=1,$M$487+$H$487/$Z$482*$L$25,NA())</f>
        <v>#N/A</v>
      </c>
      <c r="BB504" s="144" t="e">
        <f>IF($S$487=1,$N$487+$H$487/$Z$482*$M$25,NA())</f>
        <v>#N/A</v>
      </c>
      <c r="BC504" s="144" t="e">
        <f>IF(AND($I$487=1,$C$487=1,$S$487=0),$N$487+$H$487/$Z$482*$M$25,NA())</f>
        <v>#N/A</v>
      </c>
      <c r="BD504" s="144" t="e">
        <f>IF(AND($I$487=1,$C$487=0),$N$487+$H$487/$Z$482*$M$25,NA())</f>
        <v>#N/A</v>
      </c>
      <c r="BE504" s="144" t="e">
        <f>IF($I$488=1,$M$488+$H$488/$Z$482*$L$25,NA())</f>
        <v>#N/A</v>
      </c>
      <c r="BF504" s="144" t="e">
        <f>IF($S$488=1,$N$488+$H$488/$Z$482*$M$25,NA())</f>
        <v>#N/A</v>
      </c>
      <c r="BG504" s="144" t="e">
        <f>IF(AND($I$488=1,$C$488=1,$S$488=0),$N$488+$H$488/$Z$482*$M$25,NA())</f>
        <v>#N/A</v>
      </c>
      <c r="BH504" s="144" t="e">
        <f>IF(AND($I$488=1,$C$488=0),$N$488+$H$488/$Z$482*$M$25,NA())</f>
        <v>#N/A</v>
      </c>
      <c r="BI504" s="144" t="e">
        <f>IF($I$489=1,$M$489+$H$489/$Z$482*$L$25,NA())</f>
        <v>#N/A</v>
      </c>
      <c r="BJ504" s="144" t="e">
        <f>IF($S$489=1,$N$489+$H$489/$Z$482*$M$25,NA())</f>
        <v>#N/A</v>
      </c>
      <c r="BK504" s="144" t="e">
        <f>IF(AND($I$489=1,$C$489=1,$S$489=0),$N$489+$H$489/$Z$482*$M$25,NA())</f>
        <v>#N/A</v>
      </c>
      <c r="BL504" s="144" t="e">
        <f>IF(AND($I$489=1,$C$489=0),$N$489+$H$489/$Z$482*$M$25,NA())</f>
        <v>#N/A</v>
      </c>
      <c r="BM504" s="144" t="e">
        <f>IF($I$490=1,$M$490+$H$490/$Z$482*$L$25,NA())</f>
        <v>#N/A</v>
      </c>
      <c r="BN504" s="144" t="e">
        <f>IF($S$490=1,$N$490+$H$490/$Z$482*$M$25,NA())</f>
        <v>#N/A</v>
      </c>
      <c r="BO504" s="144" t="e">
        <f>IF(AND($I$490=1,$C$490=1,$S$490=0),$N$490+$H$490/$Z$482*$M$25,NA())</f>
        <v>#N/A</v>
      </c>
      <c r="BP504" s="144" t="e">
        <f>IF(AND($I$490=1,$C$490=0),$N$490+$H$490/$Z$482*$M$25,NA())</f>
        <v>#N/A</v>
      </c>
    </row>
    <row r="505">
      <c r="AN505" s="146">
        <v>21</v>
      </c>
      <c r="AO505" s="144" t="e">
        <f>IF($I$484=1,$M$484+$H$484/$Z$482*$L$26,NA())</f>
        <v>#N/A</v>
      </c>
      <c r="AP505" s="144" t="e">
        <f>IF($S$484=1,$N$484+$H$484/$Z$482*$M$26,NA())</f>
        <v>#N/A</v>
      </c>
      <c r="AQ505" s="144" t="e">
        <f>IF(AND($I$484=1,$C$484=1,$S$484=0),$N$484+$H$484/$Z$482*$M$26,NA())</f>
        <v>#N/A</v>
      </c>
      <c r="AR505" s="144" t="e">
        <f>IF(AND($I$484=1,$C$484=0),$N$484+$H$484/$Z$482*$M$26,NA())</f>
        <v>#N/A</v>
      </c>
      <c r="AS505" s="144" t="e">
        <f>IF($I$485=1,$M$485+$H$485/$Z$482*$L$26,NA())</f>
        <v>#N/A</v>
      </c>
      <c r="AT505" s="144" t="e">
        <f>IF($S$485=1,$N$485+$H$485/$Z$482*$M$26,NA())</f>
        <v>#N/A</v>
      </c>
      <c r="AU505" s="144" t="e">
        <f>IF(AND($I$485=1,$C$485=1,$S$485=0),$N$485+$H$485/$Z$482*$M$26,NA())</f>
        <v>#N/A</v>
      </c>
      <c r="AV505" s="144" t="e">
        <f>IF(AND($I$485=1,$C$485=0),$N$485+$H$485/$Z$482*$M$26,NA())</f>
        <v>#N/A</v>
      </c>
      <c r="AW505" s="144" t="e">
        <f>IF($I$486=1,$M$486+$H$486/$Z$482*$L$26,NA())</f>
        <v>#N/A</v>
      </c>
      <c r="AX505" s="144" t="e">
        <f>IF($S$486=1,$N$486+$H$486/$Z$482*$M$26,NA())</f>
        <v>#N/A</v>
      </c>
      <c r="AY505" s="144" t="e">
        <f>IF(AND($I$486=1,$C$486=1,$S$486=0),$N$486+$H$486/$Z$482*$M$26,NA())</f>
        <v>#N/A</v>
      </c>
      <c r="AZ505" s="144" t="e">
        <f>IF(AND($I$486=1,$C$486=0),$N$486+$H$486/$Z$482*$M$26,NA())</f>
        <v>#N/A</v>
      </c>
      <c r="BA505" s="144" t="e">
        <f>IF($I$487=1,$M$487+$H$487/$Z$482*$L$26,NA())</f>
        <v>#N/A</v>
      </c>
      <c r="BB505" s="144" t="e">
        <f>IF($S$487=1,$N$487+$H$487/$Z$482*$M$26,NA())</f>
        <v>#N/A</v>
      </c>
      <c r="BC505" s="144" t="e">
        <f>IF(AND($I$487=1,$C$487=1,$S$487=0),$N$487+$H$487/$Z$482*$M$26,NA())</f>
        <v>#N/A</v>
      </c>
      <c r="BD505" s="144" t="e">
        <f>IF(AND($I$487=1,$C$487=0),$N$487+$H$487/$Z$482*$M$26,NA())</f>
        <v>#N/A</v>
      </c>
      <c r="BE505" s="144" t="e">
        <f>IF($I$488=1,$M$488+$H$488/$Z$482*$L$26,NA())</f>
        <v>#N/A</v>
      </c>
      <c r="BF505" s="144" t="e">
        <f>IF($S$488=1,$N$488+$H$488/$Z$482*$M$26,NA())</f>
        <v>#N/A</v>
      </c>
      <c r="BG505" s="144" t="e">
        <f>IF(AND($I$488=1,$C$488=1,$S$488=0),$N$488+$H$488/$Z$482*$M$26,NA())</f>
        <v>#N/A</v>
      </c>
      <c r="BH505" s="144" t="e">
        <f>IF(AND($I$488=1,$C$488=0),$N$488+$H$488/$Z$482*$M$26,NA())</f>
        <v>#N/A</v>
      </c>
      <c r="BI505" s="144" t="e">
        <f>IF($I$489=1,$M$489+$H$489/$Z$482*$L$26,NA())</f>
        <v>#N/A</v>
      </c>
      <c r="BJ505" s="144" t="e">
        <f>IF($S$489=1,$N$489+$H$489/$Z$482*$M$26,NA())</f>
        <v>#N/A</v>
      </c>
      <c r="BK505" s="144" t="e">
        <f>IF(AND($I$489=1,$C$489=1,$S$489=0),$N$489+$H$489/$Z$482*$M$26,NA())</f>
        <v>#N/A</v>
      </c>
      <c r="BL505" s="144" t="e">
        <f>IF(AND($I$489=1,$C$489=0),$N$489+$H$489/$Z$482*$M$26,NA())</f>
        <v>#N/A</v>
      </c>
      <c r="BM505" s="144" t="e">
        <f>IF($I$490=1,$M$490+$H$490/$Z$482*$L$26,NA())</f>
        <v>#N/A</v>
      </c>
      <c r="BN505" s="144" t="e">
        <f>IF($S$490=1,$N$490+$H$490/$Z$482*$M$26,NA())</f>
        <v>#N/A</v>
      </c>
      <c r="BO505" s="144" t="e">
        <f>IF(AND($I$490=1,$C$490=1,$S$490=0),$N$490+$H$490/$Z$482*$M$26,NA())</f>
        <v>#N/A</v>
      </c>
      <c r="BP505" s="144" t="e">
        <f>IF(AND($I$490=1,$C$490=0),$N$490+$H$490/$Z$482*$M$26,NA())</f>
        <v>#N/A</v>
      </c>
    </row>
    <row r="506">
      <c r="AN506" s="146">
        <v>22</v>
      </c>
      <c r="AO506" s="144" t="e">
        <f>IF($I$484=1,$M$484+$H$484/$Z$482*$L$27,NA())</f>
        <v>#N/A</v>
      </c>
      <c r="AP506" s="144" t="e">
        <f>IF($S$484=1,$N$484+$H$484/$Z$482*$M$27,NA())</f>
        <v>#N/A</v>
      </c>
      <c r="AQ506" s="144" t="e">
        <f>IF(AND($I$484=1,$C$484=1,$S$484=0),$N$484+$H$484/$Z$482*$M$27,NA())</f>
        <v>#N/A</v>
      </c>
      <c r="AR506" s="144" t="e">
        <f>IF(AND($I$484=1,$C$484=0),$N$484+$H$484/$Z$482*$M$27,NA())</f>
        <v>#N/A</v>
      </c>
      <c r="AS506" s="144" t="e">
        <f>IF($I$485=1,$M$485+$H$485/$Z$482*$L$27,NA())</f>
        <v>#N/A</v>
      </c>
      <c r="AT506" s="144" t="e">
        <f>IF($S$485=1,$N$485+$H$485/$Z$482*$M$27,NA())</f>
        <v>#N/A</v>
      </c>
      <c r="AU506" s="144" t="e">
        <f>IF(AND($I$485=1,$C$485=1,$S$485=0),$N$485+$H$485/$Z$482*$M$27,NA())</f>
        <v>#N/A</v>
      </c>
      <c r="AV506" s="144" t="e">
        <f>IF(AND($I$485=1,$C$485=0),$N$485+$H$485/$Z$482*$M$27,NA())</f>
        <v>#N/A</v>
      </c>
      <c r="AW506" s="144" t="e">
        <f>IF($I$486=1,$M$486+$H$486/$Z$482*$L$27,NA())</f>
        <v>#N/A</v>
      </c>
      <c r="AX506" s="144" t="e">
        <f>IF($S$486=1,$N$486+$H$486/$Z$482*$M$27,NA())</f>
        <v>#N/A</v>
      </c>
      <c r="AY506" s="144" t="e">
        <f>IF(AND($I$486=1,$C$486=1,$S$486=0),$N$486+$H$486/$Z$482*$M$27,NA())</f>
        <v>#N/A</v>
      </c>
      <c r="AZ506" s="144" t="e">
        <f>IF(AND($I$486=1,$C$486=0),$N$486+$H$486/$Z$482*$M$27,NA())</f>
        <v>#N/A</v>
      </c>
      <c r="BA506" s="144" t="e">
        <f>IF($I$487=1,$M$487+$H$487/$Z$482*$L$27,NA())</f>
        <v>#N/A</v>
      </c>
      <c r="BB506" s="144" t="e">
        <f>IF($S$487=1,$N$487+$H$487/$Z$482*$M$27,NA())</f>
        <v>#N/A</v>
      </c>
      <c r="BC506" s="144" t="e">
        <f>IF(AND($I$487=1,$C$487=1,$S$487=0),$N$487+$H$487/$Z$482*$M$27,NA())</f>
        <v>#N/A</v>
      </c>
      <c r="BD506" s="144" t="e">
        <f>IF(AND($I$487=1,$C$487=0),$N$487+$H$487/$Z$482*$M$27,NA())</f>
        <v>#N/A</v>
      </c>
      <c r="BE506" s="144" t="e">
        <f>IF($I$488=1,$M$488+$H$488/$Z$482*$L$27,NA())</f>
        <v>#N/A</v>
      </c>
      <c r="BF506" s="144" t="e">
        <f>IF($S$488=1,$N$488+$H$488/$Z$482*$M$27,NA())</f>
        <v>#N/A</v>
      </c>
      <c r="BG506" s="144" t="e">
        <f>IF(AND($I$488=1,$C$488=1,$S$488=0),$N$488+$H$488/$Z$482*$M$27,NA())</f>
        <v>#N/A</v>
      </c>
      <c r="BH506" s="144" t="e">
        <f>IF(AND($I$488=1,$C$488=0),$N$488+$H$488/$Z$482*$M$27,NA())</f>
        <v>#N/A</v>
      </c>
      <c r="BI506" s="144" t="e">
        <f>IF($I$489=1,$M$489+$H$489/$Z$482*$L$27,NA())</f>
        <v>#N/A</v>
      </c>
      <c r="BJ506" s="144" t="e">
        <f>IF($S$489=1,$N$489+$H$489/$Z$482*$M$27,NA())</f>
        <v>#N/A</v>
      </c>
      <c r="BK506" s="144" t="e">
        <f>IF(AND($I$489=1,$C$489=1,$S$489=0),$N$489+$H$489/$Z$482*$M$27,NA())</f>
        <v>#N/A</v>
      </c>
      <c r="BL506" s="144" t="e">
        <f>IF(AND($I$489=1,$C$489=0),$N$489+$H$489/$Z$482*$M$27,NA())</f>
        <v>#N/A</v>
      </c>
      <c r="BM506" s="144" t="e">
        <f>IF($I$490=1,$M$490+$H$490/$Z$482*$L$27,NA())</f>
        <v>#N/A</v>
      </c>
      <c r="BN506" s="144" t="e">
        <f>IF($S$490=1,$N$490+$H$490/$Z$482*$M$27,NA())</f>
        <v>#N/A</v>
      </c>
      <c r="BO506" s="144" t="e">
        <f>IF(AND($I$490=1,$C$490=1,$S$490=0),$N$490+$H$490/$Z$482*$M$27,NA())</f>
        <v>#N/A</v>
      </c>
      <c r="BP506" s="144" t="e">
        <f>IF(AND($I$490=1,$C$490=0),$N$490+$H$490/$Z$482*$M$27,NA())</f>
        <v>#N/A</v>
      </c>
    </row>
    <row r="507">
      <c r="AN507" s="146">
        <v>23</v>
      </c>
      <c r="AO507" s="144" t="e">
        <f>IF($I$484=1,$M$484+$H$484/$Z$482*$L$28,NA())</f>
        <v>#N/A</v>
      </c>
      <c r="AP507" s="144" t="e">
        <f>IF($S$484=1,$N$484+$H$484/$Z$482*$M$28,NA())</f>
        <v>#N/A</v>
      </c>
      <c r="AQ507" s="144" t="e">
        <f>IF(AND($I$484=1,$C$484=1,$S$484=0),$N$484+$H$484/$Z$482*$M$28,NA())</f>
        <v>#N/A</v>
      </c>
      <c r="AR507" s="144" t="e">
        <f>IF(AND($I$484=1,$C$484=0),$N$484+$H$484/$Z$482*$M$28,NA())</f>
        <v>#N/A</v>
      </c>
      <c r="AS507" s="144" t="e">
        <f>IF($I$485=1,$M$485+$H$485/$Z$482*$L$28,NA())</f>
        <v>#N/A</v>
      </c>
      <c r="AT507" s="144" t="e">
        <f>IF($S$485=1,$N$485+$H$485/$Z$482*$M$28,NA())</f>
        <v>#N/A</v>
      </c>
      <c r="AU507" s="144" t="e">
        <f>IF(AND($I$485=1,$C$485=1,$S$485=0),$N$485+$H$485/$Z$482*$M$28,NA())</f>
        <v>#N/A</v>
      </c>
      <c r="AV507" s="144" t="e">
        <f>IF(AND($I$485=1,$C$485=0),$N$485+$H$485/$Z$482*$M$28,NA())</f>
        <v>#N/A</v>
      </c>
      <c r="AW507" s="144" t="e">
        <f>IF($I$486=1,$M$486+$H$486/$Z$482*$L$28,NA())</f>
        <v>#N/A</v>
      </c>
      <c r="AX507" s="144" t="e">
        <f>IF($S$486=1,$N$486+$H$486/$Z$482*$M$28,NA())</f>
        <v>#N/A</v>
      </c>
      <c r="AY507" s="144" t="e">
        <f>IF(AND($I$486=1,$C$486=1,$S$486=0),$N$486+$H$486/$Z$482*$M$28,NA())</f>
        <v>#N/A</v>
      </c>
      <c r="AZ507" s="144" t="e">
        <f>IF(AND($I$486=1,$C$486=0),$N$486+$H$486/$Z$482*$M$28,NA())</f>
        <v>#N/A</v>
      </c>
      <c r="BA507" s="144" t="e">
        <f>IF($I$487=1,$M$487+$H$487/$Z$482*$L$28,NA())</f>
        <v>#N/A</v>
      </c>
      <c r="BB507" s="144" t="e">
        <f>IF($S$487=1,$N$487+$H$487/$Z$482*$M$28,NA())</f>
        <v>#N/A</v>
      </c>
      <c r="BC507" s="144" t="e">
        <f>IF(AND($I$487=1,$C$487=1,$S$487=0),$N$487+$H$487/$Z$482*$M$28,NA())</f>
        <v>#N/A</v>
      </c>
      <c r="BD507" s="144" t="e">
        <f>IF(AND($I$487=1,$C$487=0),$N$487+$H$487/$Z$482*$M$28,NA())</f>
        <v>#N/A</v>
      </c>
      <c r="BE507" s="144" t="e">
        <f>IF($I$488=1,$M$488+$H$488/$Z$482*$L$28,NA())</f>
        <v>#N/A</v>
      </c>
      <c r="BF507" s="144" t="e">
        <f>IF($S$488=1,$N$488+$H$488/$Z$482*$M$28,NA())</f>
        <v>#N/A</v>
      </c>
      <c r="BG507" s="144" t="e">
        <f>IF(AND($I$488=1,$C$488=1,$S$488=0),$N$488+$H$488/$Z$482*$M$28,NA())</f>
        <v>#N/A</v>
      </c>
      <c r="BH507" s="144" t="e">
        <f>IF(AND($I$488=1,$C$488=0),$N$488+$H$488/$Z$482*$M$28,NA())</f>
        <v>#N/A</v>
      </c>
      <c r="BI507" s="144" t="e">
        <f>IF($I$489=1,$M$489+$H$489/$Z$482*$L$28,NA())</f>
        <v>#N/A</v>
      </c>
      <c r="BJ507" s="144" t="e">
        <f>IF($S$489=1,$N$489+$H$489/$Z$482*$M$28,NA())</f>
        <v>#N/A</v>
      </c>
      <c r="BK507" s="144" t="e">
        <f>IF(AND($I$489=1,$C$489=1,$S$489=0),$N$489+$H$489/$Z$482*$M$28,NA())</f>
        <v>#N/A</v>
      </c>
      <c r="BL507" s="144" t="e">
        <f>IF(AND($I$489=1,$C$489=0),$N$489+$H$489/$Z$482*$M$28,NA())</f>
        <v>#N/A</v>
      </c>
      <c r="BM507" s="144" t="e">
        <f>IF($I$490=1,$M$490+$H$490/$Z$482*$L$28,NA())</f>
        <v>#N/A</v>
      </c>
      <c r="BN507" s="144" t="e">
        <f>IF($S$490=1,$N$490+$H$490/$Z$482*$M$28,NA())</f>
        <v>#N/A</v>
      </c>
      <c r="BO507" s="144" t="e">
        <f>IF(AND($I$490=1,$C$490=1,$S$490=0),$N$490+$H$490/$Z$482*$M$28,NA())</f>
        <v>#N/A</v>
      </c>
      <c r="BP507" s="144" t="e">
        <f>IF(AND($I$490=1,$C$490=0),$N$490+$H$490/$Z$482*$M$28,NA())</f>
        <v>#N/A</v>
      </c>
    </row>
    <row r="508">
      <c r="AN508" s="146">
        <v>24</v>
      </c>
      <c r="AO508" s="144" t="e">
        <f>IF($I$484=1,$M$484+$H$484/$Z$482*$L$29,NA())</f>
        <v>#N/A</v>
      </c>
      <c r="AP508" s="144" t="e">
        <f>IF($S$484=1,$N$484+$H$484/$Z$482*$M$29,NA())</f>
        <v>#N/A</v>
      </c>
      <c r="AQ508" s="144" t="e">
        <f>IF(AND($I$484=1,$C$484=1,$S$484=0),$N$484+$H$484/$Z$482*$M$29,NA())</f>
        <v>#N/A</v>
      </c>
      <c r="AR508" s="144" t="e">
        <f>IF(AND($I$484=1,$C$484=0),$N$484+$H$484/$Z$482*$M$29,NA())</f>
        <v>#N/A</v>
      </c>
      <c r="AS508" s="144" t="e">
        <f>IF($I$485=1,$M$485+$H$485/$Z$482*$L$29,NA())</f>
        <v>#N/A</v>
      </c>
      <c r="AT508" s="144" t="e">
        <f>IF($S$485=1,$N$485+$H$485/$Z$482*$M$29,NA())</f>
        <v>#N/A</v>
      </c>
      <c r="AU508" s="144" t="e">
        <f>IF(AND($I$485=1,$C$485=1,$S$485=0),$N$485+$H$485/$Z$482*$M$29,NA())</f>
        <v>#N/A</v>
      </c>
      <c r="AV508" s="144" t="e">
        <f>IF(AND($I$485=1,$C$485=0),$N$485+$H$485/$Z$482*$M$29,NA())</f>
        <v>#N/A</v>
      </c>
      <c r="AW508" s="144" t="e">
        <f>IF($I$486=1,$M$486+$H$486/$Z$482*$L$29,NA())</f>
        <v>#N/A</v>
      </c>
      <c r="AX508" s="144" t="e">
        <f>IF($S$486=1,$N$486+$H$486/$Z$482*$M$29,NA())</f>
        <v>#N/A</v>
      </c>
      <c r="AY508" s="144" t="e">
        <f>IF(AND($I$486=1,$C$486=1,$S$486=0),$N$486+$H$486/$Z$482*$M$29,NA())</f>
        <v>#N/A</v>
      </c>
      <c r="AZ508" s="144" t="e">
        <f>IF(AND($I$486=1,$C$486=0),$N$486+$H$486/$Z$482*$M$29,NA())</f>
        <v>#N/A</v>
      </c>
      <c r="BA508" s="144" t="e">
        <f>IF($I$487=1,$M$487+$H$487/$Z$482*$L$29,NA())</f>
        <v>#N/A</v>
      </c>
      <c r="BB508" s="144" t="e">
        <f>IF($S$487=1,$N$487+$H$487/$Z$482*$M$29,NA())</f>
        <v>#N/A</v>
      </c>
      <c r="BC508" s="144" t="e">
        <f>IF(AND($I$487=1,$C$487=1,$S$487=0),$N$487+$H$487/$Z$482*$M$29,NA())</f>
        <v>#N/A</v>
      </c>
      <c r="BD508" s="144" t="e">
        <f>IF(AND($I$487=1,$C$487=0),$N$487+$H$487/$Z$482*$M$29,NA())</f>
        <v>#N/A</v>
      </c>
      <c r="BE508" s="144" t="e">
        <f>IF($I$488=1,$M$488+$H$488/$Z$482*$L$29,NA())</f>
        <v>#N/A</v>
      </c>
      <c r="BF508" s="144" t="e">
        <f>IF($S$488=1,$N$488+$H$488/$Z$482*$M$29,NA())</f>
        <v>#N/A</v>
      </c>
      <c r="BG508" s="144" t="e">
        <f>IF(AND($I$488=1,$C$488=1,$S$488=0),$N$488+$H$488/$Z$482*$M$29,NA())</f>
        <v>#N/A</v>
      </c>
      <c r="BH508" s="144" t="e">
        <f>IF(AND($I$488=1,$C$488=0),$N$488+$H$488/$Z$482*$M$29,NA())</f>
        <v>#N/A</v>
      </c>
      <c r="BI508" s="144" t="e">
        <f>IF($I$489=1,$M$489+$H$489/$Z$482*$L$29,NA())</f>
        <v>#N/A</v>
      </c>
      <c r="BJ508" s="144" t="e">
        <f>IF($S$489=1,$N$489+$H$489/$Z$482*$M$29,NA())</f>
        <v>#N/A</v>
      </c>
      <c r="BK508" s="144" t="e">
        <f>IF(AND($I$489=1,$C$489=1,$S$489=0),$N$489+$H$489/$Z$482*$M$29,NA())</f>
        <v>#N/A</v>
      </c>
      <c r="BL508" s="144" t="e">
        <f>IF(AND($I$489=1,$C$489=0),$N$489+$H$489/$Z$482*$M$29,NA())</f>
        <v>#N/A</v>
      </c>
      <c r="BM508" s="144" t="e">
        <f>IF($I$490=1,$M$490+$H$490/$Z$482*$L$29,NA())</f>
        <v>#N/A</v>
      </c>
      <c r="BN508" s="144" t="e">
        <f>IF($S$490=1,$N$490+$H$490/$Z$482*$M$29,NA())</f>
        <v>#N/A</v>
      </c>
      <c r="BO508" s="144" t="e">
        <f>IF(AND($I$490=1,$C$490=1,$S$490=0),$N$490+$H$490/$Z$482*$M$29,NA())</f>
        <v>#N/A</v>
      </c>
      <c r="BP508" s="144" t="e">
        <f>IF(AND($I$490=1,$C$490=0),$N$490+$H$490/$Z$482*$M$29,NA())</f>
        <v>#N/A</v>
      </c>
    </row>
    <row r="509"/>
    <row r="510">
      <c r="A510" s="100" t="inlineStr">
        <is>
          <t xml:space="preserve">Coordinates are normalised: object diagrams by ρ_max (the same scale in all seven); iteration diagrams by the bounding box of everything drawn in that iteration (a shift and one scale — every sphere fits and stays exact).</t>
        </is>
      </c>
    </row>
    <row r="511">
      <c r="A511" s="100" t="inlineStr">
        <is>
          <t xml:space="preserve">Only distances from the centre are drawn true; the direction of a neighbour is conventional (neighbour order, clockwise from the top). #N/A cells are points that a series does not draw.</t>
        </is>
      </c>
    </row>
  </sheetData>
  <mergeCells count="18">
    <mergeCell ref="A1:AD1"/>
    <mergeCell ref="A3:M3"/>
    <mergeCell ref="A32:AD32"/>
    <mergeCell ref="A61:AD61"/>
    <mergeCell ref="A90:AD90"/>
    <mergeCell ref="A119:AD119"/>
    <mergeCell ref="A148:AD148"/>
    <mergeCell ref="A177:AD177"/>
    <mergeCell ref="A206:AD206"/>
    <mergeCell ref="A235:AD235"/>
    <mergeCell ref="A288:AD288"/>
    <mergeCell ref="A307:BP307"/>
    <mergeCell ref="A336:BP336"/>
    <mergeCell ref="A365:BP365"/>
    <mergeCell ref="A394:BP394"/>
    <mergeCell ref="A423:BP423"/>
    <mergeCell ref="A452:BP452"/>
    <mergeCell ref="A481:BP481"/>
  </mergeCells>
  <conditionalFormatting sqref="A32:BP509">
    <cfRule type="expression" dxfId="7" priority="1">
      <formula>ISNA(A32)</formula>
    </cfRule>
  </conditionalFormatting>
  <printOptions horizontalCentered="1"/>
  <pageMargins left="0.4" right="0.4" top="0.7" bottom="0.6" header="0.3" footer="0.3"/>
  <pageSetup paperSize="9" orientation="landscape" fitToWidth="1" fitToHeight="0"/>
  <headerFooter>
    <oddHeader>&amp;L&amp;"Calibri,Bold"&amp;9ERDR Algorithm — Heart-Disease (7, 13, 2) selected from Heart-Disease (270, 13, 2)&amp;R&amp;"Calibri,Regular"&amp;9&amp;A</oddHeader>
    <oddFooter>&amp;C&amp;"Calibri,Regular"&amp;9Page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Overview</vt:lpstr>
      <vt:lpstr>Parameters</vt:lpstr>
      <vt:lpstr>Object Selection</vt:lpstr>
      <vt:lpstr>Source Dataset (270)</vt:lpstr>
      <vt:lpstr>Dataset</vt:lpstr>
      <vt:lpstr>Normalized Dataset</vt:lpstr>
      <vt:lpstr>Zhuravlev Distances</vt:lpstr>
      <vt:lpstr>Sorted Neighbors</vt:lpstr>
      <vt:lpstr>ERDR Characteristics</vt:lpstr>
      <vt:lpstr>Hyperspheres (Step 1)</vt:lpstr>
      <vt:lpstr>Priority Queue</vt:lpstr>
      <vt:lpstr>ERDR Iterations</vt:lpstr>
      <vt:lpstr>Hyperspheres (Iterations)</vt:lpstr>
      <vt:lpstr>ERDR Trace</vt:lpstr>
      <vt:lpstr>Case Checklist</vt:lpstr>
      <vt:lpstr>Training &amp; Validation</vt:lpstr>
      <vt:lpstr>Charts</vt:lpstr>
      <vt:lpstr>Readings (Switches)</vt:lpstr>
      <vt:lpstr>Article Table 1 Check</vt:lpstr>
      <vt:lpstr>Article Notes</vt:lpstr>
      <vt:lpstr>Validation</vt:lpstr>
      <vt:lpstr>Hypersphere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ERDR Algorithm — Heart-Disease (7, 13, 2) selected from Heart-Disease (270, 13, 2)</dc:title>
  <dc:subject>ERDR (Enemy-Radius Density Reduction) training / validation split with the Zhuravlev metric — article §1.1</dc:subject>
  <dc:creator>Claude</dc:creator>
  <dcterms:created xsi:type="dcterms:W3CDTF">2026-10-10T08:00:00Z</dcterms:created>
  <dcterms:modified xsi:type="dcterms:W3CDTF">2026-10-10T08:00:00Z</dcterms:modified>
</cp:coreProperties>
</file>